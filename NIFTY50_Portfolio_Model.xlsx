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hruba\Documents\Google_Course\Case_Studies\NIFTY50_Portfolio_Model\"/>
    </mc:Choice>
  </mc:AlternateContent>
  <xr:revisionPtr revIDLastSave="0" documentId="13_ncr:1_{1958489E-534A-43E6-BE4E-9C499FEE4A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ecutive Dashboard" sheetId="5" r:id="rId1"/>
    <sheet name="TCS" sheetId="1" r:id="rId2"/>
    <sheet name="INFOSYS" sheetId="2" r:id="rId3"/>
    <sheet name="HDFC" sheetId="3" r:id="rId4"/>
    <sheet name="ICICI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A1" i="4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A1" i="3"/>
  <c r="B1230" i="2"/>
  <c r="A1230" i="2"/>
  <c r="B1229" i="2"/>
  <c r="A1229" i="2"/>
  <c r="B1228" i="2"/>
  <c r="A1228" i="2"/>
  <c r="B1227" i="2"/>
  <c r="A1227" i="2"/>
  <c r="B1226" i="2"/>
  <c r="A1226" i="2"/>
  <c r="B1225" i="2"/>
  <c r="A1225" i="2"/>
  <c r="B1224" i="2"/>
  <c r="A1224" i="2"/>
  <c r="B1223" i="2"/>
  <c r="A1223" i="2"/>
  <c r="B1222" i="2"/>
  <c r="A1222" i="2"/>
  <c r="B1221" i="2"/>
  <c r="A1221" i="2"/>
  <c r="B1220" i="2"/>
  <c r="A1220" i="2"/>
  <c r="B1219" i="2"/>
  <c r="A1219" i="2"/>
  <c r="B1218" i="2"/>
  <c r="A1218" i="2"/>
  <c r="B1217" i="2"/>
  <c r="A1217" i="2"/>
  <c r="B1216" i="2"/>
  <c r="A1216" i="2"/>
  <c r="B1215" i="2"/>
  <c r="A1215" i="2"/>
  <c r="B1214" i="2"/>
  <c r="A1214" i="2"/>
  <c r="B1213" i="2"/>
  <c r="A1213" i="2"/>
  <c r="B1212" i="2"/>
  <c r="A1212" i="2"/>
  <c r="B1211" i="2"/>
  <c r="A1211" i="2"/>
  <c r="B1210" i="2"/>
  <c r="A1210" i="2"/>
  <c r="B1209" i="2"/>
  <c r="A1209" i="2"/>
  <c r="B1208" i="2"/>
  <c r="A1208" i="2"/>
  <c r="B1207" i="2"/>
  <c r="A1207" i="2"/>
  <c r="B1206" i="2"/>
  <c r="A1206" i="2"/>
  <c r="B1205" i="2"/>
  <c r="A1205" i="2"/>
  <c r="B1204" i="2"/>
  <c r="A1204" i="2"/>
  <c r="B1203" i="2"/>
  <c r="A1203" i="2"/>
  <c r="B1202" i="2"/>
  <c r="A1202" i="2"/>
  <c r="B1201" i="2"/>
  <c r="A1201" i="2"/>
  <c r="B1200" i="2"/>
  <c r="A1200" i="2"/>
  <c r="B1199" i="2"/>
  <c r="A1199" i="2"/>
  <c r="B1198" i="2"/>
  <c r="A1198" i="2"/>
  <c r="B1197" i="2"/>
  <c r="A1197" i="2"/>
  <c r="B1196" i="2"/>
  <c r="A1196" i="2"/>
  <c r="B1195" i="2"/>
  <c r="A1195" i="2"/>
  <c r="B1194" i="2"/>
  <c r="A1194" i="2"/>
  <c r="B1193" i="2"/>
  <c r="A1193" i="2"/>
  <c r="B1192" i="2"/>
  <c r="A1192" i="2"/>
  <c r="B1191" i="2"/>
  <c r="A1191" i="2"/>
  <c r="B1190" i="2"/>
  <c r="A1190" i="2"/>
  <c r="B1189" i="2"/>
  <c r="A1189" i="2"/>
  <c r="B1188" i="2"/>
  <c r="A1188" i="2"/>
  <c r="B1187" i="2"/>
  <c r="A1187" i="2"/>
  <c r="B1186" i="2"/>
  <c r="A1186" i="2"/>
  <c r="B1185" i="2"/>
  <c r="A1185" i="2"/>
  <c r="B1184" i="2"/>
  <c r="A1184" i="2"/>
  <c r="B1183" i="2"/>
  <c r="A1183" i="2"/>
  <c r="B1182" i="2"/>
  <c r="A1182" i="2"/>
  <c r="B1181" i="2"/>
  <c r="A1181" i="2"/>
  <c r="B1180" i="2"/>
  <c r="A1180" i="2"/>
  <c r="B1179" i="2"/>
  <c r="A1179" i="2"/>
  <c r="B1178" i="2"/>
  <c r="A1178" i="2"/>
  <c r="B1177" i="2"/>
  <c r="A1177" i="2"/>
  <c r="B1176" i="2"/>
  <c r="A1176" i="2"/>
  <c r="B1175" i="2"/>
  <c r="A1175" i="2"/>
  <c r="B1174" i="2"/>
  <c r="A1174" i="2"/>
  <c r="B1173" i="2"/>
  <c r="A1173" i="2"/>
  <c r="B1172" i="2"/>
  <c r="A1172" i="2"/>
  <c r="B1171" i="2"/>
  <c r="A1171" i="2"/>
  <c r="B1170" i="2"/>
  <c r="A1170" i="2"/>
  <c r="B1169" i="2"/>
  <c r="A1169" i="2"/>
  <c r="B1168" i="2"/>
  <c r="A1168" i="2"/>
  <c r="B1167" i="2"/>
  <c r="A1167" i="2"/>
  <c r="B1166" i="2"/>
  <c r="A1166" i="2"/>
  <c r="B1165" i="2"/>
  <c r="A1165" i="2"/>
  <c r="B1164" i="2"/>
  <c r="A1164" i="2"/>
  <c r="B1163" i="2"/>
  <c r="A1163" i="2"/>
  <c r="B1162" i="2"/>
  <c r="A1162" i="2"/>
  <c r="B1161" i="2"/>
  <c r="A1161" i="2"/>
  <c r="B1160" i="2"/>
  <c r="A1160" i="2"/>
  <c r="B1159" i="2"/>
  <c r="A1159" i="2"/>
  <c r="B1158" i="2"/>
  <c r="A1158" i="2"/>
  <c r="B1157" i="2"/>
  <c r="A1157" i="2"/>
  <c r="B1156" i="2"/>
  <c r="A1156" i="2"/>
  <c r="B1155" i="2"/>
  <c r="A1155" i="2"/>
  <c r="B1154" i="2"/>
  <c r="A1154" i="2"/>
  <c r="B1153" i="2"/>
  <c r="A1153" i="2"/>
  <c r="B1152" i="2"/>
  <c r="A1152" i="2"/>
  <c r="B1151" i="2"/>
  <c r="A1151" i="2"/>
  <c r="B1150" i="2"/>
  <c r="A1150" i="2"/>
  <c r="B1149" i="2"/>
  <c r="A1149" i="2"/>
  <c r="B1148" i="2"/>
  <c r="A1148" i="2"/>
  <c r="B1147" i="2"/>
  <c r="A1147" i="2"/>
  <c r="B1146" i="2"/>
  <c r="A1146" i="2"/>
  <c r="B1145" i="2"/>
  <c r="A1145" i="2"/>
  <c r="B1144" i="2"/>
  <c r="A1144" i="2"/>
  <c r="B1143" i="2"/>
  <c r="A1143" i="2"/>
  <c r="B1142" i="2"/>
  <c r="A1142" i="2"/>
  <c r="B1141" i="2"/>
  <c r="A1141" i="2"/>
  <c r="B1140" i="2"/>
  <c r="A1140" i="2"/>
  <c r="B1139" i="2"/>
  <c r="A1139" i="2"/>
  <c r="B1138" i="2"/>
  <c r="A1138" i="2"/>
  <c r="B1137" i="2"/>
  <c r="A1137" i="2"/>
  <c r="B1136" i="2"/>
  <c r="A1136" i="2"/>
  <c r="B1135" i="2"/>
  <c r="A1135" i="2"/>
  <c r="B1134" i="2"/>
  <c r="A1134" i="2"/>
  <c r="B1133" i="2"/>
  <c r="A1133" i="2"/>
  <c r="B1132" i="2"/>
  <c r="A1132" i="2"/>
  <c r="B1131" i="2"/>
  <c r="A1131" i="2"/>
  <c r="B1130" i="2"/>
  <c r="A1130" i="2"/>
  <c r="B1129" i="2"/>
  <c r="A1129" i="2"/>
  <c r="B1128" i="2"/>
  <c r="A1128" i="2"/>
  <c r="B1127" i="2"/>
  <c r="A1127" i="2"/>
  <c r="B1126" i="2"/>
  <c r="A1126" i="2"/>
  <c r="B1125" i="2"/>
  <c r="A1125" i="2"/>
  <c r="B1124" i="2"/>
  <c r="A1124" i="2"/>
  <c r="B1123" i="2"/>
  <c r="A1123" i="2"/>
  <c r="B1122" i="2"/>
  <c r="A1122" i="2"/>
  <c r="B1121" i="2"/>
  <c r="A1121" i="2"/>
  <c r="B1120" i="2"/>
  <c r="A1120" i="2"/>
  <c r="B1119" i="2"/>
  <c r="A1119" i="2"/>
  <c r="B1118" i="2"/>
  <c r="A1118" i="2"/>
  <c r="B1117" i="2"/>
  <c r="A1117" i="2"/>
  <c r="B1116" i="2"/>
  <c r="A1116" i="2"/>
  <c r="B1115" i="2"/>
  <c r="A1115" i="2"/>
  <c r="B1114" i="2"/>
  <c r="A1114" i="2"/>
  <c r="B1113" i="2"/>
  <c r="A1113" i="2"/>
  <c r="B1112" i="2"/>
  <c r="A1112" i="2"/>
  <c r="B1111" i="2"/>
  <c r="A1111" i="2"/>
  <c r="B1110" i="2"/>
  <c r="A1110" i="2"/>
  <c r="B1109" i="2"/>
  <c r="A1109" i="2"/>
  <c r="B1108" i="2"/>
  <c r="A1108" i="2"/>
  <c r="B1107" i="2"/>
  <c r="A1107" i="2"/>
  <c r="B1106" i="2"/>
  <c r="A1106" i="2"/>
  <c r="B1105" i="2"/>
  <c r="A1105" i="2"/>
  <c r="B1104" i="2"/>
  <c r="A1104" i="2"/>
  <c r="B1103" i="2"/>
  <c r="A1103" i="2"/>
  <c r="B1102" i="2"/>
  <c r="A1102" i="2"/>
  <c r="B1101" i="2"/>
  <c r="A1101" i="2"/>
  <c r="B1100" i="2"/>
  <c r="A1100" i="2"/>
  <c r="B1099" i="2"/>
  <c r="A1099" i="2"/>
  <c r="B1098" i="2"/>
  <c r="A1098" i="2"/>
  <c r="B1097" i="2"/>
  <c r="A1097" i="2"/>
  <c r="B1096" i="2"/>
  <c r="A1096" i="2"/>
  <c r="B1095" i="2"/>
  <c r="A1095" i="2"/>
  <c r="B1094" i="2"/>
  <c r="A1094" i="2"/>
  <c r="B1093" i="2"/>
  <c r="A1093" i="2"/>
  <c r="B1092" i="2"/>
  <c r="A1092" i="2"/>
  <c r="B1091" i="2"/>
  <c r="A1091" i="2"/>
  <c r="B1090" i="2"/>
  <c r="A1090" i="2"/>
  <c r="B1089" i="2"/>
  <c r="A1089" i="2"/>
  <c r="B1088" i="2"/>
  <c r="A1088" i="2"/>
  <c r="B1087" i="2"/>
  <c r="A1087" i="2"/>
  <c r="B1086" i="2"/>
  <c r="A1086" i="2"/>
  <c r="B1085" i="2"/>
  <c r="A1085" i="2"/>
  <c r="B1084" i="2"/>
  <c r="A1084" i="2"/>
  <c r="B1083" i="2"/>
  <c r="A1083" i="2"/>
  <c r="B1082" i="2"/>
  <c r="A1082" i="2"/>
  <c r="B1081" i="2"/>
  <c r="A1081" i="2"/>
  <c r="B1080" i="2"/>
  <c r="A1080" i="2"/>
  <c r="B1079" i="2"/>
  <c r="A1079" i="2"/>
  <c r="B1078" i="2"/>
  <c r="A1078" i="2"/>
  <c r="B1077" i="2"/>
  <c r="A1077" i="2"/>
  <c r="B1076" i="2"/>
  <c r="A1076" i="2"/>
  <c r="B1075" i="2"/>
  <c r="A1075" i="2"/>
  <c r="B1074" i="2"/>
  <c r="A1074" i="2"/>
  <c r="B1073" i="2"/>
  <c r="A1073" i="2"/>
  <c r="B1072" i="2"/>
  <c r="A1072" i="2"/>
  <c r="B1071" i="2"/>
  <c r="A1071" i="2"/>
  <c r="B1070" i="2"/>
  <c r="A1070" i="2"/>
  <c r="B1069" i="2"/>
  <c r="A1069" i="2"/>
  <c r="B1068" i="2"/>
  <c r="A1068" i="2"/>
  <c r="B1067" i="2"/>
  <c r="A1067" i="2"/>
  <c r="B1066" i="2"/>
  <c r="A1066" i="2"/>
  <c r="B1065" i="2"/>
  <c r="A1065" i="2"/>
  <c r="B1064" i="2"/>
  <c r="A1064" i="2"/>
  <c r="B1063" i="2"/>
  <c r="A1063" i="2"/>
  <c r="B1062" i="2"/>
  <c r="A1062" i="2"/>
  <c r="B1061" i="2"/>
  <c r="A1061" i="2"/>
  <c r="B1060" i="2"/>
  <c r="A1060" i="2"/>
  <c r="B1059" i="2"/>
  <c r="A1059" i="2"/>
  <c r="B1058" i="2"/>
  <c r="A1058" i="2"/>
  <c r="B1057" i="2"/>
  <c r="A1057" i="2"/>
  <c r="B1056" i="2"/>
  <c r="A1056" i="2"/>
  <c r="B1055" i="2"/>
  <c r="A1055" i="2"/>
  <c r="B1054" i="2"/>
  <c r="A1054" i="2"/>
  <c r="B1053" i="2"/>
  <c r="A1053" i="2"/>
  <c r="B1052" i="2"/>
  <c r="A1052" i="2"/>
  <c r="B1051" i="2"/>
  <c r="A1051" i="2"/>
  <c r="B1050" i="2"/>
  <c r="A1050" i="2"/>
  <c r="B1049" i="2"/>
  <c r="A1049" i="2"/>
  <c r="B1048" i="2"/>
  <c r="A1048" i="2"/>
  <c r="B1047" i="2"/>
  <c r="A1047" i="2"/>
  <c r="B1046" i="2"/>
  <c r="A1046" i="2"/>
  <c r="B1045" i="2"/>
  <c r="A1045" i="2"/>
  <c r="B1044" i="2"/>
  <c r="A1044" i="2"/>
  <c r="B1043" i="2"/>
  <c r="A1043" i="2"/>
  <c r="B1042" i="2"/>
  <c r="A1042" i="2"/>
  <c r="B1041" i="2"/>
  <c r="A1041" i="2"/>
  <c r="B1040" i="2"/>
  <c r="A1040" i="2"/>
  <c r="B1039" i="2"/>
  <c r="A1039" i="2"/>
  <c r="B1038" i="2"/>
  <c r="A1038" i="2"/>
  <c r="B1037" i="2"/>
  <c r="A1037" i="2"/>
  <c r="B1036" i="2"/>
  <c r="A1036" i="2"/>
  <c r="B1035" i="2"/>
  <c r="A1035" i="2"/>
  <c r="B1034" i="2"/>
  <c r="A1034" i="2"/>
  <c r="B1033" i="2"/>
  <c r="A1033" i="2"/>
  <c r="B1032" i="2"/>
  <c r="A1032" i="2"/>
  <c r="B1031" i="2"/>
  <c r="A1031" i="2"/>
  <c r="B1030" i="2"/>
  <c r="A1030" i="2"/>
  <c r="B1029" i="2"/>
  <c r="A1029" i="2"/>
  <c r="B1028" i="2"/>
  <c r="A1028" i="2"/>
  <c r="B1027" i="2"/>
  <c r="A1027" i="2"/>
  <c r="B1026" i="2"/>
  <c r="A1026" i="2"/>
  <c r="B1025" i="2"/>
  <c r="A1025" i="2"/>
  <c r="B1024" i="2"/>
  <c r="A1024" i="2"/>
  <c r="B1023" i="2"/>
  <c r="A1023" i="2"/>
  <c r="B1022" i="2"/>
  <c r="A1022" i="2"/>
  <c r="B1021" i="2"/>
  <c r="A1021" i="2"/>
  <c r="B1020" i="2"/>
  <c r="A1020" i="2"/>
  <c r="B1019" i="2"/>
  <c r="A1019" i="2"/>
  <c r="B1018" i="2"/>
  <c r="A1018" i="2"/>
  <c r="B1017" i="2"/>
  <c r="A1017" i="2"/>
  <c r="B1016" i="2"/>
  <c r="A1016" i="2"/>
  <c r="B1015" i="2"/>
  <c r="A1015" i="2"/>
  <c r="B1014" i="2"/>
  <c r="A1014" i="2"/>
  <c r="B1013" i="2"/>
  <c r="A1013" i="2"/>
  <c r="B1012" i="2"/>
  <c r="A1012" i="2"/>
  <c r="B1011" i="2"/>
  <c r="A1011" i="2"/>
  <c r="B1010" i="2"/>
  <c r="A1010" i="2"/>
  <c r="B1009" i="2"/>
  <c r="A1009" i="2"/>
  <c r="B1008" i="2"/>
  <c r="A1008" i="2"/>
  <c r="B1007" i="2"/>
  <c r="A1007" i="2"/>
  <c r="B1006" i="2"/>
  <c r="A1006" i="2"/>
  <c r="B1005" i="2"/>
  <c r="A1005" i="2"/>
  <c r="B1004" i="2"/>
  <c r="A1004" i="2"/>
  <c r="B1003" i="2"/>
  <c r="A1003" i="2"/>
  <c r="B1002" i="2"/>
  <c r="A1002" i="2"/>
  <c r="B1001" i="2"/>
  <c r="A1001" i="2"/>
  <c r="B1000" i="2"/>
  <c r="A1000" i="2"/>
  <c r="B999" i="2"/>
  <c r="A999" i="2"/>
  <c r="B998" i="2"/>
  <c r="A998" i="2"/>
  <c r="B997" i="2"/>
  <c r="A997" i="2"/>
  <c r="B996" i="2"/>
  <c r="A996" i="2"/>
  <c r="B995" i="2"/>
  <c r="A995" i="2"/>
  <c r="B994" i="2"/>
  <c r="A994" i="2"/>
  <c r="B993" i="2"/>
  <c r="A993" i="2"/>
  <c r="B992" i="2"/>
  <c r="A992" i="2"/>
  <c r="B991" i="2"/>
  <c r="A991" i="2"/>
  <c r="B990" i="2"/>
  <c r="A990" i="2"/>
  <c r="B989" i="2"/>
  <c r="A989" i="2"/>
  <c r="B988" i="2"/>
  <c r="A988" i="2"/>
  <c r="B987" i="2"/>
  <c r="A987" i="2"/>
  <c r="B986" i="2"/>
  <c r="A986" i="2"/>
  <c r="B985" i="2"/>
  <c r="A985" i="2"/>
  <c r="B984" i="2"/>
  <c r="A984" i="2"/>
  <c r="B983" i="2"/>
  <c r="A983" i="2"/>
  <c r="B982" i="2"/>
  <c r="A982" i="2"/>
  <c r="B981" i="2"/>
  <c r="A981" i="2"/>
  <c r="B980" i="2"/>
  <c r="A980" i="2"/>
  <c r="B979" i="2"/>
  <c r="A979" i="2"/>
  <c r="B978" i="2"/>
  <c r="A978" i="2"/>
  <c r="B977" i="2"/>
  <c r="A977" i="2"/>
  <c r="B976" i="2"/>
  <c r="A976" i="2"/>
  <c r="B975" i="2"/>
  <c r="A975" i="2"/>
  <c r="B974" i="2"/>
  <c r="A974" i="2"/>
  <c r="B973" i="2"/>
  <c r="A973" i="2"/>
  <c r="B972" i="2"/>
  <c r="A972" i="2"/>
  <c r="B971" i="2"/>
  <c r="A971" i="2"/>
  <c r="B970" i="2"/>
  <c r="A970" i="2"/>
  <c r="B969" i="2"/>
  <c r="A969" i="2"/>
  <c r="B968" i="2"/>
  <c r="A968" i="2"/>
  <c r="B967" i="2"/>
  <c r="A967" i="2"/>
  <c r="B966" i="2"/>
  <c r="A966" i="2"/>
  <c r="B965" i="2"/>
  <c r="A965" i="2"/>
  <c r="B964" i="2"/>
  <c r="A964" i="2"/>
  <c r="B963" i="2"/>
  <c r="A963" i="2"/>
  <c r="B962" i="2"/>
  <c r="A962" i="2"/>
  <c r="B961" i="2"/>
  <c r="A961" i="2"/>
  <c r="B960" i="2"/>
  <c r="A960" i="2"/>
  <c r="B959" i="2"/>
  <c r="A959" i="2"/>
  <c r="B958" i="2"/>
  <c r="A958" i="2"/>
  <c r="B957" i="2"/>
  <c r="A957" i="2"/>
  <c r="B956" i="2"/>
  <c r="A956" i="2"/>
  <c r="B955" i="2"/>
  <c r="A955" i="2"/>
  <c r="B954" i="2"/>
  <c r="A954" i="2"/>
  <c r="B953" i="2"/>
  <c r="A953" i="2"/>
  <c r="B952" i="2"/>
  <c r="A952" i="2"/>
  <c r="B951" i="2"/>
  <c r="A951" i="2"/>
  <c r="B950" i="2"/>
  <c r="A950" i="2"/>
  <c r="B949" i="2"/>
  <c r="A949" i="2"/>
  <c r="B948" i="2"/>
  <c r="A948" i="2"/>
  <c r="B947" i="2"/>
  <c r="A947" i="2"/>
  <c r="B946" i="2"/>
  <c r="A946" i="2"/>
  <c r="B945" i="2"/>
  <c r="A945" i="2"/>
  <c r="B944" i="2"/>
  <c r="A944" i="2"/>
  <c r="B943" i="2"/>
  <c r="A943" i="2"/>
  <c r="B942" i="2"/>
  <c r="A942" i="2"/>
  <c r="B941" i="2"/>
  <c r="A941" i="2"/>
  <c r="B940" i="2"/>
  <c r="A940" i="2"/>
  <c r="B939" i="2"/>
  <c r="A939" i="2"/>
  <c r="B938" i="2"/>
  <c r="A938" i="2"/>
  <c r="B937" i="2"/>
  <c r="A937" i="2"/>
  <c r="B936" i="2"/>
  <c r="A936" i="2"/>
  <c r="B935" i="2"/>
  <c r="A935" i="2"/>
  <c r="B934" i="2"/>
  <c r="A934" i="2"/>
  <c r="B933" i="2"/>
  <c r="A933" i="2"/>
  <c r="B932" i="2"/>
  <c r="A932" i="2"/>
  <c r="B931" i="2"/>
  <c r="A931" i="2"/>
  <c r="B930" i="2"/>
  <c r="A930" i="2"/>
  <c r="B929" i="2"/>
  <c r="A929" i="2"/>
  <c r="B928" i="2"/>
  <c r="A928" i="2"/>
  <c r="B927" i="2"/>
  <c r="A927" i="2"/>
  <c r="B926" i="2"/>
  <c r="A926" i="2"/>
  <c r="B925" i="2"/>
  <c r="A925" i="2"/>
  <c r="B924" i="2"/>
  <c r="A924" i="2"/>
  <c r="B923" i="2"/>
  <c r="A923" i="2"/>
  <c r="B922" i="2"/>
  <c r="A922" i="2"/>
  <c r="B921" i="2"/>
  <c r="A921" i="2"/>
  <c r="B920" i="2"/>
  <c r="A920" i="2"/>
  <c r="B919" i="2"/>
  <c r="A919" i="2"/>
  <c r="B918" i="2"/>
  <c r="A918" i="2"/>
  <c r="B917" i="2"/>
  <c r="A917" i="2"/>
  <c r="B916" i="2"/>
  <c r="A916" i="2"/>
  <c r="B915" i="2"/>
  <c r="A915" i="2"/>
  <c r="B914" i="2"/>
  <c r="A914" i="2"/>
  <c r="B913" i="2"/>
  <c r="A913" i="2"/>
  <c r="B912" i="2"/>
  <c r="A912" i="2"/>
  <c r="B911" i="2"/>
  <c r="A911" i="2"/>
  <c r="B910" i="2"/>
  <c r="A910" i="2"/>
  <c r="B909" i="2"/>
  <c r="A909" i="2"/>
  <c r="B908" i="2"/>
  <c r="A908" i="2"/>
  <c r="B907" i="2"/>
  <c r="A907" i="2"/>
  <c r="B906" i="2"/>
  <c r="A906" i="2"/>
  <c r="B905" i="2"/>
  <c r="A905" i="2"/>
  <c r="B904" i="2"/>
  <c r="A904" i="2"/>
  <c r="B903" i="2"/>
  <c r="A903" i="2"/>
  <c r="B902" i="2"/>
  <c r="A902" i="2"/>
  <c r="B901" i="2"/>
  <c r="A901" i="2"/>
  <c r="B900" i="2"/>
  <c r="A900" i="2"/>
  <c r="B899" i="2"/>
  <c r="A899" i="2"/>
  <c r="B898" i="2"/>
  <c r="A898" i="2"/>
  <c r="B897" i="2"/>
  <c r="A897" i="2"/>
  <c r="B896" i="2"/>
  <c r="A896" i="2"/>
  <c r="B895" i="2"/>
  <c r="A895" i="2"/>
  <c r="B894" i="2"/>
  <c r="A894" i="2"/>
  <c r="B893" i="2"/>
  <c r="A893" i="2"/>
  <c r="B892" i="2"/>
  <c r="A892" i="2"/>
  <c r="B891" i="2"/>
  <c r="A891" i="2"/>
  <c r="B890" i="2"/>
  <c r="A890" i="2"/>
  <c r="B889" i="2"/>
  <c r="A889" i="2"/>
  <c r="B888" i="2"/>
  <c r="A888" i="2"/>
  <c r="B887" i="2"/>
  <c r="A887" i="2"/>
  <c r="B886" i="2"/>
  <c r="A886" i="2"/>
  <c r="B885" i="2"/>
  <c r="A885" i="2"/>
  <c r="B884" i="2"/>
  <c r="A884" i="2"/>
  <c r="B883" i="2"/>
  <c r="A883" i="2"/>
  <c r="B882" i="2"/>
  <c r="A882" i="2"/>
  <c r="B881" i="2"/>
  <c r="A881" i="2"/>
  <c r="B880" i="2"/>
  <c r="A880" i="2"/>
  <c r="B879" i="2"/>
  <c r="A879" i="2"/>
  <c r="B878" i="2"/>
  <c r="A878" i="2"/>
  <c r="B877" i="2"/>
  <c r="A877" i="2"/>
  <c r="B876" i="2"/>
  <c r="A876" i="2"/>
  <c r="B875" i="2"/>
  <c r="A875" i="2"/>
  <c r="B874" i="2"/>
  <c r="A874" i="2"/>
  <c r="B873" i="2"/>
  <c r="A873" i="2"/>
  <c r="B872" i="2"/>
  <c r="A872" i="2"/>
  <c r="B871" i="2"/>
  <c r="A871" i="2"/>
  <c r="B870" i="2"/>
  <c r="A870" i="2"/>
  <c r="B869" i="2"/>
  <c r="A869" i="2"/>
  <c r="B868" i="2"/>
  <c r="A868" i="2"/>
  <c r="B867" i="2"/>
  <c r="A867" i="2"/>
  <c r="B866" i="2"/>
  <c r="A866" i="2"/>
  <c r="B865" i="2"/>
  <c r="A865" i="2"/>
  <c r="B864" i="2"/>
  <c r="A864" i="2"/>
  <c r="B863" i="2"/>
  <c r="A863" i="2"/>
  <c r="B862" i="2"/>
  <c r="A862" i="2"/>
  <c r="B861" i="2"/>
  <c r="A861" i="2"/>
  <c r="B860" i="2"/>
  <c r="A860" i="2"/>
  <c r="B859" i="2"/>
  <c r="A859" i="2"/>
  <c r="B858" i="2"/>
  <c r="A858" i="2"/>
  <c r="B857" i="2"/>
  <c r="A857" i="2"/>
  <c r="B856" i="2"/>
  <c r="A856" i="2"/>
  <c r="B855" i="2"/>
  <c r="A855" i="2"/>
  <c r="B854" i="2"/>
  <c r="A854" i="2"/>
  <c r="B853" i="2"/>
  <c r="A853" i="2"/>
  <c r="B852" i="2"/>
  <c r="A852" i="2"/>
  <c r="B851" i="2"/>
  <c r="A851" i="2"/>
  <c r="B850" i="2"/>
  <c r="A850" i="2"/>
  <c r="B849" i="2"/>
  <c r="A849" i="2"/>
  <c r="B848" i="2"/>
  <c r="A848" i="2"/>
  <c r="B847" i="2"/>
  <c r="A847" i="2"/>
  <c r="B846" i="2"/>
  <c r="A846" i="2"/>
  <c r="B845" i="2"/>
  <c r="A845" i="2"/>
  <c r="B844" i="2"/>
  <c r="A844" i="2"/>
  <c r="B843" i="2"/>
  <c r="A843" i="2"/>
  <c r="B842" i="2"/>
  <c r="A842" i="2"/>
  <c r="B841" i="2"/>
  <c r="A841" i="2"/>
  <c r="B840" i="2"/>
  <c r="A840" i="2"/>
  <c r="B839" i="2"/>
  <c r="A839" i="2"/>
  <c r="B838" i="2"/>
  <c r="A838" i="2"/>
  <c r="B837" i="2"/>
  <c r="A837" i="2"/>
  <c r="B836" i="2"/>
  <c r="A836" i="2"/>
  <c r="B835" i="2"/>
  <c r="A835" i="2"/>
  <c r="B834" i="2"/>
  <c r="A834" i="2"/>
  <c r="B833" i="2"/>
  <c r="A833" i="2"/>
  <c r="B832" i="2"/>
  <c r="A832" i="2"/>
  <c r="B831" i="2"/>
  <c r="A831" i="2"/>
  <c r="B830" i="2"/>
  <c r="A830" i="2"/>
  <c r="B829" i="2"/>
  <c r="A829" i="2"/>
  <c r="B828" i="2"/>
  <c r="A828" i="2"/>
  <c r="B827" i="2"/>
  <c r="A827" i="2"/>
  <c r="B826" i="2"/>
  <c r="A826" i="2"/>
  <c r="B825" i="2"/>
  <c r="A825" i="2"/>
  <c r="B824" i="2"/>
  <c r="A824" i="2"/>
  <c r="B823" i="2"/>
  <c r="A823" i="2"/>
  <c r="B822" i="2"/>
  <c r="A822" i="2"/>
  <c r="B821" i="2"/>
  <c r="A821" i="2"/>
  <c r="B820" i="2"/>
  <c r="A820" i="2"/>
  <c r="B819" i="2"/>
  <c r="A819" i="2"/>
  <c r="B818" i="2"/>
  <c r="A818" i="2"/>
  <c r="B817" i="2"/>
  <c r="A817" i="2"/>
  <c r="B816" i="2"/>
  <c r="A816" i="2"/>
  <c r="B815" i="2"/>
  <c r="A815" i="2"/>
  <c r="B814" i="2"/>
  <c r="A814" i="2"/>
  <c r="B813" i="2"/>
  <c r="A813" i="2"/>
  <c r="B812" i="2"/>
  <c r="A812" i="2"/>
  <c r="B811" i="2"/>
  <c r="A811" i="2"/>
  <c r="B810" i="2"/>
  <c r="A810" i="2"/>
  <c r="B809" i="2"/>
  <c r="A809" i="2"/>
  <c r="B808" i="2"/>
  <c r="A808" i="2"/>
  <c r="B807" i="2"/>
  <c r="A807" i="2"/>
  <c r="B806" i="2"/>
  <c r="A806" i="2"/>
  <c r="B805" i="2"/>
  <c r="A805" i="2"/>
  <c r="B804" i="2"/>
  <c r="A804" i="2"/>
  <c r="B803" i="2"/>
  <c r="A803" i="2"/>
  <c r="B802" i="2"/>
  <c r="A802" i="2"/>
  <c r="B801" i="2"/>
  <c r="A801" i="2"/>
  <c r="B800" i="2"/>
  <c r="A800" i="2"/>
  <c r="B799" i="2"/>
  <c r="A799" i="2"/>
  <c r="B798" i="2"/>
  <c r="A798" i="2"/>
  <c r="B797" i="2"/>
  <c r="A797" i="2"/>
  <c r="B796" i="2"/>
  <c r="A796" i="2"/>
  <c r="B795" i="2"/>
  <c r="A795" i="2"/>
  <c r="B794" i="2"/>
  <c r="A794" i="2"/>
  <c r="B793" i="2"/>
  <c r="A793" i="2"/>
  <c r="B792" i="2"/>
  <c r="A792" i="2"/>
  <c r="B791" i="2"/>
  <c r="A791" i="2"/>
  <c r="B790" i="2"/>
  <c r="A790" i="2"/>
  <c r="B789" i="2"/>
  <c r="A789" i="2"/>
  <c r="B788" i="2"/>
  <c r="A788" i="2"/>
  <c r="B787" i="2"/>
  <c r="A787" i="2"/>
  <c r="B786" i="2"/>
  <c r="A786" i="2"/>
  <c r="B785" i="2"/>
  <c r="A785" i="2"/>
  <c r="B784" i="2"/>
  <c r="A784" i="2"/>
  <c r="B783" i="2"/>
  <c r="A783" i="2"/>
  <c r="B782" i="2"/>
  <c r="A782" i="2"/>
  <c r="B781" i="2"/>
  <c r="A781" i="2"/>
  <c r="B780" i="2"/>
  <c r="A780" i="2"/>
  <c r="B779" i="2"/>
  <c r="A779" i="2"/>
  <c r="B778" i="2"/>
  <c r="A778" i="2"/>
  <c r="B777" i="2"/>
  <c r="A777" i="2"/>
  <c r="B776" i="2"/>
  <c r="A776" i="2"/>
  <c r="B775" i="2"/>
  <c r="A775" i="2"/>
  <c r="B774" i="2"/>
  <c r="A774" i="2"/>
  <c r="B773" i="2"/>
  <c r="A773" i="2"/>
  <c r="B772" i="2"/>
  <c r="A772" i="2"/>
  <c r="B771" i="2"/>
  <c r="A771" i="2"/>
  <c r="B770" i="2"/>
  <c r="A770" i="2"/>
  <c r="B769" i="2"/>
  <c r="A769" i="2"/>
  <c r="B768" i="2"/>
  <c r="A768" i="2"/>
  <c r="B767" i="2"/>
  <c r="A767" i="2"/>
  <c r="B766" i="2"/>
  <c r="A766" i="2"/>
  <c r="B765" i="2"/>
  <c r="A765" i="2"/>
  <c r="B764" i="2"/>
  <c r="A764" i="2"/>
  <c r="B763" i="2"/>
  <c r="A763" i="2"/>
  <c r="B762" i="2"/>
  <c r="A762" i="2"/>
  <c r="B761" i="2"/>
  <c r="A761" i="2"/>
  <c r="B760" i="2"/>
  <c r="A760" i="2"/>
  <c r="B759" i="2"/>
  <c r="A759" i="2"/>
  <c r="B758" i="2"/>
  <c r="A758" i="2"/>
  <c r="B757" i="2"/>
  <c r="A757" i="2"/>
  <c r="B756" i="2"/>
  <c r="A756" i="2"/>
  <c r="B755" i="2"/>
  <c r="A755" i="2"/>
  <c r="B754" i="2"/>
  <c r="A754" i="2"/>
  <c r="B753" i="2"/>
  <c r="A753" i="2"/>
  <c r="B752" i="2"/>
  <c r="A752" i="2"/>
  <c r="B751" i="2"/>
  <c r="A751" i="2"/>
  <c r="B750" i="2"/>
  <c r="A750" i="2"/>
  <c r="B749" i="2"/>
  <c r="A749" i="2"/>
  <c r="B748" i="2"/>
  <c r="A748" i="2"/>
  <c r="B747" i="2"/>
  <c r="A747" i="2"/>
  <c r="B746" i="2"/>
  <c r="A746" i="2"/>
  <c r="B745" i="2"/>
  <c r="A745" i="2"/>
  <c r="B744" i="2"/>
  <c r="A744" i="2"/>
  <c r="B743" i="2"/>
  <c r="A743" i="2"/>
  <c r="B742" i="2"/>
  <c r="A742" i="2"/>
  <c r="B741" i="2"/>
  <c r="A741" i="2"/>
  <c r="B740" i="2"/>
  <c r="A740" i="2"/>
  <c r="B739" i="2"/>
  <c r="A739" i="2"/>
  <c r="B738" i="2"/>
  <c r="A738" i="2"/>
  <c r="B737" i="2"/>
  <c r="A737" i="2"/>
  <c r="B736" i="2"/>
  <c r="A736" i="2"/>
  <c r="B735" i="2"/>
  <c r="A735" i="2"/>
  <c r="B734" i="2"/>
  <c r="A734" i="2"/>
  <c r="B733" i="2"/>
  <c r="A733" i="2"/>
  <c r="B732" i="2"/>
  <c r="A732" i="2"/>
  <c r="B731" i="2"/>
  <c r="A731" i="2"/>
  <c r="B730" i="2"/>
  <c r="A730" i="2"/>
  <c r="B729" i="2"/>
  <c r="A729" i="2"/>
  <c r="B728" i="2"/>
  <c r="A728" i="2"/>
  <c r="B727" i="2"/>
  <c r="A727" i="2"/>
  <c r="B726" i="2"/>
  <c r="A726" i="2"/>
  <c r="B725" i="2"/>
  <c r="A725" i="2"/>
  <c r="B724" i="2"/>
  <c r="A724" i="2"/>
  <c r="B723" i="2"/>
  <c r="A723" i="2"/>
  <c r="B722" i="2"/>
  <c r="A722" i="2"/>
  <c r="B721" i="2"/>
  <c r="A721" i="2"/>
  <c r="B720" i="2"/>
  <c r="A720" i="2"/>
  <c r="B719" i="2"/>
  <c r="A719" i="2"/>
  <c r="B718" i="2"/>
  <c r="A718" i="2"/>
  <c r="B717" i="2"/>
  <c r="A717" i="2"/>
  <c r="B716" i="2"/>
  <c r="A716" i="2"/>
  <c r="B715" i="2"/>
  <c r="A715" i="2"/>
  <c r="B714" i="2"/>
  <c r="A714" i="2"/>
  <c r="B713" i="2"/>
  <c r="A713" i="2"/>
  <c r="B712" i="2"/>
  <c r="A712" i="2"/>
  <c r="B711" i="2"/>
  <c r="A711" i="2"/>
  <c r="B710" i="2"/>
  <c r="A710" i="2"/>
  <c r="B709" i="2"/>
  <c r="A709" i="2"/>
  <c r="B708" i="2"/>
  <c r="A708" i="2"/>
  <c r="B707" i="2"/>
  <c r="A707" i="2"/>
  <c r="B706" i="2"/>
  <c r="A706" i="2"/>
  <c r="B705" i="2"/>
  <c r="A705" i="2"/>
  <c r="B704" i="2"/>
  <c r="A704" i="2"/>
  <c r="B703" i="2"/>
  <c r="A703" i="2"/>
  <c r="B702" i="2"/>
  <c r="A702" i="2"/>
  <c r="B701" i="2"/>
  <c r="A701" i="2"/>
  <c r="B700" i="2"/>
  <c r="A700" i="2"/>
  <c r="B699" i="2"/>
  <c r="A699" i="2"/>
  <c r="B698" i="2"/>
  <c r="A698" i="2"/>
  <c r="B697" i="2"/>
  <c r="A697" i="2"/>
  <c r="B696" i="2"/>
  <c r="A696" i="2"/>
  <c r="B695" i="2"/>
  <c r="A695" i="2"/>
  <c r="B694" i="2"/>
  <c r="A694" i="2"/>
  <c r="B693" i="2"/>
  <c r="A693" i="2"/>
  <c r="B692" i="2"/>
  <c r="A692" i="2"/>
  <c r="B691" i="2"/>
  <c r="A691" i="2"/>
  <c r="B690" i="2"/>
  <c r="A690" i="2"/>
  <c r="B689" i="2"/>
  <c r="A689" i="2"/>
  <c r="B688" i="2"/>
  <c r="A688" i="2"/>
  <c r="B687" i="2"/>
  <c r="A687" i="2"/>
  <c r="B686" i="2"/>
  <c r="A686" i="2"/>
  <c r="B685" i="2"/>
  <c r="A685" i="2"/>
  <c r="B684" i="2"/>
  <c r="A684" i="2"/>
  <c r="B683" i="2"/>
  <c r="A683" i="2"/>
  <c r="B682" i="2"/>
  <c r="A682" i="2"/>
  <c r="B681" i="2"/>
  <c r="A681" i="2"/>
  <c r="B680" i="2"/>
  <c r="A680" i="2"/>
  <c r="B679" i="2"/>
  <c r="A679" i="2"/>
  <c r="B678" i="2"/>
  <c r="A678" i="2"/>
  <c r="B677" i="2"/>
  <c r="A677" i="2"/>
  <c r="B676" i="2"/>
  <c r="A676" i="2"/>
  <c r="B675" i="2"/>
  <c r="A675" i="2"/>
  <c r="B674" i="2"/>
  <c r="A674" i="2"/>
  <c r="B673" i="2"/>
  <c r="A673" i="2"/>
  <c r="B672" i="2"/>
  <c r="A672" i="2"/>
  <c r="B671" i="2"/>
  <c r="A671" i="2"/>
  <c r="B670" i="2"/>
  <c r="A670" i="2"/>
  <c r="B669" i="2"/>
  <c r="A669" i="2"/>
  <c r="B668" i="2"/>
  <c r="A668" i="2"/>
  <c r="B667" i="2"/>
  <c r="A667" i="2"/>
  <c r="B666" i="2"/>
  <c r="A666" i="2"/>
  <c r="B665" i="2"/>
  <c r="A665" i="2"/>
  <c r="B664" i="2"/>
  <c r="A664" i="2"/>
  <c r="B663" i="2"/>
  <c r="A663" i="2"/>
  <c r="B662" i="2"/>
  <c r="A662" i="2"/>
  <c r="B661" i="2"/>
  <c r="A661" i="2"/>
  <c r="B660" i="2"/>
  <c r="A660" i="2"/>
  <c r="B659" i="2"/>
  <c r="A659" i="2"/>
  <c r="B658" i="2"/>
  <c r="A658" i="2"/>
  <c r="B657" i="2"/>
  <c r="A657" i="2"/>
  <c r="B656" i="2"/>
  <c r="A656" i="2"/>
  <c r="B655" i="2"/>
  <c r="A655" i="2"/>
  <c r="B654" i="2"/>
  <c r="A654" i="2"/>
  <c r="B653" i="2"/>
  <c r="A653" i="2"/>
  <c r="B652" i="2"/>
  <c r="A652" i="2"/>
  <c r="B651" i="2"/>
  <c r="A651" i="2"/>
  <c r="B650" i="2"/>
  <c r="A650" i="2"/>
  <c r="B649" i="2"/>
  <c r="A649" i="2"/>
  <c r="B648" i="2"/>
  <c r="A648" i="2"/>
  <c r="B647" i="2"/>
  <c r="A647" i="2"/>
  <c r="B646" i="2"/>
  <c r="A646" i="2"/>
  <c r="B645" i="2"/>
  <c r="A645" i="2"/>
  <c r="B644" i="2"/>
  <c r="A644" i="2"/>
  <c r="B643" i="2"/>
  <c r="A643" i="2"/>
  <c r="B642" i="2"/>
  <c r="A642" i="2"/>
  <c r="B641" i="2"/>
  <c r="A641" i="2"/>
  <c r="B640" i="2"/>
  <c r="A640" i="2"/>
  <c r="B639" i="2"/>
  <c r="A639" i="2"/>
  <c r="B638" i="2"/>
  <c r="A638" i="2"/>
  <c r="B637" i="2"/>
  <c r="A637" i="2"/>
  <c r="B636" i="2"/>
  <c r="A636" i="2"/>
  <c r="B635" i="2"/>
  <c r="A635" i="2"/>
  <c r="B634" i="2"/>
  <c r="A634" i="2"/>
  <c r="B633" i="2"/>
  <c r="A633" i="2"/>
  <c r="B632" i="2"/>
  <c r="A632" i="2"/>
  <c r="B631" i="2"/>
  <c r="A631" i="2"/>
  <c r="B630" i="2"/>
  <c r="A630" i="2"/>
  <c r="B629" i="2"/>
  <c r="A629" i="2"/>
  <c r="B628" i="2"/>
  <c r="A628" i="2"/>
  <c r="B627" i="2"/>
  <c r="A627" i="2"/>
  <c r="B626" i="2"/>
  <c r="A626" i="2"/>
  <c r="B625" i="2"/>
  <c r="A625" i="2"/>
  <c r="B624" i="2"/>
  <c r="A624" i="2"/>
  <c r="B623" i="2"/>
  <c r="A623" i="2"/>
  <c r="B622" i="2"/>
  <c r="A622" i="2"/>
  <c r="B621" i="2"/>
  <c r="A621" i="2"/>
  <c r="B620" i="2"/>
  <c r="A620" i="2"/>
  <c r="B619" i="2"/>
  <c r="A619" i="2"/>
  <c r="B618" i="2"/>
  <c r="A618" i="2"/>
  <c r="B617" i="2"/>
  <c r="A617" i="2"/>
  <c r="B616" i="2"/>
  <c r="A616" i="2"/>
  <c r="B615" i="2"/>
  <c r="A615" i="2"/>
  <c r="B614" i="2"/>
  <c r="A614" i="2"/>
  <c r="B613" i="2"/>
  <c r="A613" i="2"/>
  <c r="B612" i="2"/>
  <c r="A612" i="2"/>
  <c r="B611" i="2"/>
  <c r="A611" i="2"/>
  <c r="B610" i="2"/>
  <c r="A610" i="2"/>
  <c r="B609" i="2"/>
  <c r="A609" i="2"/>
  <c r="B608" i="2"/>
  <c r="A608" i="2"/>
  <c r="B607" i="2"/>
  <c r="A607" i="2"/>
  <c r="B606" i="2"/>
  <c r="A606" i="2"/>
  <c r="B605" i="2"/>
  <c r="A605" i="2"/>
  <c r="B604" i="2"/>
  <c r="A604" i="2"/>
  <c r="B603" i="2"/>
  <c r="A603" i="2"/>
  <c r="B602" i="2"/>
  <c r="A602" i="2"/>
  <c r="B601" i="2"/>
  <c r="A601" i="2"/>
  <c r="B600" i="2"/>
  <c r="A600" i="2"/>
  <c r="B599" i="2"/>
  <c r="A599" i="2"/>
  <c r="B598" i="2"/>
  <c r="A598" i="2"/>
  <c r="B597" i="2"/>
  <c r="A597" i="2"/>
  <c r="B596" i="2"/>
  <c r="A596" i="2"/>
  <c r="B595" i="2"/>
  <c r="A595" i="2"/>
  <c r="B594" i="2"/>
  <c r="A594" i="2"/>
  <c r="B593" i="2"/>
  <c r="A593" i="2"/>
  <c r="B592" i="2"/>
  <c r="A592" i="2"/>
  <c r="B591" i="2"/>
  <c r="A591" i="2"/>
  <c r="B590" i="2"/>
  <c r="A590" i="2"/>
  <c r="B589" i="2"/>
  <c r="A589" i="2"/>
  <c r="B588" i="2"/>
  <c r="A588" i="2"/>
  <c r="B587" i="2"/>
  <c r="A587" i="2"/>
  <c r="B586" i="2"/>
  <c r="A586" i="2"/>
  <c r="B585" i="2"/>
  <c r="A585" i="2"/>
  <c r="B584" i="2"/>
  <c r="A584" i="2"/>
  <c r="B583" i="2"/>
  <c r="A583" i="2"/>
  <c r="B582" i="2"/>
  <c r="A582" i="2"/>
  <c r="B581" i="2"/>
  <c r="A581" i="2"/>
  <c r="B580" i="2"/>
  <c r="A580" i="2"/>
  <c r="B579" i="2"/>
  <c r="A579" i="2"/>
  <c r="B578" i="2"/>
  <c r="A578" i="2"/>
  <c r="B577" i="2"/>
  <c r="A577" i="2"/>
  <c r="B576" i="2"/>
  <c r="A576" i="2"/>
  <c r="B575" i="2"/>
  <c r="A575" i="2"/>
  <c r="B574" i="2"/>
  <c r="A574" i="2"/>
  <c r="B573" i="2"/>
  <c r="A573" i="2"/>
  <c r="B572" i="2"/>
  <c r="A572" i="2"/>
  <c r="B571" i="2"/>
  <c r="A571" i="2"/>
  <c r="B570" i="2"/>
  <c r="A570" i="2"/>
  <c r="B569" i="2"/>
  <c r="A569" i="2"/>
  <c r="B568" i="2"/>
  <c r="A568" i="2"/>
  <c r="B567" i="2"/>
  <c r="A567" i="2"/>
  <c r="B566" i="2"/>
  <c r="A566" i="2"/>
  <c r="B565" i="2"/>
  <c r="A565" i="2"/>
  <c r="B564" i="2"/>
  <c r="A564" i="2"/>
  <c r="B563" i="2"/>
  <c r="A563" i="2"/>
  <c r="B562" i="2"/>
  <c r="A562" i="2"/>
  <c r="B561" i="2"/>
  <c r="A561" i="2"/>
  <c r="B560" i="2"/>
  <c r="A560" i="2"/>
  <c r="B559" i="2"/>
  <c r="A559" i="2"/>
  <c r="B558" i="2"/>
  <c r="A558" i="2"/>
  <c r="B557" i="2"/>
  <c r="A557" i="2"/>
  <c r="B556" i="2"/>
  <c r="A556" i="2"/>
  <c r="B555" i="2"/>
  <c r="A555" i="2"/>
  <c r="B554" i="2"/>
  <c r="A554" i="2"/>
  <c r="B553" i="2"/>
  <c r="A553" i="2"/>
  <c r="B552" i="2"/>
  <c r="A552" i="2"/>
  <c r="B551" i="2"/>
  <c r="A551" i="2"/>
  <c r="B550" i="2"/>
  <c r="A550" i="2"/>
  <c r="B549" i="2"/>
  <c r="A549" i="2"/>
  <c r="B548" i="2"/>
  <c r="A548" i="2"/>
  <c r="B547" i="2"/>
  <c r="A547" i="2"/>
  <c r="B546" i="2"/>
  <c r="A546" i="2"/>
  <c r="B545" i="2"/>
  <c r="A545" i="2"/>
  <c r="B544" i="2"/>
  <c r="A544" i="2"/>
  <c r="B543" i="2"/>
  <c r="A543" i="2"/>
  <c r="B542" i="2"/>
  <c r="A542" i="2"/>
  <c r="B541" i="2"/>
  <c r="A541" i="2"/>
  <c r="B540" i="2"/>
  <c r="A540" i="2"/>
  <c r="B539" i="2"/>
  <c r="A539" i="2"/>
  <c r="B538" i="2"/>
  <c r="A538" i="2"/>
  <c r="B537" i="2"/>
  <c r="A537" i="2"/>
  <c r="B536" i="2"/>
  <c r="A536" i="2"/>
  <c r="B535" i="2"/>
  <c r="A535" i="2"/>
  <c r="B534" i="2"/>
  <c r="A534" i="2"/>
  <c r="B533" i="2"/>
  <c r="A533" i="2"/>
  <c r="B532" i="2"/>
  <c r="A532" i="2"/>
  <c r="B531" i="2"/>
  <c r="A531" i="2"/>
  <c r="B530" i="2"/>
  <c r="A530" i="2"/>
  <c r="B529" i="2"/>
  <c r="A529" i="2"/>
  <c r="B528" i="2"/>
  <c r="A528" i="2"/>
  <c r="B527" i="2"/>
  <c r="A527" i="2"/>
  <c r="B526" i="2"/>
  <c r="A526" i="2"/>
  <c r="B525" i="2"/>
  <c r="A525" i="2"/>
  <c r="B524" i="2"/>
  <c r="A524" i="2"/>
  <c r="B523" i="2"/>
  <c r="A523" i="2"/>
  <c r="B522" i="2"/>
  <c r="A522" i="2"/>
  <c r="B521" i="2"/>
  <c r="A521" i="2"/>
  <c r="B520" i="2"/>
  <c r="A520" i="2"/>
  <c r="B519" i="2"/>
  <c r="A519" i="2"/>
  <c r="B518" i="2"/>
  <c r="A518" i="2"/>
  <c r="B517" i="2"/>
  <c r="A517" i="2"/>
  <c r="B516" i="2"/>
  <c r="A516" i="2"/>
  <c r="B515" i="2"/>
  <c r="A515" i="2"/>
  <c r="B514" i="2"/>
  <c r="A514" i="2"/>
  <c r="B513" i="2"/>
  <c r="A513" i="2"/>
  <c r="B512" i="2"/>
  <c r="A512" i="2"/>
  <c r="B511" i="2"/>
  <c r="A511" i="2"/>
  <c r="B510" i="2"/>
  <c r="A510" i="2"/>
  <c r="B509" i="2"/>
  <c r="A509" i="2"/>
  <c r="B508" i="2"/>
  <c r="A508" i="2"/>
  <c r="B507" i="2"/>
  <c r="A507" i="2"/>
  <c r="B506" i="2"/>
  <c r="A506" i="2"/>
  <c r="B505" i="2"/>
  <c r="A505" i="2"/>
  <c r="B504" i="2"/>
  <c r="A504" i="2"/>
  <c r="B503" i="2"/>
  <c r="A503" i="2"/>
  <c r="B502" i="2"/>
  <c r="A502" i="2"/>
  <c r="B501" i="2"/>
  <c r="A501" i="2"/>
  <c r="B500" i="2"/>
  <c r="A500" i="2"/>
  <c r="B499" i="2"/>
  <c r="A499" i="2"/>
  <c r="B498" i="2"/>
  <c r="A498" i="2"/>
  <c r="B497" i="2"/>
  <c r="A497" i="2"/>
  <c r="B496" i="2"/>
  <c r="A496" i="2"/>
  <c r="B495" i="2"/>
  <c r="A495" i="2"/>
  <c r="B494" i="2"/>
  <c r="A494" i="2"/>
  <c r="B493" i="2"/>
  <c r="A493" i="2"/>
  <c r="B492" i="2"/>
  <c r="A492" i="2"/>
  <c r="B491" i="2"/>
  <c r="A491" i="2"/>
  <c r="B490" i="2"/>
  <c r="A490" i="2"/>
  <c r="B489" i="2"/>
  <c r="A489" i="2"/>
  <c r="B488" i="2"/>
  <c r="A488" i="2"/>
  <c r="B487" i="2"/>
  <c r="A487" i="2"/>
  <c r="B486" i="2"/>
  <c r="A486" i="2"/>
  <c r="B485" i="2"/>
  <c r="A485" i="2"/>
  <c r="B484" i="2"/>
  <c r="A484" i="2"/>
  <c r="B483" i="2"/>
  <c r="A483" i="2"/>
  <c r="B482" i="2"/>
  <c r="A482" i="2"/>
  <c r="B481" i="2"/>
  <c r="A481" i="2"/>
  <c r="B480" i="2"/>
  <c r="A480" i="2"/>
  <c r="B479" i="2"/>
  <c r="A479" i="2"/>
  <c r="B478" i="2"/>
  <c r="A478" i="2"/>
  <c r="B477" i="2"/>
  <c r="A477" i="2"/>
  <c r="B476" i="2"/>
  <c r="A476" i="2"/>
  <c r="B475" i="2"/>
  <c r="A475" i="2"/>
  <c r="B474" i="2"/>
  <c r="A474" i="2"/>
  <c r="B473" i="2"/>
  <c r="A473" i="2"/>
  <c r="B472" i="2"/>
  <c r="A472" i="2"/>
  <c r="B471" i="2"/>
  <c r="A471" i="2"/>
  <c r="B470" i="2"/>
  <c r="A470" i="2"/>
  <c r="B469" i="2"/>
  <c r="A469" i="2"/>
  <c r="B468" i="2"/>
  <c r="A468" i="2"/>
  <c r="B467" i="2"/>
  <c r="A467" i="2"/>
  <c r="B466" i="2"/>
  <c r="A466" i="2"/>
  <c r="B465" i="2"/>
  <c r="A465" i="2"/>
  <c r="B464" i="2"/>
  <c r="A464" i="2"/>
  <c r="B463" i="2"/>
  <c r="A463" i="2"/>
  <c r="B462" i="2"/>
  <c r="A462" i="2"/>
  <c r="B461" i="2"/>
  <c r="A461" i="2"/>
  <c r="B460" i="2"/>
  <c r="A460" i="2"/>
  <c r="B459" i="2"/>
  <c r="A459" i="2"/>
  <c r="B458" i="2"/>
  <c r="A458" i="2"/>
  <c r="B457" i="2"/>
  <c r="A457" i="2"/>
  <c r="B456" i="2"/>
  <c r="A456" i="2"/>
  <c r="B455" i="2"/>
  <c r="A455" i="2"/>
  <c r="B454" i="2"/>
  <c r="A454" i="2"/>
  <c r="B453" i="2"/>
  <c r="A453" i="2"/>
  <c r="B452" i="2"/>
  <c r="A452" i="2"/>
  <c r="B451" i="2"/>
  <c r="A451" i="2"/>
  <c r="B450" i="2"/>
  <c r="A450" i="2"/>
  <c r="B449" i="2"/>
  <c r="A449" i="2"/>
  <c r="B448" i="2"/>
  <c r="A448" i="2"/>
  <c r="B447" i="2"/>
  <c r="A447" i="2"/>
  <c r="B446" i="2"/>
  <c r="A446" i="2"/>
  <c r="B445" i="2"/>
  <c r="A445" i="2"/>
  <c r="B444" i="2"/>
  <c r="A444" i="2"/>
  <c r="B443" i="2"/>
  <c r="A443" i="2"/>
  <c r="B442" i="2"/>
  <c r="A442" i="2"/>
  <c r="B441" i="2"/>
  <c r="A441" i="2"/>
  <c r="B440" i="2"/>
  <c r="A440" i="2"/>
  <c r="B439" i="2"/>
  <c r="A439" i="2"/>
  <c r="B438" i="2"/>
  <c r="A438" i="2"/>
  <c r="B437" i="2"/>
  <c r="A437" i="2"/>
  <c r="B436" i="2"/>
  <c r="A436" i="2"/>
  <c r="B435" i="2"/>
  <c r="A435" i="2"/>
  <c r="B434" i="2"/>
  <c r="A434" i="2"/>
  <c r="B433" i="2"/>
  <c r="A433" i="2"/>
  <c r="B432" i="2"/>
  <c r="A432" i="2"/>
  <c r="B431" i="2"/>
  <c r="A431" i="2"/>
  <c r="B430" i="2"/>
  <c r="A430" i="2"/>
  <c r="B429" i="2"/>
  <c r="A429" i="2"/>
  <c r="B428" i="2"/>
  <c r="A428" i="2"/>
  <c r="B427" i="2"/>
  <c r="A427" i="2"/>
  <c r="B426" i="2"/>
  <c r="A426" i="2"/>
  <c r="B425" i="2"/>
  <c r="A425" i="2"/>
  <c r="B424" i="2"/>
  <c r="A424" i="2"/>
  <c r="B423" i="2"/>
  <c r="A423" i="2"/>
  <c r="B422" i="2"/>
  <c r="A422" i="2"/>
  <c r="B421" i="2"/>
  <c r="A421" i="2"/>
  <c r="B420" i="2"/>
  <c r="A420" i="2"/>
  <c r="B419" i="2"/>
  <c r="A419" i="2"/>
  <c r="B418" i="2"/>
  <c r="A418" i="2"/>
  <c r="B417" i="2"/>
  <c r="A417" i="2"/>
  <c r="B416" i="2"/>
  <c r="A416" i="2"/>
  <c r="B415" i="2"/>
  <c r="A415" i="2"/>
  <c r="B414" i="2"/>
  <c r="A414" i="2"/>
  <c r="B413" i="2"/>
  <c r="A413" i="2"/>
  <c r="B412" i="2"/>
  <c r="A412" i="2"/>
  <c r="B411" i="2"/>
  <c r="A411" i="2"/>
  <c r="B410" i="2"/>
  <c r="A410" i="2"/>
  <c r="B409" i="2"/>
  <c r="A409" i="2"/>
  <c r="B408" i="2"/>
  <c r="A408" i="2"/>
  <c r="B407" i="2"/>
  <c r="A407" i="2"/>
  <c r="B406" i="2"/>
  <c r="A406" i="2"/>
  <c r="B405" i="2"/>
  <c r="A405" i="2"/>
  <c r="B404" i="2"/>
  <c r="A404" i="2"/>
  <c r="B403" i="2"/>
  <c r="A403" i="2"/>
  <c r="B402" i="2"/>
  <c r="A402" i="2"/>
  <c r="B401" i="2"/>
  <c r="A401" i="2"/>
  <c r="B400" i="2"/>
  <c r="A400" i="2"/>
  <c r="B399" i="2"/>
  <c r="A399" i="2"/>
  <c r="B398" i="2"/>
  <c r="A398" i="2"/>
  <c r="B397" i="2"/>
  <c r="A397" i="2"/>
  <c r="B396" i="2"/>
  <c r="A396" i="2"/>
  <c r="B395" i="2"/>
  <c r="A395" i="2"/>
  <c r="B394" i="2"/>
  <c r="A394" i="2"/>
  <c r="B393" i="2"/>
  <c r="A393" i="2"/>
  <c r="B392" i="2"/>
  <c r="A392" i="2"/>
  <c r="B391" i="2"/>
  <c r="A391" i="2"/>
  <c r="B390" i="2"/>
  <c r="A390" i="2"/>
  <c r="B389" i="2"/>
  <c r="A389" i="2"/>
  <c r="B388" i="2"/>
  <c r="A388" i="2"/>
  <c r="B387" i="2"/>
  <c r="A387" i="2"/>
  <c r="B386" i="2"/>
  <c r="A386" i="2"/>
  <c r="B385" i="2"/>
  <c r="A385" i="2"/>
  <c r="B384" i="2"/>
  <c r="A384" i="2"/>
  <c r="B383" i="2"/>
  <c r="A383" i="2"/>
  <c r="B382" i="2"/>
  <c r="A382" i="2"/>
  <c r="B381" i="2"/>
  <c r="A381" i="2"/>
  <c r="B380" i="2"/>
  <c r="A380" i="2"/>
  <c r="B379" i="2"/>
  <c r="A379" i="2"/>
  <c r="B378" i="2"/>
  <c r="A378" i="2"/>
  <c r="B377" i="2"/>
  <c r="A377" i="2"/>
  <c r="B376" i="2"/>
  <c r="A376" i="2"/>
  <c r="B375" i="2"/>
  <c r="A375" i="2"/>
  <c r="B374" i="2"/>
  <c r="A374" i="2"/>
  <c r="B373" i="2"/>
  <c r="A373" i="2"/>
  <c r="B372" i="2"/>
  <c r="A372" i="2"/>
  <c r="B371" i="2"/>
  <c r="A371" i="2"/>
  <c r="B370" i="2"/>
  <c r="A370" i="2"/>
  <c r="B369" i="2"/>
  <c r="A369" i="2"/>
  <c r="B368" i="2"/>
  <c r="A368" i="2"/>
  <c r="B367" i="2"/>
  <c r="A367" i="2"/>
  <c r="B366" i="2"/>
  <c r="A366" i="2"/>
  <c r="B365" i="2"/>
  <c r="A365" i="2"/>
  <c r="B364" i="2"/>
  <c r="A364" i="2"/>
  <c r="B363" i="2"/>
  <c r="A363" i="2"/>
  <c r="B362" i="2"/>
  <c r="A362" i="2"/>
  <c r="B361" i="2"/>
  <c r="A361" i="2"/>
  <c r="B360" i="2"/>
  <c r="A360" i="2"/>
  <c r="B359" i="2"/>
  <c r="A359" i="2"/>
  <c r="B358" i="2"/>
  <c r="A358" i="2"/>
  <c r="B357" i="2"/>
  <c r="A357" i="2"/>
  <c r="B356" i="2"/>
  <c r="A356" i="2"/>
  <c r="B355" i="2"/>
  <c r="A355" i="2"/>
  <c r="B354" i="2"/>
  <c r="A354" i="2"/>
  <c r="B353" i="2"/>
  <c r="A353" i="2"/>
  <c r="B352" i="2"/>
  <c r="A352" i="2"/>
  <c r="B351" i="2"/>
  <c r="A351" i="2"/>
  <c r="B350" i="2"/>
  <c r="A350" i="2"/>
  <c r="B349" i="2"/>
  <c r="A349" i="2"/>
  <c r="B348" i="2"/>
  <c r="A348" i="2"/>
  <c r="B347" i="2"/>
  <c r="A347" i="2"/>
  <c r="B346" i="2"/>
  <c r="A346" i="2"/>
  <c r="B345" i="2"/>
  <c r="A345" i="2"/>
  <c r="B344" i="2"/>
  <c r="A344" i="2"/>
  <c r="B343" i="2"/>
  <c r="A343" i="2"/>
  <c r="B342" i="2"/>
  <c r="A342" i="2"/>
  <c r="B341" i="2"/>
  <c r="A341" i="2"/>
  <c r="B340" i="2"/>
  <c r="A340" i="2"/>
  <c r="B339" i="2"/>
  <c r="A339" i="2"/>
  <c r="B338" i="2"/>
  <c r="A338" i="2"/>
  <c r="B337" i="2"/>
  <c r="A337" i="2"/>
  <c r="B336" i="2"/>
  <c r="A336" i="2"/>
  <c r="B335" i="2"/>
  <c r="A335" i="2"/>
  <c r="B334" i="2"/>
  <c r="A334" i="2"/>
  <c r="B333" i="2"/>
  <c r="A333" i="2"/>
  <c r="B332" i="2"/>
  <c r="A332" i="2"/>
  <c r="B331" i="2"/>
  <c r="A331" i="2"/>
  <c r="B330" i="2"/>
  <c r="A330" i="2"/>
  <c r="B329" i="2"/>
  <c r="A329" i="2"/>
  <c r="B328" i="2"/>
  <c r="A328" i="2"/>
  <c r="B327" i="2"/>
  <c r="A327" i="2"/>
  <c r="B326" i="2"/>
  <c r="A326" i="2"/>
  <c r="B325" i="2"/>
  <c r="A325" i="2"/>
  <c r="B324" i="2"/>
  <c r="A324" i="2"/>
  <c r="B323" i="2"/>
  <c r="A323" i="2"/>
  <c r="B322" i="2"/>
  <c r="A322" i="2"/>
  <c r="B321" i="2"/>
  <c r="A321" i="2"/>
  <c r="B320" i="2"/>
  <c r="A320" i="2"/>
  <c r="B319" i="2"/>
  <c r="A319" i="2"/>
  <c r="B318" i="2"/>
  <c r="A318" i="2"/>
  <c r="B317" i="2"/>
  <c r="A317" i="2"/>
  <c r="B316" i="2"/>
  <c r="A316" i="2"/>
  <c r="B315" i="2"/>
  <c r="A315" i="2"/>
  <c r="B314" i="2"/>
  <c r="A314" i="2"/>
  <c r="B313" i="2"/>
  <c r="A313" i="2"/>
  <c r="B312" i="2"/>
  <c r="A312" i="2"/>
  <c r="B311" i="2"/>
  <c r="A311" i="2"/>
  <c r="B310" i="2"/>
  <c r="A310" i="2"/>
  <c r="B309" i="2"/>
  <c r="A309" i="2"/>
  <c r="B308" i="2"/>
  <c r="A308" i="2"/>
  <c r="B307" i="2"/>
  <c r="A307" i="2"/>
  <c r="B306" i="2"/>
  <c r="A306" i="2"/>
  <c r="B305" i="2"/>
  <c r="A305" i="2"/>
  <c r="B304" i="2"/>
  <c r="A304" i="2"/>
  <c r="B303" i="2"/>
  <c r="A303" i="2"/>
  <c r="B302" i="2"/>
  <c r="A302" i="2"/>
  <c r="B301" i="2"/>
  <c r="A301" i="2"/>
  <c r="B300" i="2"/>
  <c r="A300" i="2"/>
  <c r="B299" i="2"/>
  <c r="A299" i="2"/>
  <c r="B298" i="2"/>
  <c r="A298" i="2"/>
  <c r="B297" i="2"/>
  <c r="A297" i="2"/>
  <c r="B296" i="2"/>
  <c r="A296" i="2"/>
  <c r="B295" i="2"/>
  <c r="A295" i="2"/>
  <c r="B294" i="2"/>
  <c r="A294" i="2"/>
  <c r="B293" i="2"/>
  <c r="A293" i="2"/>
  <c r="B292" i="2"/>
  <c r="A292" i="2"/>
  <c r="B291" i="2"/>
  <c r="A291" i="2"/>
  <c r="B290" i="2"/>
  <c r="A290" i="2"/>
  <c r="B289" i="2"/>
  <c r="A289" i="2"/>
  <c r="B288" i="2"/>
  <c r="A288" i="2"/>
  <c r="B287" i="2"/>
  <c r="A287" i="2"/>
  <c r="B286" i="2"/>
  <c r="A286" i="2"/>
  <c r="B285" i="2"/>
  <c r="A285" i="2"/>
  <c r="B284" i="2"/>
  <c r="A284" i="2"/>
  <c r="B283" i="2"/>
  <c r="A283" i="2"/>
  <c r="B282" i="2"/>
  <c r="A282" i="2"/>
  <c r="B281" i="2"/>
  <c r="A281" i="2"/>
  <c r="B280" i="2"/>
  <c r="A280" i="2"/>
  <c r="B279" i="2"/>
  <c r="A279" i="2"/>
  <c r="B278" i="2"/>
  <c r="A278" i="2"/>
  <c r="B277" i="2"/>
  <c r="A277" i="2"/>
  <c r="B276" i="2"/>
  <c r="A276" i="2"/>
  <c r="B275" i="2"/>
  <c r="A275" i="2"/>
  <c r="B274" i="2"/>
  <c r="A274" i="2"/>
  <c r="B273" i="2"/>
  <c r="A273" i="2"/>
  <c r="B272" i="2"/>
  <c r="A272" i="2"/>
  <c r="B271" i="2"/>
  <c r="A271" i="2"/>
  <c r="B270" i="2"/>
  <c r="A270" i="2"/>
  <c r="B269" i="2"/>
  <c r="A269" i="2"/>
  <c r="B268" i="2"/>
  <c r="A268" i="2"/>
  <c r="B267" i="2"/>
  <c r="A267" i="2"/>
  <c r="B266" i="2"/>
  <c r="A266" i="2"/>
  <c r="B265" i="2"/>
  <c r="A265" i="2"/>
  <c r="B264" i="2"/>
  <c r="A264" i="2"/>
  <c r="B263" i="2"/>
  <c r="A263" i="2"/>
  <c r="B262" i="2"/>
  <c r="A262" i="2"/>
  <c r="B261" i="2"/>
  <c r="A261" i="2"/>
  <c r="B260" i="2"/>
  <c r="A260" i="2"/>
  <c r="B259" i="2"/>
  <c r="A259" i="2"/>
  <c r="B258" i="2"/>
  <c r="A258" i="2"/>
  <c r="B257" i="2"/>
  <c r="A257" i="2"/>
  <c r="B256" i="2"/>
  <c r="A256" i="2"/>
  <c r="B255" i="2"/>
  <c r="A255" i="2"/>
  <c r="B254" i="2"/>
  <c r="A254" i="2"/>
  <c r="B253" i="2"/>
  <c r="A253" i="2"/>
  <c r="B252" i="2"/>
  <c r="A252" i="2"/>
  <c r="B251" i="2"/>
  <c r="A251" i="2"/>
  <c r="B250" i="2"/>
  <c r="A250" i="2"/>
  <c r="B249" i="2"/>
  <c r="A249" i="2"/>
  <c r="B248" i="2"/>
  <c r="A248" i="2"/>
  <c r="B247" i="2"/>
  <c r="A247" i="2"/>
  <c r="B246" i="2"/>
  <c r="A246" i="2"/>
  <c r="B245" i="2"/>
  <c r="A245" i="2"/>
  <c r="B244" i="2"/>
  <c r="A244" i="2"/>
  <c r="B243" i="2"/>
  <c r="A243" i="2"/>
  <c r="B242" i="2"/>
  <c r="A242" i="2"/>
  <c r="B241" i="2"/>
  <c r="A241" i="2"/>
  <c r="B240" i="2"/>
  <c r="A240" i="2"/>
  <c r="B239" i="2"/>
  <c r="A239" i="2"/>
  <c r="B238" i="2"/>
  <c r="A238" i="2"/>
  <c r="B237" i="2"/>
  <c r="A237" i="2"/>
  <c r="B236" i="2"/>
  <c r="A236" i="2"/>
  <c r="B235" i="2"/>
  <c r="A235" i="2"/>
  <c r="B234" i="2"/>
  <c r="A234" i="2"/>
  <c r="B233" i="2"/>
  <c r="A233" i="2"/>
  <c r="B232" i="2"/>
  <c r="A232" i="2"/>
  <c r="B231" i="2"/>
  <c r="A231" i="2"/>
  <c r="B230" i="2"/>
  <c r="A230" i="2"/>
  <c r="B229" i="2"/>
  <c r="A229" i="2"/>
  <c r="B228" i="2"/>
  <c r="A228" i="2"/>
  <c r="B227" i="2"/>
  <c r="A227" i="2"/>
  <c r="B226" i="2"/>
  <c r="A226" i="2"/>
  <c r="B225" i="2"/>
  <c r="A225" i="2"/>
  <c r="B224" i="2"/>
  <c r="A224" i="2"/>
  <c r="B223" i="2"/>
  <c r="A223" i="2"/>
  <c r="B222" i="2"/>
  <c r="A222" i="2"/>
  <c r="B221" i="2"/>
  <c r="A221" i="2"/>
  <c r="B220" i="2"/>
  <c r="A220" i="2"/>
  <c r="B219" i="2"/>
  <c r="A219" i="2"/>
  <c r="B218" i="2"/>
  <c r="A218" i="2"/>
  <c r="B217" i="2"/>
  <c r="A217" i="2"/>
  <c r="B216" i="2"/>
  <c r="A216" i="2"/>
  <c r="B215" i="2"/>
  <c r="A215" i="2"/>
  <c r="B214" i="2"/>
  <c r="A214" i="2"/>
  <c r="B213" i="2"/>
  <c r="A213" i="2"/>
  <c r="B212" i="2"/>
  <c r="A212" i="2"/>
  <c r="B211" i="2"/>
  <c r="A211" i="2"/>
  <c r="B210" i="2"/>
  <c r="A210" i="2"/>
  <c r="B209" i="2"/>
  <c r="A209" i="2"/>
  <c r="B208" i="2"/>
  <c r="A208" i="2"/>
  <c r="B207" i="2"/>
  <c r="A207" i="2"/>
  <c r="B206" i="2"/>
  <c r="A206" i="2"/>
  <c r="B205" i="2"/>
  <c r="A205" i="2"/>
  <c r="B204" i="2"/>
  <c r="A204" i="2"/>
  <c r="B203" i="2"/>
  <c r="A203" i="2"/>
  <c r="B202" i="2"/>
  <c r="A202" i="2"/>
  <c r="B201" i="2"/>
  <c r="A201" i="2"/>
  <c r="B200" i="2"/>
  <c r="A200" i="2"/>
  <c r="B199" i="2"/>
  <c r="A199" i="2"/>
  <c r="B198" i="2"/>
  <c r="A198" i="2"/>
  <c r="B197" i="2"/>
  <c r="A197" i="2"/>
  <c r="B196" i="2"/>
  <c r="A196" i="2"/>
  <c r="B195" i="2"/>
  <c r="A195" i="2"/>
  <c r="B194" i="2"/>
  <c r="A194" i="2"/>
  <c r="B193" i="2"/>
  <c r="A193" i="2"/>
  <c r="B192" i="2"/>
  <c r="A192" i="2"/>
  <c r="B191" i="2"/>
  <c r="A191" i="2"/>
  <c r="B190" i="2"/>
  <c r="A190" i="2"/>
  <c r="B189" i="2"/>
  <c r="A189" i="2"/>
  <c r="B188" i="2"/>
  <c r="A188" i="2"/>
  <c r="B187" i="2"/>
  <c r="A187" i="2"/>
  <c r="B186" i="2"/>
  <c r="A186" i="2"/>
  <c r="B185" i="2"/>
  <c r="A185" i="2"/>
  <c r="B184" i="2"/>
  <c r="A184" i="2"/>
  <c r="B183" i="2"/>
  <c r="A183" i="2"/>
  <c r="B182" i="2"/>
  <c r="A182" i="2"/>
  <c r="B181" i="2"/>
  <c r="A181" i="2"/>
  <c r="B180" i="2"/>
  <c r="A180" i="2"/>
  <c r="B179" i="2"/>
  <c r="A179" i="2"/>
  <c r="B178" i="2"/>
  <c r="A178" i="2"/>
  <c r="B177" i="2"/>
  <c r="A177" i="2"/>
  <c r="B176" i="2"/>
  <c r="A176" i="2"/>
  <c r="B175" i="2"/>
  <c r="A175" i="2"/>
  <c r="B174" i="2"/>
  <c r="A174" i="2"/>
  <c r="B173" i="2"/>
  <c r="A173" i="2"/>
  <c r="B172" i="2"/>
  <c r="A172" i="2"/>
  <c r="B171" i="2"/>
  <c r="A171" i="2"/>
  <c r="B170" i="2"/>
  <c r="A170" i="2"/>
  <c r="B169" i="2"/>
  <c r="A169" i="2"/>
  <c r="B168" i="2"/>
  <c r="A168" i="2"/>
  <c r="B167" i="2"/>
  <c r="A167" i="2"/>
  <c r="B166" i="2"/>
  <c r="A166" i="2"/>
  <c r="B165" i="2"/>
  <c r="A165" i="2"/>
  <c r="B164" i="2"/>
  <c r="A164" i="2"/>
  <c r="B163" i="2"/>
  <c r="A163" i="2"/>
  <c r="B162" i="2"/>
  <c r="A162" i="2"/>
  <c r="B161" i="2"/>
  <c r="A161" i="2"/>
  <c r="B160" i="2"/>
  <c r="A160" i="2"/>
  <c r="B159" i="2"/>
  <c r="A159" i="2"/>
  <c r="B158" i="2"/>
  <c r="A158" i="2"/>
  <c r="B157" i="2"/>
  <c r="A157" i="2"/>
  <c r="B156" i="2"/>
  <c r="A156" i="2"/>
  <c r="B155" i="2"/>
  <c r="A155" i="2"/>
  <c r="B154" i="2"/>
  <c r="A154" i="2"/>
  <c r="B153" i="2"/>
  <c r="A153" i="2"/>
  <c r="B152" i="2"/>
  <c r="A152" i="2"/>
  <c r="B151" i="2"/>
  <c r="A151" i="2"/>
  <c r="B150" i="2"/>
  <c r="A150" i="2"/>
  <c r="B149" i="2"/>
  <c r="A149" i="2"/>
  <c r="B148" i="2"/>
  <c r="A148" i="2"/>
  <c r="B147" i="2"/>
  <c r="A147" i="2"/>
  <c r="B146" i="2"/>
  <c r="A146" i="2"/>
  <c r="B145" i="2"/>
  <c r="A145" i="2"/>
  <c r="B144" i="2"/>
  <c r="A144" i="2"/>
  <c r="B143" i="2"/>
  <c r="A143" i="2"/>
  <c r="B142" i="2"/>
  <c r="A142" i="2"/>
  <c r="B141" i="2"/>
  <c r="A141" i="2"/>
  <c r="B140" i="2"/>
  <c r="A140" i="2"/>
  <c r="B139" i="2"/>
  <c r="A139" i="2"/>
  <c r="B138" i="2"/>
  <c r="A138" i="2"/>
  <c r="B137" i="2"/>
  <c r="A137" i="2"/>
  <c r="B136" i="2"/>
  <c r="A136" i="2"/>
  <c r="B135" i="2"/>
  <c r="A135" i="2"/>
  <c r="B134" i="2"/>
  <c r="A134" i="2"/>
  <c r="B133" i="2"/>
  <c r="A133" i="2"/>
  <c r="B132" i="2"/>
  <c r="A132" i="2"/>
  <c r="B131" i="2"/>
  <c r="A131" i="2"/>
  <c r="B130" i="2"/>
  <c r="A130" i="2"/>
  <c r="B129" i="2"/>
  <c r="A129" i="2"/>
  <c r="B128" i="2"/>
  <c r="A128" i="2"/>
  <c r="B127" i="2"/>
  <c r="A127" i="2"/>
  <c r="B126" i="2"/>
  <c r="A126" i="2"/>
  <c r="B125" i="2"/>
  <c r="A125" i="2"/>
  <c r="B124" i="2"/>
  <c r="A124" i="2"/>
  <c r="B123" i="2"/>
  <c r="A123" i="2"/>
  <c r="B122" i="2"/>
  <c r="A122" i="2"/>
  <c r="B121" i="2"/>
  <c r="A121" i="2"/>
  <c r="B120" i="2"/>
  <c r="A120" i="2"/>
  <c r="B119" i="2"/>
  <c r="A119" i="2"/>
  <c r="B118" i="2"/>
  <c r="A118" i="2"/>
  <c r="B117" i="2"/>
  <c r="A117" i="2"/>
  <c r="B116" i="2"/>
  <c r="A116" i="2"/>
  <c r="B115" i="2"/>
  <c r="A115" i="2"/>
  <c r="B114" i="2"/>
  <c r="A114" i="2"/>
  <c r="B113" i="2"/>
  <c r="A113" i="2"/>
  <c r="B112" i="2"/>
  <c r="A112" i="2"/>
  <c r="B111" i="2"/>
  <c r="A111" i="2"/>
  <c r="B110" i="2"/>
  <c r="A110" i="2"/>
  <c r="B109" i="2"/>
  <c r="A109" i="2"/>
  <c r="B108" i="2"/>
  <c r="A108" i="2"/>
  <c r="B107" i="2"/>
  <c r="A107" i="2"/>
  <c r="B106" i="2"/>
  <c r="A106" i="2"/>
  <c r="B105" i="2"/>
  <c r="A105" i="2"/>
  <c r="B104" i="2"/>
  <c r="A104" i="2"/>
  <c r="B103" i="2"/>
  <c r="A103" i="2"/>
  <c r="B102" i="2"/>
  <c r="A102" i="2"/>
  <c r="B101" i="2"/>
  <c r="A101" i="2"/>
  <c r="B100" i="2"/>
  <c r="A100" i="2"/>
  <c r="B99" i="2"/>
  <c r="A99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B43" i="2"/>
  <c r="A43" i="2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B3" i="2"/>
  <c r="A3" i="2"/>
  <c r="B2" i="2"/>
  <c r="A2" i="2"/>
  <c r="B1" i="2"/>
  <c r="A1" i="2"/>
  <c r="B1230" i="1"/>
  <c r="A1230" i="1"/>
  <c r="B1229" i="1"/>
  <c r="A1229" i="1"/>
  <c r="B1228" i="1"/>
  <c r="A1228" i="1"/>
  <c r="B1227" i="1"/>
  <c r="A1227" i="1"/>
  <c r="B1226" i="1"/>
  <c r="A1226" i="1"/>
  <c r="B1225" i="1"/>
  <c r="A1225" i="1"/>
  <c r="B1224" i="1"/>
  <c r="A1224" i="1"/>
  <c r="B1223" i="1"/>
  <c r="A1223" i="1"/>
  <c r="B1222" i="1"/>
  <c r="A1222" i="1"/>
  <c r="B1221" i="1"/>
  <c r="A1221" i="1"/>
  <c r="B1220" i="1"/>
  <c r="A1220" i="1"/>
  <c r="B1219" i="1"/>
  <c r="A1219" i="1"/>
  <c r="B1218" i="1"/>
  <c r="A1218" i="1"/>
  <c r="B1217" i="1"/>
  <c r="A1217" i="1"/>
  <c r="B1216" i="1"/>
  <c r="A1216" i="1"/>
  <c r="B1215" i="1"/>
  <c r="A1215" i="1"/>
  <c r="B1214" i="1"/>
  <c r="A1214" i="1"/>
  <c r="B1213" i="1"/>
  <c r="A1213" i="1"/>
  <c r="B1212" i="1"/>
  <c r="A1212" i="1"/>
  <c r="B1211" i="1"/>
  <c r="A1211" i="1"/>
  <c r="B1210" i="1"/>
  <c r="A1210" i="1"/>
  <c r="B1209" i="1"/>
  <c r="A1209" i="1"/>
  <c r="B1208" i="1"/>
  <c r="A1208" i="1"/>
  <c r="B1207" i="1"/>
  <c r="A1207" i="1"/>
  <c r="B1206" i="1"/>
  <c r="A1206" i="1"/>
  <c r="B1205" i="1"/>
  <c r="A1205" i="1"/>
  <c r="B1204" i="1"/>
  <c r="A1204" i="1"/>
  <c r="B1203" i="1"/>
  <c r="A1203" i="1"/>
  <c r="B1202" i="1"/>
  <c r="A1202" i="1"/>
  <c r="B1201" i="1"/>
  <c r="A1201" i="1"/>
  <c r="B1200" i="1"/>
  <c r="A1200" i="1"/>
  <c r="B1199" i="1"/>
  <c r="A1199" i="1"/>
  <c r="B1198" i="1"/>
  <c r="A1198" i="1"/>
  <c r="B1197" i="1"/>
  <c r="A1197" i="1"/>
  <c r="B1196" i="1"/>
  <c r="A1196" i="1"/>
  <c r="B1195" i="1"/>
  <c r="A1195" i="1"/>
  <c r="B1194" i="1"/>
  <c r="A1194" i="1"/>
  <c r="B1193" i="1"/>
  <c r="A1193" i="1"/>
  <c r="B1192" i="1"/>
  <c r="A1192" i="1"/>
  <c r="B1191" i="1"/>
  <c r="A1191" i="1"/>
  <c r="B1190" i="1"/>
  <c r="A1190" i="1"/>
  <c r="B1189" i="1"/>
  <c r="A1189" i="1"/>
  <c r="B1188" i="1"/>
  <c r="A1188" i="1"/>
  <c r="B1187" i="1"/>
  <c r="A1187" i="1"/>
  <c r="B1186" i="1"/>
  <c r="A1186" i="1"/>
  <c r="B1185" i="1"/>
  <c r="A1185" i="1"/>
  <c r="B1184" i="1"/>
  <c r="A1184" i="1"/>
  <c r="B1183" i="1"/>
  <c r="A1183" i="1"/>
  <c r="B1182" i="1"/>
  <c r="A1182" i="1"/>
  <c r="B1181" i="1"/>
  <c r="A1181" i="1"/>
  <c r="B1180" i="1"/>
  <c r="A1180" i="1"/>
  <c r="B1179" i="1"/>
  <c r="A1179" i="1"/>
  <c r="B1178" i="1"/>
  <c r="A1178" i="1"/>
  <c r="B1177" i="1"/>
  <c r="A1177" i="1"/>
  <c r="B1176" i="1"/>
  <c r="A1176" i="1"/>
  <c r="B1175" i="1"/>
  <c r="A1175" i="1"/>
  <c r="B1174" i="1"/>
  <c r="A1174" i="1"/>
  <c r="B1173" i="1"/>
  <c r="A1173" i="1"/>
  <c r="B1172" i="1"/>
  <c r="A1172" i="1"/>
  <c r="B1171" i="1"/>
  <c r="A1171" i="1"/>
  <c r="B1170" i="1"/>
  <c r="A1170" i="1"/>
  <c r="B1169" i="1"/>
  <c r="A1169" i="1"/>
  <c r="B1168" i="1"/>
  <c r="A1168" i="1"/>
  <c r="B1167" i="1"/>
  <c r="A1167" i="1"/>
  <c r="B1166" i="1"/>
  <c r="A1166" i="1"/>
  <c r="B1165" i="1"/>
  <c r="A1165" i="1"/>
  <c r="B1164" i="1"/>
  <c r="A1164" i="1"/>
  <c r="B1163" i="1"/>
  <c r="A1163" i="1"/>
  <c r="B1162" i="1"/>
  <c r="A1162" i="1"/>
  <c r="B1161" i="1"/>
  <c r="A1161" i="1"/>
  <c r="B1160" i="1"/>
  <c r="A1160" i="1"/>
  <c r="B1159" i="1"/>
  <c r="A1159" i="1"/>
  <c r="B1158" i="1"/>
  <c r="A1158" i="1"/>
  <c r="B1157" i="1"/>
  <c r="A1157" i="1"/>
  <c r="B1156" i="1"/>
  <c r="A1156" i="1"/>
  <c r="B1155" i="1"/>
  <c r="A1155" i="1"/>
  <c r="B1154" i="1"/>
  <c r="A1154" i="1"/>
  <c r="B1153" i="1"/>
  <c r="A1153" i="1"/>
  <c r="B1152" i="1"/>
  <c r="A1152" i="1"/>
  <c r="B1151" i="1"/>
  <c r="A1151" i="1"/>
  <c r="B1150" i="1"/>
  <c r="A1150" i="1"/>
  <c r="B1149" i="1"/>
  <c r="A1149" i="1"/>
  <c r="B1148" i="1"/>
  <c r="A1148" i="1"/>
  <c r="B1147" i="1"/>
  <c r="A1147" i="1"/>
  <c r="B1146" i="1"/>
  <c r="A1146" i="1"/>
  <c r="B1145" i="1"/>
  <c r="A1145" i="1"/>
  <c r="B1144" i="1"/>
  <c r="A1144" i="1"/>
  <c r="B1143" i="1"/>
  <c r="A1143" i="1"/>
  <c r="B1142" i="1"/>
  <c r="A1142" i="1"/>
  <c r="B1141" i="1"/>
  <c r="A1141" i="1"/>
  <c r="B1140" i="1"/>
  <c r="A1140" i="1"/>
  <c r="B1139" i="1"/>
  <c r="A1139" i="1"/>
  <c r="B1138" i="1"/>
  <c r="A1138" i="1"/>
  <c r="B1137" i="1"/>
  <c r="A1137" i="1"/>
  <c r="B1136" i="1"/>
  <c r="A1136" i="1"/>
  <c r="B1135" i="1"/>
  <c r="A1135" i="1"/>
  <c r="B1134" i="1"/>
  <c r="A1134" i="1"/>
  <c r="B1133" i="1"/>
  <c r="A1133" i="1"/>
  <c r="B1132" i="1"/>
  <c r="A1132" i="1"/>
  <c r="B1131" i="1"/>
  <c r="A1131" i="1"/>
  <c r="B1130" i="1"/>
  <c r="A1130" i="1"/>
  <c r="B1129" i="1"/>
  <c r="A1129" i="1"/>
  <c r="B1128" i="1"/>
  <c r="A1128" i="1"/>
  <c r="B1127" i="1"/>
  <c r="A1127" i="1"/>
  <c r="B1126" i="1"/>
  <c r="A1126" i="1"/>
  <c r="B1125" i="1"/>
  <c r="A1125" i="1"/>
  <c r="B1124" i="1"/>
  <c r="A1124" i="1"/>
  <c r="B1123" i="1"/>
  <c r="A1123" i="1"/>
  <c r="B1122" i="1"/>
  <c r="A1122" i="1"/>
  <c r="B1121" i="1"/>
  <c r="A1121" i="1"/>
  <c r="B1120" i="1"/>
  <c r="A1120" i="1"/>
  <c r="B1119" i="1"/>
  <c r="A1119" i="1"/>
  <c r="B1118" i="1"/>
  <c r="A1118" i="1"/>
  <c r="B1117" i="1"/>
  <c r="A1117" i="1"/>
  <c r="B1116" i="1"/>
  <c r="A1116" i="1"/>
  <c r="B1115" i="1"/>
  <c r="A1115" i="1"/>
  <c r="B1114" i="1"/>
  <c r="A1114" i="1"/>
  <c r="B1113" i="1"/>
  <c r="A1113" i="1"/>
  <c r="B1112" i="1"/>
  <c r="A1112" i="1"/>
  <c r="B1111" i="1"/>
  <c r="A1111" i="1"/>
  <c r="B1110" i="1"/>
  <c r="A1110" i="1"/>
  <c r="B1109" i="1"/>
  <c r="A1109" i="1"/>
  <c r="B1108" i="1"/>
  <c r="A1108" i="1"/>
  <c r="B1107" i="1"/>
  <c r="A1107" i="1"/>
  <c r="B1106" i="1"/>
  <c r="A1106" i="1"/>
  <c r="B1105" i="1"/>
  <c r="A1105" i="1"/>
  <c r="B1104" i="1"/>
  <c r="A1104" i="1"/>
  <c r="B1103" i="1"/>
  <c r="A1103" i="1"/>
  <c r="B1102" i="1"/>
  <c r="A1102" i="1"/>
  <c r="B1101" i="1"/>
  <c r="A1101" i="1"/>
  <c r="B1100" i="1"/>
  <c r="A1100" i="1"/>
  <c r="B1099" i="1"/>
  <c r="A1099" i="1"/>
  <c r="B1098" i="1"/>
  <c r="A1098" i="1"/>
  <c r="B1097" i="1"/>
  <c r="A1097" i="1"/>
  <c r="B1096" i="1"/>
  <c r="A1096" i="1"/>
  <c r="B1095" i="1"/>
  <c r="A1095" i="1"/>
  <c r="B1094" i="1"/>
  <c r="A1094" i="1"/>
  <c r="B1093" i="1"/>
  <c r="A1093" i="1"/>
  <c r="B1092" i="1"/>
  <c r="A1092" i="1"/>
  <c r="B1091" i="1"/>
  <c r="A1091" i="1"/>
  <c r="B1090" i="1"/>
  <c r="A1090" i="1"/>
  <c r="B1089" i="1"/>
  <c r="A1089" i="1"/>
  <c r="B1088" i="1"/>
  <c r="A1088" i="1"/>
  <c r="B1087" i="1"/>
  <c r="A1087" i="1"/>
  <c r="B1086" i="1"/>
  <c r="A1086" i="1"/>
  <c r="B1085" i="1"/>
  <c r="A1085" i="1"/>
  <c r="B1084" i="1"/>
  <c r="A1084" i="1"/>
  <c r="B1083" i="1"/>
  <c r="A1083" i="1"/>
  <c r="B1082" i="1"/>
  <c r="A1082" i="1"/>
  <c r="B1081" i="1"/>
  <c r="A1081" i="1"/>
  <c r="B1080" i="1"/>
  <c r="A1080" i="1"/>
  <c r="B1079" i="1"/>
  <c r="A1079" i="1"/>
  <c r="B1078" i="1"/>
  <c r="A1078" i="1"/>
  <c r="B1077" i="1"/>
  <c r="A1077" i="1"/>
  <c r="B1076" i="1"/>
  <c r="A1076" i="1"/>
  <c r="B1075" i="1"/>
  <c r="A1075" i="1"/>
  <c r="B1074" i="1"/>
  <c r="A1074" i="1"/>
  <c r="B1073" i="1"/>
  <c r="A1073" i="1"/>
  <c r="B1072" i="1"/>
  <c r="A1072" i="1"/>
  <c r="B1071" i="1"/>
  <c r="A1071" i="1"/>
  <c r="B1070" i="1"/>
  <c r="A1070" i="1"/>
  <c r="B1069" i="1"/>
  <c r="A1069" i="1"/>
  <c r="B1068" i="1"/>
  <c r="A1068" i="1"/>
  <c r="B1067" i="1"/>
  <c r="A1067" i="1"/>
  <c r="B1066" i="1"/>
  <c r="A1066" i="1"/>
  <c r="B1065" i="1"/>
  <c r="A1065" i="1"/>
  <c r="B1064" i="1"/>
  <c r="A1064" i="1"/>
  <c r="B1063" i="1"/>
  <c r="A1063" i="1"/>
  <c r="B1062" i="1"/>
  <c r="A1062" i="1"/>
  <c r="B1061" i="1"/>
  <c r="A1061" i="1"/>
  <c r="B1060" i="1"/>
  <c r="A1060" i="1"/>
  <c r="B1059" i="1"/>
  <c r="A1059" i="1"/>
  <c r="B1058" i="1"/>
  <c r="A1058" i="1"/>
  <c r="B1057" i="1"/>
  <c r="A1057" i="1"/>
  <c r="B1056" i="1"/>
  <c r="A1056" i="1"/>
  <c r="B1055" i="1"/>
  <c r="A1055" i="1"/>
  <c r="B1054" i="1"/>
  <c r="A1054" i="1"/>
  <c r="B1053" i="1"/>
  <c r="A1053" i="1"/>
  <c r="B1052" i="1"/>
  <c r="A1052" i="1"/>
  <c r="B1051" i="1"/>
  <c r="A1051" i="1"/>
  <c r="B1050" i="1"/>
  <c r="A1050" i="1"/>
  <c r="B1049" i="1"/>
  <c r="A1049" i="1"/>
  <c r="B1048" i="1"/>
  <c r="A1048" i="1"/>
  <c r="B1047" i="1"/>
  <c r="A1047" i="1"/>
  <c r="B1046" i="1"/>
  <c r="A1046" i="1"/>
  <c r="B1045" i="1"/>
  <c r="A1045" i="1"/>
  <c r="B1044" i="1"/>
  <c r="A1044" i="1"/>
  <c r="B1043" i="1"/>
  <c r="A1043" i="1"/>
  <c r="B1042" i="1"/>
  <c r="A1042" i="1"/>
  <c r="B1041" i="1"/>
  <c r="A1041" i="1"/>
  <c r="B1040" i="1"/>
  <c r="A1040" i="1"/>
  <c r="B1039" i="1"/>
  <c r="A1039" i="1"/>
  <c r="B1038" i="1"/>
  <c r="A1038" i="1"/>
  <c r="B1037" i="1"/>
  <c r="A1037" i="1"/>
  <c r="B1036" i="1"/>
  <c r="A1036" i="1"/>
  <c r="B1035" i="1"/>
  <c r="A1035" i="1"/>
  <c r="B1034" i="1"/>
  <c r="A1034" i="1"/>
  <c r="B1033" i="1"/>
  <c r="A1033" i="1"/>
  <c r="B1032" i="1"/>
  <c r="A1032" i="1"/>
  <c r="B1031" i="1"/>
  <c r="A1031" i="1"/>
  <c r="B1030" i="1"/>
  <c r="A1030" i="1"/>
  <c r="B1029" i="1"/>
  <c r="A1029" i="1"/>
  <c r="B1028" i="1"/>
  <c r="A1028" i="1"/>
  <c r="B1027" i="1"/>
  <c r="A1027" i="1"/>
  <c r="B1026" i="1"/>
  <c r="A1026" i="1"/>
  <c r="B1025" i="1"/>
  <c r="A1025" i="1"/>
  <c r="B1024" i="1"/>
  <c r="A1024" i="1"/>
  <c r="B1023" i="1"/>
  <c r="A1023" i="1"/>
  <c r="B1022" i="1"/>
  <c r="A1022" i="1"/>
  <c r="B1021" i="1"/>
  <c r="A1021" i="1"/>
  <c r="B1020" i="1"/>
  <c r="A1020" i="1"/>
  <c r="B1019" i="1"/>
  <c r="A1019" i="1"/>
  <c r="B1018" i="1"/>
  <c r="A1018" i="1"/>
  <c r="B1017" i="1"/>
  <c r="A1017" i="1"/>
  <c r="B1016" i="1"/>
  <c r="A1016" i="1"/>
  <c r="B1015" i="1"/>
  <c r="A1015" i="1"/>
  <c r="B1014" i="1"/>
  <c r="A1014" i="1"/>
  <c r="B1013" i="1"/>
  <c r="A1013" i="1"/>
  <c r="B1012" i="1"/>
  <c r="A1012" i="1"/>
  <c r="B1011" i="1"/>
  <c r="A1011" i="1"/>
  <c r="B1010" i="1"/>
  <c r="A1010" i="1"/>
  <c r="B1009" i="1"/>
  <c r="A1009" i="1"/>
  <c r="B1008" i="1"/>
  <c r="A1008" i="1"/>
  <c r="B1007" i="1"/>
  <c r="A1007" i="1"/>
  <c r="B1006" i="1"/>
  <c r="A1006" i="1"/>
  <c r="B1005" i="1"/>
  <c r="A1005" i="1"/>
  <c r="B1004" i="1"/>
  <c r="A1004" i="1"/>
  <c r="B1003" i="1"/>
  <c r="A1003" i="1"/>
  <c r="B1002" i="1"/>
  <c r="A1002" i="1"/>
  <c r="B1001" i="1"/>
  <c r="A1001" i="1"/>
  <c r="B1000" i="1"/>
  <c r="A1000" i="1"/>
  <c r="B999" i="1"/>
  <c r="A999" i="1"/>
  <c r="B998" i="1"/>
  <c r="A998" i="1"/>
  <c r="B997" i="1"/>
  <c r="A997" i="1"/>
  <c r="B996" i="1"/>
  <c r="A996" i="1"/>
  <c r="B995" i="1"/>
  <c r="A995" i="1"/>
  <c r="B994" i="1"/>
  <c r="A994" i="1"/>
  <c r="B993" i="1"/>
  <c r="A993" i="1"/>
  <c r="B992" i="1"/>
  <c r="A992" i="1"/>
  <c r="B991" i="1"/>
  <c r="A991" i="1"/>
  <c r="B990" i="1"/>
  <c r="A990" i="1"/>
  <c r="B989" i="1"/>
  <c r="A989" i="1"/>
  <c r="B988" i="1"/>
  <c r="A988" i="1"/>
  <c r="B987" i="1"/>
  <c r="A987" i="1"/>
  <c r="B986" i="1"/>
  <c r="A986" i="1"/>
  <c r="B985" i="1"/>
  <c r="A985" i="1"/>
  <c r="B984" i="1"/>
  <c r="A984" i="1"/>
  <c r="B983" i="1"/>
  <c r="A983" i="1"/>
  <c r="B982" i="1"/>
  <c r="A982" i="1"/>
  <c r="B981" i="1"/>
  <c r="A981" i="1"/>
  <c r="B980" i="1"/>
  <c r="A980" i="1"/>
  <c r="B979" i="1"/>
  <c r="A979" i="1"/>
  <c r="B978" i="1"/>
  <c r="A978" i="1"/>
  <c r="B977" i="1"/>
  <c r="A977" i="1"/>
  <c r="B976" i="1"/>
  <c r="A976" i="1"/>
  <c r="B975" i="1"/>
  <c r="A975" i="1"/>
  <c r="B974" i="1"/>
  <c r="A974" i="1"/>
  <c r="B973" i="1"/>
  <c r="A973" i="1"/>
  <c r="B972" i="1"/>
  <c r="A972" i="1"/>
  <c r="B971" i="1"/>
  <c r="A971" i="1"/>
  <c r="B970" i="1"/>
  <c r="A970" i="1"/>
  <c r="B969" i="1"/>
  <c r="A969" i="1"/>
  <c r="B968" i="1"/>
  <c r="A968" i="1"/>
  <c r="B967" i="1"/>
  <c r="A967" i="1"/>
  <c r="B966" i="1"/>
  <c r="A966" i="1"/>
  <c r="B965" i="1"/>
  <c r="A965" i="1"/>
  <c r="B964" i="1"/>
  <c r="A964" i="1"/>
  <c r="B963" i="1"/>
  <c r="A963" i="1"/>
  <c r="B962" i="1"/>
  <c r="A962" i="1"/>
  <c r="B961" i="1"/>
  <c r="A961" i="1"/>
  <c r="B960" i="1"/>
  <c r="A960" i="1"/>
  <c r="B959" i="1"/>
  <c r="A959" i="1"/>
  <c r="B958" i="1"/>
  <c r="A958" i="1"/>
  <c r="B957" i="1"/>
  <c r="A957" i="1"/>
  <c r="B956" i="1"/>
  <c r="A956" i="1"/>
  <c r="B955" i="1"/>
  <c r="A955" i="1"/>
  <c r="B954" i="1"/>
  <c r="A954" i="1"/>
  <c r="B953" i="1"/>
  <c r="A953" i="1"/>
  <c r="B952" i="1"/>
  <c r="A952" i="1"/>
  <c r="B951" i="1"/>
  <c r="A951" i="1"/>
  <c r="B950" i="1"/>
  <c r="A950" i="1"/>
  <c r="B949" i="1"/>
  <c r="A949" i="1"/>
  <c r="B948" i="1"/>
  <c r="A948" i="1"/>
  <c r="B947" i="1"/>
  <c r="A947" i="1"/>
  <c r="B946" i="1"/>
  <c r="A946" i="1"/>
  <c r="B945" i="1"/>
  <c r="A945" i="1"/>
  <c r="B944" i="1"/>
  <c r="A944" i="1"/>
  <c r="B943" i="1"/>
  <c r="A943" i="1"/>
  <c r="B942" i="1"/>
  <c r="A942" i="1"/>
  <c r="B941" i="1"/>
  <c r="A941" i="1"/>
  <c r="B940" i="1"/>
  <c r="A940" i="1"/>
  <c r="B939" i="1"/>
  <c r="A939" i="1"/>
  <c r="B938" i="1"/>
  <c r="A938" i="1"/>
  <c r="B937" i="1"/>
  <c r="A937" i="1"/>
  <c r="B936" i="1"/>
  <c r="A936" i="1"/>
  <c r="B935" i="1"/>
  <c r="A935" i="1"/>
  <c r="B934" i="1"/>
  <c r="A934" i="1"/>
  <c r="B933" i="1"/>
  <c r="A933" i="1"/>
  <c r="B932" i="1"/>
  <c r="A932" i="1"/>
  <c r="B931" i="1"/>
  <c r="A931" i="1"/>
  <c r="B930" i="1"/>
  <c r="A930" i="1"/>
  <c r="B929" i="1"/>
  <c r="A929" i="1"/>
  <c r="B928" i="1"/>
  <c r="A928" i="1"/>
  <c r="B927" i="1"/>
  <c r="A927" i="1"/>
  <c r="B926" i="1"/>
  <c r="A926" i="1"/>
  <c r="B925" i="1"/>
  <c r="A925" i="1"/>
  <c r="B924" i="1"/>
  <c r="A924" i="1"/>
  <c r="B923" i="1"/>
  <c r="A923" i="1"/>
  <c r="B922" i="1"/>
  <c r="A922" i="1"/>
  <c r="B921" i="1"/>
  <c r="A921" i="1"/>
  <c r="B920" i="1"/>
  <c r="A920" i="1"/>
  <c r="B919" i="1"/>
  <c r="A919" i="1"/>
  <c r="B918" i="1"/>
  <c r="A918" i="1"/>
  <c r="B917" i="1"/>
  <c r="A917" i="1"/>
  <c r="B916" i="1"/>
  <c r="A916" i="1"/>
  <c r="B915" i="1"/>
  <c r="A915" i="1"/>
  <c r="B914" i="1"/>
  <c r="A914" i="1"/>
  <c r="B913" i="1"/>
  <c r="A913" i="1"/>
  <c r="B912" i="1"/>
  <c r="A912" i="1"/>
  <c r="B911" i="1"/>
  <c r="A911" i="1"/>
  <c r="B910" i="1"/>
  <c r="A910" i="1"/>
  <c r="B909" i="1"/>
  <c r="A909" i="1"/>
  <c r="B908" i="1"/>
  <c r="A908" i="1"/>
  <c r="B907" i="1"/>
  <c r="A907" i="1"/>
  <c r="B906" i="1"/>
  <c r="A906" i="1"/>
  <c r="B905" i="1"/>
  <c r="A905" i="1"/>
  <c r="B904" i="1"/>
  <c r="A904" i="1"/>
  <c r="B903" i="1"/>
  <c r="A903" i="1"/>
  <c r="B902" i="1"/>
  <c r="A902" i="1"/>
  <c r="B901" i="1"/>
  <c r="A901" i="1"/>
  <c r="B900" i="1"/>
  <c r="A900" i="1"/>
  <c r="B899" i="1"/>
  <c r="A899" i="1"/>
  <c r="B898" i="1"/>
  <c r="A898" i="1"/>
  <c r="B897" i="1"/>
  <c r="A897" i="1"/>
  <c r="B896" i="1"/>
  <c r="A896" i="1"/>
  <c r="B895" i="1"/>
  <c r="A895" i="1"/>
  <c r="B894" i="1"/>
  <c r="A894" i="1"/>
  <c r="B893" i="1"/>
  <c r="A893" i="1"/>
  <c r="B892" i="1"/>
  <c r="A892" i="1"/>
  <c r="B891" i="1"/>
  <c r="A891" i="1"/>
  <c r="B890" i="1"/>
  <c r="A890" i="1"/>
  <c r="B889" i="1"/>
  <c r="A889" i="1"/>
  <c r="B888" i="1"/>
  <c r="A888" i="1"/>
  <c r="B887" i="1"/>
  <c r="A887" i="1"/>
  <c r="B886" i="1"/>
  <c r="A886" i="1"/>
  <c r="B885" i="1"/>
  <c r="A885" i="1"/>
  <c r="B884" i="1"/>
  <c r="A884" i="1"/>
  <c r="B883" i="1"/>
  <c r="A883" i="1"/>
  <c r="B882" i="1"/>
  <c r="A882" i="1"/>
  <c r="B881" i="1"/>
  <c r="A881" i="1"/>
  <c r="B880" i="1"/>
  <c r="A880" i="1"/>
  <c r="B879" i="1"/>
  <c r="A879" i="1"/>
  <c r="B878" i="1"/>
  <c r="A878" i="1"/>
  <c r="B877" i="1"/>
  <c r="A877" i="1"/>
  <c r="B876" i="1"/>
  <c r="A876" i="1"/>
  <c r="B875" i="1"/>
  <c r="A875" i="1"/>
  <c r="B874" i="1"/>
  <c r="A874" i="1"/>
  <c r="B873" i="1"/>
  <c r="A873" i="1"/>
  <c r="B872" i="1"/>
  <c r="A872" i="1"/>
  <c r="B871" i="1"/>
  <c r="A871" i="1"/>
  <c r="B870" i="1"/>
  <c r="A870" i="1"/>
  <c r="B869" i="1"/>
  <c r="A869" i="1"/>
  <c r="B868" i="1"/>
  <c r="A868" i="1"/>
  <c r="B867" i="1"/>
  <c r="A867" i="1"/>
  <c r="B866" i="1"/>
  <c r="A866" i="1"/>
  <c r="B865" i="1"/>
  <c r="A865" i="1"/>
  <c r="B864" i="1"/>
  <c r="A864" i="1"/>
  <c r="B863" i="1"/>
  <c r="A863" i="1"/>
  <c r="B862" i="1"/>
  <c r="A862" i="1"/>
  <c r="B861" i="1"/>
  <c r="A861" i="1"/>
  <c r="B860" i="1"/>
  <c r="A860" i="1"/>
  <c r="B859" i="1"/>
  <c r="A859" i="1"/>
  <c r="B858" i="1"/>
  <c r="A858" i="1"/>
  <c r="B857" i="1"/>
  <c r="A857" i="1"/>
  <c r="B856" i="1"/>
  <c r="A856" i="1"/>
  <c r="B855" i="1"/>
  <c r="A855" i="1"/>
  <c r="B854" i="1"/>
  <c r="A854" i="1"/>
  <c r="B853" i="1"/>
  <c r="A853" i="1"/>
  <c r="B852" i="1"/>
  <c r="A852" i="1"/>
  <c r="B851" i="1"/>
  <c r="A851" i="1"/>
  <c r="B850" i="1"/>
  <c r="A850" i="1"/>
  <c r="B849" i="1"/>
  <c r="A849" i="1"/>
  <c r="B848" i="1"/>
  <c r="A848" i="1"/>
  <c r="B847" i="1"/>
  <c r="A847" i="1"/>
  <c r="B846" i="1"/>
  <c r="A846" i="1"/>
  <c r="B845" i="1"/>
  <c r="A845" i="1"/>
  <c r="B844" i="1"/>
  <c r="A844" i="1"/>
  <c r="B843" i="1"/>
  <c r="A843" i="1"/>
  <c r="B842" i="1"/>
  <c r="A842" i="1"/>
  <c r="B841" i="1"/>
  <c r="A841" i="1"/>
  <c r="B840" i="1"/>
  <c r="A840" i="1"/>
  <c r="B839" i="1"/>
  <c r="A839" i="1"/>
  <c r="B838" i="1"/>
  <c r="A838" i="1"/>
  <c r="B837" i="1"/>
  <c r="A837" i="1"/>
  <c r="B836" i="1"/>
  <c r="A836" i="1"/>
  <c r="B835" i="1"/>
  <c r="A835" i="1"/>
  <c r="B834" i="1"/>
  <c r="A834" i="1"/>
  <c r="B833" i="1"/>
  <c r="A833" i="1"/>
  <c r="B832" i="1"/>
  <c r="A832" i="1"/>
  <c r="B831" i="1"/>
  <c r="A831" i="1"/>
  <c r="B830" i="1"/>
  <c r="A830" i="1"/>
  <c r="B829" i="1"/>
  <c r="A829" i="1"/>
  <c r="B828" i="1"/>
  <c r="A828" i="1"/>
  <c r="B827" i="1"/>
  <c r="A827" i="1"/>
  <c r="B826" i="1"/>
  <c r="A826" i="1"/>
  <c r="B825" i="1"/>
  <c r="A825" i="1"/>
  <c r="B824" i="1"/>
  <c r="A824" i="1"/>
  <c r="B823" i="1"/>
  <c r="A823" i="1"/>
  <c r="B822" i="1"/>
  <c r="A822" i="1"/>
  <c r="B821" i="1"/>
  <c r="A821" i="1"/>
  <c r="B820" i="1"/>
  <c r="A820" i="1"/>
  <c r="B819" i="1"/>
  <c r="A819" i="1"/>
  <c r="B818" i="1"/>
  <c r="A818" i="1"/>
  <c r="B817" i="1"/>
  <c r="A817" i="1"/>
  <c r="B816" i="1"/>
  <c r="A816" i="1"/>
  <c r="B815" i="1"/>
  <c r="A815" i="1"/>
  <c r="B814" i="1"/>
  <c r="A814" i="1"/>
  <c r="B813" i="1"/>
  <c r="A813" i="1"/>
  <c r="B812" i="1"/>
  <c r="A812" i="1"/>
  <c r="B811" i="1"/>
  <c r="A811" i="1"/>
  <c r="B810" i="1"/>
  <c r="A810" i="1"/>
  <c r="B809" i="1"/>
  <c r="A809" i="1"/>
  <c r="B808" i="1"/>
  <c r="A808" i="1"/>
  <c r="B807" i="1"/>
  <c r="A807" i="1"/>
  <c r="B806" i="1"/>
  <c r="A806" i="1"/>
  <c r="B805" i="1"/>
  <c r="A805" i="1"/>
  <c r="B804" i="1"/>
  <c r="A804" i="1"/>
  <c r="B803" i="1"/>
  <c r="A803" i="1"/>
  <c r="B802" i="1"/>
  <c r="A802" i="1"/>
  <c r="B801" i="1"/>
  <c r="A801" i="1"/>
  <c r="B800" i="1"/>
  <c r="A800" i="1"/>
  <c r="B799" i="1"/>
  <c r="A799" i="1"/>
  <c r="B798" i="1"/>
  <c r="A798" i="1"/>
  <c r="B797" i="1"/>
  <c r="A797" i="1"/>
  <c r="B796" i="1"/>
  <c r="A796" i="1"/>
  <c r="B795" i="1"/>
  <c r="A795" i="1"/>
  <c r="B794" i="1"/>
  <c r="A794" i="1"/>
  <c r="B793" i="1"/>
  <c r="A793" i="1"/>
  <c r="B792" i="1"/>
  <c r="A792" i="1"/>
  <c r="B791" i="1"/>
  <c r="A791" i="1"/>
  <c r="B790" i="1"/>
  <c r="A790" i="1"/>
  <c r="B789" i="1"/>
  <c r="A789" i="1"/>
  <c r="B788" i="1"/>
  <c r="A788" i="1"/>
  <c r="B787" i="1"/>
  <c r="A787" i="1"/>
  <c r="B786" i="1"/>
  <c r="A786" i="1"/>
  <c r="B785" i="1"/>
  <c r="A785" i="1"/>
  <c r="B784" i="1"/>
  <c r="A784" i="1"/>
  <c r="B783" i="1"/>
  <c r="A783" i="1"/>
  <c r="B782" i="1"/>
  <c r="A782" i="1"/>
  <c r="B781" i="1"/>
  <c r="A781" i="1"/>
  <c r="B780" i="1"/>
  <c r="A780" i="1"/>
  <c r="B779" i="1"/>
  <c r="A779" i="1"/>
  <c r="B778" i="1"/>
  <c r="A778" i="1"/>
  <c r="B777" i="1"/>
  <c r="A777" i="1"/>
  <c r="B776" i="1"/>
  <c r="A776" i="1"/>
  <c r="B775" i="1"/>
  <c r="A775" i="1"/>
  <c r="B774" i="1"/>
  <c r="A774" i="1"/>
  <c r="B773" i="1"/>
  <c r="A773" i="1"/>
  <c r="B772" i="1"/>
  <c r="A772" i="1"/>
  <c r="B771" i="1"/>
  <c r="A771" i="1"/>
  <c r="B770" i="1"/>
  <c r="A770" i="1"/>
  <c r="B769" i="1"/>
  <c r="A769" i="1"/>
  <c r="B768" i="1"/>
  <c r="A768" i="1"/>
  <c r="B767" i="1"/>
  <c r="A767" i="1"/>
  <c r="B766" i="1"/>
  <c r="A766" i="1"/>
  <c r="B765" i="1"/>
  <c r="A765" i="1"/>
  <c r="B764" i="1"/>
  <c r="A764" i="1"/>
  <c r="B763" i="1"/>
  <c r="A763" i="1"/>
  <c r="B762" i="1"/>
  <c r="A762" i="1"/>
  <c r="B761" i="1"/>
  <c r="A761" i="1"/>
  <c r="B760" i="1"/>
  <c r="A760" i="1"/>
  <c r="B759" i="1"/>
  <c r="A759" i="1"/>
  <c r="B758" i="1"/>
  <c r="A758" i="1"/>
  <c r="B757" i="1"/>
  <c r="A757" i="1"/>
  <c r="B756" i="1"/>
  <c r="A756" i="1"/>
  <c r="B755" i="1"/>
  <c r="A755" i="1"/>
  <c r="B754" i="1"/>
  <c r="A754" i="1"/>
  <c r="B753" i="1"/>
  <c r="A753" i="1"/>
  <c r="B752" i="1"/>
  <c r="A752" i="1"/>
  <c r="B751" i="1"/>
  <c r="A751" i="1"/>
  <c r="B750" i="1"/>
  <c r="A750" i="1"/>
  <c r="B749" i="1"/>
  <c r="A749" i="1"/>
  <c r="B748" i="1"/>
  <c r="A748" i="1"/>
  <c r="B747" i="1"/>
  <c r="A747" i="1"/>
  <c r="B746" i="1"/>
  <c r="A746" i="1"/>
  <c r="B745" i="1"/>
  <c r="A745" i="1"/>
  <c r="B744" i="1"/>
  <c r="A744" i="1"/>
  <c r="B743" i="1"/>
  <c r="A743" i="1"/>
  <c r="B742" i="1"/>
  <c r="A742" i="1"/>
  <c r="B741" i="1"/>
  <c r="A741" i="1"/>
  <c r="B740" i="1"/>
  <c r="A740" i="1"/>
  <c r="B739" i="1"/>
  <c r="A739" i="1"/>
  <c r="B738" i="1"/>
  <c r="A738" i="1"/>
  <c r="B737" i="1"/>
  <c r="A737" i="1"/>
  <c r="B736" i="1"/>
  <c r="A736" i="1"/>
  <c r="B735" i="1"/>
  <c r="A735" i="1"/>
  <c r="B734" i="1"/>
  <c r="A734" i="1"/>
  <c r="B733" i="1"/>
  <c r="A733" i="1"/>
  <c r="B732" i="1"/>
  <c r="A732" i="1"/>
  <c r="B731" i="1"/>
  <c r="A731" i="1"/>
  <c r="B730" i="1"/>
  <c r="A730" i="1"/>
  <c r="B729" i="1"/>
  <c r="A729" i="1"/>
  <c r="B728" i="1"/>
  <c r="A728" i="1"/>
  <c r="B727" i="1"/>
  <c r="A727" i="1"/>
  <c r="B726" i="1"/>
  <c r="A726" i="1"/>
  <c r="B725" i="1"/>
  <c r="A725" i="1"/>
  <c r="B724" i="1"/>
  <c r="A724" i="1"/>
  <c r="B723" i="1"/>
  <c r="A723" i="1"/>
  <c r="B722" i="1"/>
  <c r="A722" i="1"/>
  <c r="B721" i="1"/>
  <c r="A721" i="1"/>
  <c r="B720" i="1"/>
  <c r="A720" i="1"/>
  <c r="B719" i="1"/>
  <c r="A719" i="1"/>
  <c r="B718" i="1"/>
  <c r="A718" i="1"/>
  <c r="B717" i="1"/>
  <c r="A717" i="1"/>
  <c r="B716" i="1"/>
  <c r="A716" i="1"/>
  <c r="B715" i="1"/>
  <c r="A715" i="1"/>
  <c r="B714" i="1"/>
  <c r="A714" i="1"/>
  <c r="B713" i="1"/>
  <c r="A713" i="1"/>
  <c r="B712" i="1"/>
  <c r="A712" i="1"/>
  <c r="B711" i="1"/>
  <c r="A711" i="1"/>
  <c r="B710" i="1"/>
  <c r="A710" i="1"/>
  <c r="B709" i="1"/>
  <c r="A709" i="1"/>
  <c r="B708" i="1"/>
  <c r="A708" i="1"/>
  <c r="B707" i="1"/>
  <c r="A707" i="1"/>
  <c r="B706" i="1"/>
  <c r="A706" i="1"/>
  <c r="B705" i="1"/>
  <c r="A705" i="1"/>
  <c r="B704" i="1"/>
  <c r="A704" i="1"/>
  <c r="B703" i="1"/>
  <c r="A703" i="1"/>
  <c r="B702" i="1"/>
  <c r="A702" i="1"/>
  <c r="B701" i="1"/>
  <c r="A701" i="1"/>
  <c r="B700" i="1"/>
  <c r="A700" i="1"/>
  <c r="B699" i="1"/>
  <c r="A699" i="1"/>
  <c r="B698" i="1"/>
  <c r="A698" i="1"/>
  <c r="B697" i="1"/>
  <c r="A697" i="1"/>
  <c r="B696" i="1"/>
  <c r="A696" i="1"/>
  <c r="B695" i="1"/>
  <c r="A695" i="1"/>
  <c r="B694" i="1"/>
  <c r="A694" i="1"/>
  <c r="B693" i="1"/>
  <c r="A693" i="1"/>
  <c r="B692" i="1"/>
  <c r="A692" i="1"/>
  <c r="B691" i="1"/>
  <c r="A691" i="1"/>
  <c r="B690" i="1"/>
  <c r="A690" i="1"/>
  <c r="B689" i="1"/>
  <c r="A689" i="1"/>
  <c r="B688" i="1"/>
  <c r="A688" i="1"/>
  <c r="B687" i="1"/>
  <c r="A687" i="1"/>
  <c r="B686" i="1"/>
  <c r="A686" i="1"/>
  <c r="B685" i="1"/>
  <c r="A685" i="1"/>
  <c r="B684" i="1"/>
  <c r="A684" i="1"/>
  <c r="B683" i="1"/>
  <c r="A683" i="1"/>
  <c r="B682" i="1"/>
  <c r="A682" i="1"/>
  <c r="B681" i="1"/>
  <c r="A681" i="1"/>
  <c r="B680" i="1"/>
  <c r="A680" i="1"/>
  <c r="B679" i="1"/>
  <c r="A679" i="1"/>
  <c r="B678" i="1"/>
  <c r="A678" i="1"/>
  <c r="B677" i="1"/>
  <c r="A677" i="1"/>
  <c r="B676" i="1"/>
  <c r="A676" i="1"/>
  <c r="B675" i="1"/>
  <c r="A675" i="1"/>
  <c r="B674" i="1"/>
  <c r="A674" i="1"/>
  <c r="B673" i="1"/>
  <c r="A673" i="1"/>
  <c r="B672" i="1"/>
  <c r="A672" i="1"/>
  <c r="B671" i="1"/>
  <c r="A671" i="1"/>
  <c r="B670" i="1"/>
  <c r="A670" i="1"/>
  <c r="B669" i="1"/>
  <c r="A669" i="1"/>
  <c r="B668" i="1"/>
  <c r="A668" i="1"/>
  <c r="B667" i="1"/>
  <c r="A667" i="1"/>
  <c r="B666" i="1"/>
  <c r="A666" i="1"/>
  <c r="B665" i="1"/>
  <c r="A665" i="1"/>
  <c r="B664" i="1"/>
  <c r="A664" i="1"/>
  <c r="B663" i="1"/>
  <c r="A663" i="1"/>
  <c r="B662" i="1"/>
  <c r="A662" i="1"/>
  <c r="B661" i="1"/>
  <c r="A661" i="1"/>
  <c r="B660" i="1"/>
  <c r="A660" i="1"/>
  <c r="B659" i="1"/>
  <c r="A659" i="1"/>
  <c r="B658" i="1"/>
  <c r="A658" i="1"/>
  <c r="B657" i="1"/>
  <c r="A657" i="1"/>
  <c r="B656" i="1"/>
  <c r="A656" i="1"/>
  <c r="B655" i="1"/>
  <c r="A655" i="1"/>
  <c r="B654" i="1"/>
  <c r="A654" i="1"/>
  <c r="B653" i="1"/>
  <c r="A653" i="1"/>
  <c r="B652" i="1"/>
  <c r="A652" i="1"/>
  <c r="B651" i="1"/>
  <c r="A651" i="1"/>
  <c r="B650" i="1"/>
  <c r="A650" i="1"/>
  <c r="B649" i="1"/>
  <c r="A649" i="1"/>
  <c r="B648" i="1"/>
  <c r="A648" i="1"/>
  <c r="B647" i="1"/>
  <c r="A647" i="1"/>
  <c r="B646" i="1"/>
  <c r="A646" i="1"/>
  <c r="B645" i="1"/>
  <c r="A645" i="1"/>
  <c r="B644" i="1"/>
  <c r="A644" i="1"/>
  <c r="B643" i="1"/>
  <c r="A643" i="1"/>
  <c r="B642" i="1"/>
  <c r="A642" i="1"/>
  <c r="B641" i="1"/>
  <c r="A641" i="1"/>
  <c r="B640" i="1"/>
  <c r="A640" i="1"/>
  <c r="B639" i="1"/>
  <c r="A639" i="1"/>
  <c r="B638" i="1"/>
  <c r="A638" i="1"/>
  <c r="B637" i="1"/>
  <c r="A637" i="1"/>
  <c r="B636" i="1"/>
  <c r="A636" i="1"/>
  <c r="B635" i="1"/>
  <c r="A635" i="1"/>
  <c r="B634" i="1"/>
  <c r="A634" i="1"/>
  <c r="B633" i="1"/>
  <c r="A633" i="1"/>
  <c r="B632" i="1"/>
  <c r="A632" i="1"/>
  <c r="B631" i="1"/>
  <c r="A631" i="1"/>
  <c r="B630" i="1"/>
  <c r="A630" i="1"/>
  <c r="B629" i="1"/>
  <c r="A629" i="1"/>
  <c r="B628" i="1"/>
  <c r="A628" i="1"/>
  <c r="B627" i="1"/>
  <c r="A627" i="1"/>
  <c r="B626" i="1"/>
  <c r="A626" i="1"/>
  <c r="B625" i="1"/>
  <c r="A625" i="1"/>
  <c r="B624" i="1"/>
  <c r="A624" i="1"/>
  <c r="B623" i="1"/>
  <c r="A623" i="1"/>
  <c r="B622" i="1"/>
  <c r="A622" i="1"/>
  <c r="B621" i="1"/>
  <c r="A621" i="1"/>
  <c r="B620" i="1"/>
  <c r="A620" i="1"/>
  <c r="B619" i="1"/>
  <c r="A619" i="1"/>
  <c r="B618" i="1"/>
  <c r="A618" i="1"/>
  <c r="B617" i="1"/>
  <c r="A617" i="1"/>
  <c r="B616" i="1"/>
  <c r="A616" i="1"/>
  <c r="B615" i="1"/>
  <c r="A615" i="1"/>
  <c r="B614" i="1"/>
  <c r="A614" i="1"/>
  <c r="B613" i="1"/>
  <c r="A613" i="1"/>
  <c r="B612" i="1"/>
  <c r="A612" i="1"/>
  <c r="B611" i="1"/>
  <c r="A611" i="1"/>
  <c r="B610" i="1"/>
  <c r="A610" i="1"/>
  <c r="B609" i="1"/>
  <c r="A609" i="1"/>
  <c r="B608" i="1"/>
  <c r="A608" i="1"/>
  <c r="B607" i="1"/>
  <c r="A607" i="1"/>
  <c r="B606" i="1"/>
  <c r="A606" i="1"/>
  <c r="B605" i="1"/>
  <c r="A605" i="1"/>
  <c r="B604" i="1"/>
  <c r="A604" i="1"/>
  <c r="B603" i="1"/>
  <c r="A603" i="1"/>
  <c r="B602" i="1"/>
  <c r="A602" i="1"/>
  <c r="B601" i="1"/>
  <c r="A601" i="1"/>
  <c r="B600" i="1"/>
  <c r="A600" i="1"/>
  <c r="B599" i="1"/>
  <c r="A599" i="1"/>
  <c r="B598" i="1"/>
  <c r="A598" i="1"/>
  <c r="B597" i="1"/>
  <c r="A597" i="1"/>
  <c r="B596" i="1"/>
  <c r="A596" i="1"/>
  <c r="B595" i="1"/>
  <c r="A595" i="1"/>
  <c r="B594" i="1"/>
  <c r="A594" i="1"/>
  <c r="B593" i="1"/>
  <c r="A593" i="1"/>
  <c r="B592" i="1"/>
  <c r="A592" i="1"/>
  <c r="B591" i="1"/>
  <c r="A591" i="1"/>
  <c r="B590" i="1"/>
  <c r="A590" i="1"/>
  <c r="B589" i="1"/>
  <c r="A589" i="1"/>
  <c r="B588" i="1"/>
  <c r="A588" i="1"/>
  <c r="B587" i="1"/>
  <c r="A587" i="1"/>
  <c r="B586" i="1"/>
  <c r="A586" i="1"/>
  <c r="B585" i="1"/>
  <c r="A585" i="1"/>
  <c r="B584" i="1"/>
  <c r="A584" i="1"/>
  <c r="B583" i="1"/>
  <c r="A583" i="1"/>
  <c r="B582" i="1"/>
  <c r="A582" i="1"/>
  <c r="B581" i="1"/>
  <c r="A581" i="1"/>
  <c r="B580" i="1"/>
  <c r="A580" i="1"/>
  <c r="B579" i="1"/>
  <c r="A579" i="1"/>
  <c r="B578" i="1"/>
  <c r="A578" i="1"/>
  <c r="B577" i="1"/>
  <c r="A577" i="1"/>
  <c r="B576" i="1"/>
  <c r="A576" i="1"/>
  <c r="B575" i="1"/>
  <c r="A575" i="1"/>
  <c r="B574" i="1"/>
  <c r="A574" i="1"/>
  <c r="B573" i="1"/>
  <c r="A573" i="1"/>
  <c r="B572" i="1"/>
  <c r="A572" i="1"/>
  <c r="B571" i="1"/>
  <c r="A571" i="1"/>
  <c r="B570" i="1"/>
  <c r="A570" i="1"/>
  <c r="B569" i="1"/>
  <c r="A569" i="1"/>
  <c r="B568" i="1"/>
  <c r="A568" i="1"/>
  <c r="B567" i="1"/>
  <c r="A567" i="1"/>
  <c r="B566" i="1"/>
  <c r="A566" i="1"/>
  <c r="B565" i="1"/>
  <c r="A565" i="1"/>
  <c r="B564" i="1"/>
  <c r="A564" i="1"/>
  <c r="B563" i="1"/>
  <c r="A563" i="1"/>
  <c r="B562" i="1"/>
  <c r="A562" i="1"/>
  <c r="B561" i="1"/>
  <c r="A561" i="1"/>
  <c r="B560" i="1"/>
  <c r="A560" i="1"/>
  <c r="B559" i="1"/>
  <c r="A559" i="1"/>
  <c r="B558" i="1"/>
  <c r="A558" i="1"/>
  <c r="B557" i="1"/>
  <c r="A557" i="1"/>
  <c r="B556" i="1"/>
  <c r="A556" i="1"/>
  <c r="B555" i="1"/>
  <c r="A555" i="1"/>
  <c r="B554" i="1"/>
  <c r="A554" i="1"/>
  <c r="B553" i="1"/>
  <c r="A553" i="1"/>
  <c r="B552" i="1"/>
  <c r="A552" i="1"/>
  <c r="B551" i="1"/>
  <c r="A551" i="1"/>
  <c r="B550" i="1"/>
  <c r="A550" i="1"/>
  <c r="B549" i="1"/>
  <c r="A549" i="1"/>
  <c r="B548" i="1"/>
  <c r="A548" i="1"/>
  <c r="B547" i="1"/>
  <c r="A547" i="1"/>
  <c r="B546" i="1"/>
  <c r="A546" i="1"/>
  <c r="B545" i="1"/>
  <c r="A545" i="1"/>
  <c r="B544" i="1"/>
  <c r="A544" i="1"/>
  <c r="B543" i="1"/>
  <c r="A543" i="1"/>
  <c r="B542" i="1"/>
  <c r="A542" i="1"/>
  <c r="B541" i="1"/>
  <c r="A541" i="1"/>
  <c r="B540" i="1"/>
  <c r="A540" i="1"/>
  <c r="B539" i="1"/>
  <c r="A539" i="1"/>
  <c r="B538" i="1"/>
  <c r="A538" i="1"/>
  <c r="B537" i="1"/>
  <c r="A537" i="1"/>
  <c r="B536" i="1"/>
  <c r="A536" i="1"/>
  <c r="B535" i="1"/>
  <c r="A535" i="1"/>
  <c r="B534" i="1"/>
  <c r="A534" i="1"/>
  <c r="B533" i="1"/>
  <c r="A533" i="1"/>
  <c r="B532" i="1"/>
  <c r="A532" i="1"/>
  <c r="B531" i="1"/>
  <c r="A531" i="1"/>
  <c r="B530" i="1"/>
  <c r="A530" i="1"/>
  <c r="B529" i="1"/>
  <c r="A529" i="1"/>
  <c r="B528" i="1"/>
  <c r="A528" i="1"/>
  <c r="B527" i="1"/>
  <c r="A527" i="1"/>
  <c r="B526" i="1"/>
  <c r="A526" i="1"/>
  <c r="B525" i="1"/>
  <c r="A525" i="1"/>
  <c r="B524" i="1"/>
  <c r="A524" i="1"/>
  <c r="B523" i="1"/>
  <c r="A523" i="1"/>
  <c r="B522" i="1"/>
  <c r="A522" i="1"/>
  <c r="B521" i="1"/>
  <c r="A521" i="1"/>
  <c r="B520" i="1"/>
  <c r="A520" i="1"/>
  <c r="B519" i="1"/>
  <c r="A519" i="1"/>
  <c r="B518" i="1"/>
  <c r="A518" i="1"/>
  <c r="B517" i="1"/>
  <c r="A517" i="1"/>
  <c r="B516" i="1"/>
  <c r="A516" i="1"/>
  <c r="B515" i="1"/>
  <c r="A515" i="1"/>
  <c r="B514" i="1"/>
  <c r="A514" i="1"/>
  <c r="B513" i="1"/>
  <c r="A513" i="1"/>
  <c r="B512" i="1"/>
  <c r="A512" i="1"/>
  <c r="B511" i="1"/>
  <c r="A511" i="1"/>
  <c r="B510" i="1"/>
  <c r="A510" i="1"/>
  <c r="B509" i="1"/>
  <c r="A509" i="1"/>
  <c r="B508" i="1"/>
  <c r="A508" i="1"/>
  <c r="B507" i="1"/>
  <c r="A507" i="1"/>
  <c r="B506" i="1"/>
  <c r="A506" i="1"/>
  <c r="B505" i="1"/>
  <c r="A505" i="1"/>
  <c r="B504" i="1"/>
  <c r="A504" i="1"/>
  <c r="B503" i="1"/>
  <c r="A503" i="1"/>
  <c r="B502" i="1"/>
  <c r="A502" i="1"/>
  <c r="B501" i="1"/>
  <c r="A501" i="1"/>
  <c r="B500" i="1"/>
  <c r="A500" i="1"/>
  <c r="B499" i="1"/>
  <c r="A499" i="1"/>
  <c r="B498" i="1"/>
  <c r="A498" i="1"/>
  <c r="B497" i="1"/>
  <c r="A497" i="1"/>
  <c r="B496" i="1"/>
  <c r="A496" i="1"/>
  <c r="B495" i="1"/>
  <c r="A495" i="1"/>
  <c r="B494" i="1"/>
  <c r="A494" i="1"/>
  <c r="B493" i="1"/>
  <c r="A493" i="1"/>
  <c r="B492" i="1"/>
  <c r="A492" i="1"/>
  <c r="B491" i="1"/>
  <c r="A491" i="1"/>
  <c r="B490" i="1"/>
  <c r="A490" i="1"/>
  <c r="B489" i="1"/>
  <c r="A489" i="1"/>
  <c r="B488" i="1"/>
  <c r="A488" i="1"/>
  <c r="B487" i="1"/>
  <c r="A487" i="1"/>
  <c r="B486" i="1"/>
  <c r="A486" i="1"/>
  <c r="B485" i="1"/>
  <c r="A485" i="1"/>
  <c r="B484" i="1"/>
  <c r="A484" i="1"/>
  <c r="B483" i="1"/>
  <c r="A483" i="1"/>
  <c r="B482" i="1"/>
  <c r="A482" i="1"/>
  <c r="B481" i="1"/>
  <c r="A481" i="1"/>
  <c r="B480" i="1"/>
  <c r="A480" i="1"/>
  <c r="B479" i="1"/>
  <c r="A479" i="1"/>
  <c r="B478" i="1"/>
  <c r="A478" i="1"/>
  <c r="B477" i="1"/>
  <c r="A477" i="1"/>
  <c r="B476" i="1"/>
  <c r="A476" i="1"/>
  <c r="B475" i="1"/>
  <c r="A475" i="1"/>
  <c r="B474" i="1"/>
  <c r="A474" i="1"/>
  <c r="B473" i="1"/>
  <c r="A473" i="1"/>
  <c r="B472" i="1"/>
  <c r="A472" i="1"/>
  <c r="B471" i="1"/>
  <c r="A471" i="1"/>
  <c r="B470" i="1"/>
  <c r="A470" i="1"/>
  <c r="B469" i="1"/>
  <c r="A469" i="1"/>
  <c r="B468" i="1"/>
  <c r="A468" i="1"/>
  <c r="B467" i="1"/>
  <c r="A467" i="1"/>
  <c r="B466" i="1"/>
  <c r="A466" i="1"/>
  <c r="B465" i="1"/>
  <c r="A465" i="1"/>
  <c r="B464" i="1"/>
  <c r="A464" i="1"/>
  <c r="B463" i="1"/>
  <c r="A463" i="1"/>
  <c r="B462" i="1"/>
  <c r="A462" i="1"/>
  <c r="B461" i="1"/>
  <c r="A461" i="1"/>
  <c r="B460" i="1"/>
  <c r="A460" i="1"/>
  <c r="B459" i="1"/>
  <c r="A459" i="1"/>
  <c r="B458" i="1"/>
  <c r="A458" i="1"/>
  <c r="B457" i="1"/>
  <c r="A457" i="1"/>
  <c r="B456" i="1"/>
  <c r="A456" i="1"/>
  <c r="B455" i="1"/>
  <c r="A455" i="1"/>
  <c r="B454" i="1"/>
  <c r="A454" i="1"/>
  <c r="B453" i="1"/>
  <c r="A453" i="1"/>
  <c r="B452" i="1"/>
  <c r="A452" i="1"/>
  <c r="B451" i="1"/>
  <c r="A451" i="1"/>
  <c r="B450" i="1"/>
  <c r="A450" i="1"/>
  <c r="B449" i="1"/>
  <c r="A449" i="1"/>
  <c r="B448" i="1"/>
  <c r="A448" i="1"/>
  <c r="B447" i="1"/>
  <c r="A447" i="1"/>
  <c r="B446" i="1"/>
  <c r="A446" i="1"/>
  <c r="B445" i="1"/>
  <c r="A445" i="1"/>
  <c r="B444" i="1"/>
  <c r="A444" i="1"/>
  <c r="B443" i="1"/>
  <c r="A443" i="1"/>
  <c r="B442" i="1"/>
  <c r="A442" i="1"/>
  <c r="B441" i="1"/>
  <c r="A441" i="1"/>
  <c r="B440" i="1"/>
  <c r="A440" i="1"/>
  <c r="B439" i="1"/>
  <c r="A439" i="1"/>
  <c r="B438" i="1"/>
  <c r="A438" i="1"/>
  <c r="B437" i="1"/>
  <c r="A437" i="1"/>
  <c r="B436" i="1"/>
  <c r="A436" i="1"/>
  <c r="B435" i="1"/>
  <c r="A435" i="1"/>
  <c r="B434" i="1"/>
  <c r="A434" i="1"/>
  <c r="B433" i="1"/>
  <c r="A433" i="1"/>
  <c r="B432" i="1"/>
  <c r="A432" i="1"/>
  <c r="B431" i="1"/>
  <c r="A431" i="1"/>
  <c r="B430" i="1"/>
  <c r="A430" i="1"/>
  <c r="B429" i="1"/>
  <c r="A429" i="1"/>
  <c r="B428" i="1"/>
  <c r="A428" i="1"/>
  <c r="B427" i="1"/>
  <c r="A427" i="1"/>
  <c r="B426" i="1"/>
  <c r="A426" i="1"/>
  <c r="B425" i="1"/>
  <c r="A425" i="1"/>
  <c r="B424" i="1"/>
  <c r="A424" i="1"/>
  <c r="B423" i="1"/>
  <c r="A423" i="1"/>
  <c r="B422" i="1"/>
  <c r="A422" i="1"/>
  <c r="B421" i="1"/>
  <c r="A421" i="1"/>
  <c r="B420" i="1"/>
  <c r="A420" i="1"/>
  <c r="B419" i="1"/>
  <c r="A419" i="1"/>
  <c r="B418" i="1"/>
  <c r="A418" i="1"/>
  <c r="B417" i="1"/>
  <c r="A417" i="1"/>
  <c r="B416" i="1"/>
  <c r="A416" i="1"/>
  <c r="B415" i="1"/>
  <c r="A415" i="1"/>
  <c r="B414" i="1"/>
  <c r="A414" i="1"/>
  <c r="B413" i="1"/>
  <c r="A413" i="1"/>
  <c r="B412" i="1"/>
  <c r="A412" i="1"/>
  <c r="B411" i="1"/>
  <c r="A411" i="1"/>
  <c r="B410" i="1"/>
  <c r="A410" i="1"/>
  <c r="B409" i="1"/>
  <c r="A409" i="1"/>
  <c r="B408" i="1"/>
  <c r="A408" i="1"/>
  <c r="B407" i="1"/>
  <c r="A407" i="1"/>
  <c r="B406" i="1"/>
  <c r="A406" i="1"/>
  <c r="B405" i="1"/>
  <c r="A405" i="1"/>
  <c r="B404" i="1"/>
  <c r="A404" i="1"/>
  <c r="B403" i="1"/>
  <c r="A403" i="1"/>
  <c r="B402" i="1"/>
  <c r="A402" i="1"/>
  <c r="B401" i="1"/>
  <c r="A401" i="1"/>
  <c r="B400" i="1"/>
  <c r="A400" i="1"/>
  <c r="B399" i="1"/>
  <c r="A399" i="1"/>
  <c r="B398" i="1"/>
  <c r="A398" i="1"/>
  <c r="B397" i="1"/>
  <c r="A397" i="1"/>
  <c r="B396" i="1"/>
  <c r="A396" i="1"/>
  <c r="B395" i="1"/>
  <c r="A395" i="1"/>
  <c r="B394" i="1"/>
  <c r="A394" i="1"/>
  <c r="B393" i="1"/>
  <c r="A393" i="1"/>
  <c r="B392" i="1"/>
  <c r="A392" i="1"/>
  <c r="B391" i="1"/>
  <c r="A391" i="1"/>
  <c r="B390" i="1"/>
  <c r="A390" i="1"/>
  <c r="B389" i="1"/>
  <c r="A389" i="1"/>
  <c r="B388" i="1"/>
  <c r="A388" i="1"/>
  <c r="B387" i="1"/>
  <c r="A387" i="1"/>
  <c r="B386" i="1"/>
  <c r="A386" i="1"/>
  <c r="B385" i="1"/>
  <c r="A385" i="1"/>
  <c r="B384" i="1"/>
  <c r="A384" i="1"/>
  <c r="B383" i="1"/>
  <c r="A383" i="1"/>
  <c r="B382" i="1"/>
  <c r="A382" i="1"/>
  <c r="B381" i="1"/>
  <c r="A381" i="1"/>
  <c r="B380" i="1"/>
  <c r="A380" i="1"/>
  <c r="B379" i="1"/>
  <c r="A379" i="1"/>
  <c r="B378" i="1"/>
  <c r="A378" i="1"/>
  <c r="B377" i="1"/>
  <c r="A377" i="1"/>
  <c r="B376" i="1"/>
  <c r="A376" i="1"/>
  <c r="B375" i="1"/>
  <c r="A375" i="1"/>
  <c r="B374" i="1"/>
  <c r="A374" i="1"/>
  <c r="B373" i="1"/>
  <c r="A373" i="1"/>
  <c r="B372" i="1"/>
  <c r="A372" i="1"/>
  <c r="B371" i="1"/>
  <c r="A371" i="1"/>
  <c r="B370" i="1"/>
  <c r="A370" i="1"/>
  <c r="B369" i="1"/>
  <c r="A369" i="1"/>
  <c r="B368" i="1"/>
  <c r="A368" i="1"/>
  <c r="B367" i="1"/>
  <c r="A367" i="1"/>
  <c r="B366" i="1"/>
  <c r="A366" i="1"/>
  <c r="B365" i="1"/>
  <c r="A365" i="1"/>
  <c r="B364" i="1"/>
  <c r="A364" i="1"/>
  <c r="B363" i="1"/>
  <c r="A363" i="1"/>
  <c r="B362" i="1"/>
  <c r="A362" i="1"/>
  <c r="B361" i="1"/>
  <c r="A361" i="1"/>
  <c r="B360" i="1"/>
  <c r="A360" i="1"/>
  <c r="B359" i="1"/>
  <c r="A359" i="1"/>
  <c r="B358" i="1"/>
  <c r="A358" i="1"/>
  <c r="B357" i="1"/>
  <c r="A357" i="1"/>
  <c r="B356" i="1"/>
  <c r="A356" i="1"/>
  <c r="B355" i="1"/>
  <c r="A355" i="1"/>
  <c r="B354" i="1"/>
  <c r="A354" i="1"/>
  <c r="B353" i="1"/>
  <c r="A353" i="1"/>
  <c r="B352" i="1"/>
  <c r="A352" i="1"/>
  <c r="B351" i="1"/>
  <c r="A351" i="1"/>
  <c r="B350" i="1"/>
  <c r="A350" i="1"/>
  <c r="B349" i="1"/>
  <c r="A349" i="1"/>
  <c r="B348" i="1"/>
  <c r="A348" i="1"/>
  <c r="B347" i="1"/>
  <c r="A347" i="1"/>
  <c r="B346" i="1"/>
  <c r="A346" i="1"/>
  <c r="B345" i="1"/>
  <c r="A345" i="1"/>
  <c r="B344" i="1"/>
  <c r="A344" i="1"/>
  <c r="B343" i="1"/>
  <c r="A343" i="1"/>
  <c r="B342" i="1"/>
  <c r="A342" i="1"/>
  <c r="B341" i="1"/>
  <c r="A341" i="1"/>
  <c r="B340" i="1"/>
  <c r="A340" i="1"/>
  <c r="B339" i="1"/>
  <c r="A339" i="1"/>
  <c r="B338" i="1"/>
  <c r="A338" i="1"/>
  <c r="B337" i="1"/>
  <c r="A337" i="1"/>
  <c r="B336" i="1"/>
  <c r="A336" i="1"/>
  <c r="B335" i="1"/>
  <c r="A335" i="1"/>
  <c r="B334" i="1"/>
  <c r="A334" i="1"/>
  <c r="B333" i="1"/>
  <c r="A333" i="1"/>
  <c r="B332" i="1"/>
  <c r="A332" i="1"/>
  <c r="B331" i="1"/>
  <c r="A331" i="1"/>
  <c r="B330" i="1"/>
  <c r="A330" i="1"/>
  <c r="B329" i="1"/>
  <c r="A329" i="1"/>
  <c r="B328" i="1"/>
  <c r="A328" i="1"/>
  <c r="B327" i="1"/>
  <c r="A327" i="1"/>
  <c r="B326" i="1"/>
  <c r="A326" i="1"/>
  <c r="B325" i="1"/>
  <c r="A325" i="1"/>
  <c r="B324" i="1"/>
  <c r="A324" i="1"/>
  <c r="B323" i="1"/>
  <c r="A323" i="1"/>
  <c r="B322" i="1"/>
  <c r="A322" i="1"/>
  <c r="B321" i="1"/>
  <c r="A321" i="1"/>
  <c r="B320" i="1"/>
  <c r="A320" i="1"/>
  <c r="B319" i="1"/>
  <c r="A319" i="1"/>
  <c r="B318" i="1"/>
  <c r="A318" i="1"/>
  <c r="B317" i="1"/>
  <c r="A317" i="1"/>
  <c r="B316" i="1"/>
  <c r="A316" i="1"/>
  <c r="B315" i="1"/>
  <c r="A315" i="1"/>
  <c r="B314" i="1"/>
  <c r="A314" i="1"/>
  <c r="B313" i="1"/>
  <c r="A313" i="1"/>
  <c r="B312" i="1"/>
  <c r="A312" i="1"/>
  <c r="B311" i="1"/>
  <c r="A311" i="1"/>
  <c r="B310" i="1"/>
  <c r="A310" i="1"/>
  <c r="B309" i="1"/>
  <c r="A309" i="1"/>
  <c r="B308" i="1"/>
  <c r="A308" i="1"/>
  <c r="B307" i="1"/>
  <c r="A307" i="1"/>
  <c r="B306" i="1"/>
  <c r="A306" i="1"/>
  <c r="B305" i="1"/>
  <c r="A305" i="1"/>
  <c r="B304" i="1"/>
  <c r="A304" i="1"/>
  <c r="B303" i="1"/>
  <c r="A303" i="1"/>
  <c r="B302" i="1"/>
  <c r="A302" i="1"/>
  <c r="B301" i="1"/>
  <c r="A301" i="1"/>
  <c r="B300" i="1"/>
  <c r="A300" i="1"/>
  <c r="B299" i="1"/>
  <c r="A299" i="1"/>
  <c r="B298" i="1"/>
  <c r="A298" i="1"/>
  <c r="B297" i="1"/>
  <c r="A297" i="1"/>
  <c r="B296" i="1"/>
  <c r="A296" i="1"/>
  <c r="B295" i="1"/>
  <c r="A295" i="1"/>
  <c r="B294" i="1"/>
  <c r="A294" i="1"/>
  <c r="B293" i="1"/>
  <c r="A293" i="1"/>
  <c r="B292" i="1"/>
  <c r="A292" i="1"/>
  <c r="B291" i="1"/>
  <c r="A291" i="1"/>
  <c r="B290" i="1"/>
  <c r="A290" i="1"/>
  <c r="B289" i="1"/>
  <c r="A289" i="1"/>
  <c r="B288" i="1"/>
  <c r="A288" i="1"/>
  <c r="B287" i="1"/>
  <c r="A287" i="1"/>
  <c r="B286" i="1"/>
  <c r="A286" i="1"/>
  <c r="B285" i="1"/>
  <c r="A285" i="1"/>
  <c r="B284" i="1"/>
  <c r="A284" i="1"/>
  <c r="B283" i="1"/>
  <c r="A283" i="1"/>
  <c r="B282" i="1"/>
  <c r="A282" i="1"/>
  <c r="B281" i="1"/>
  <c r="A281" i="1"/>
  <c r="B280" i="1"/>
  <c r="A280" i="1"/>
  <c r="B279" i="1"/>
  <c r="A279" i="1"/>
  <c r="B278" i="1"/>
  <c r="A278" i="1"/>
  <c r="B277" i="1"/>
  <c r="A277" i="1"/>
  <c r="B276" i="1"/>
  <c r="A276" i="1"/>
  <c r="B275" i="1"/>
  <c r="A275" i="1"/>
  <c r="B274" i="1"/>
  <c r="A274" i="1"/>
  <c r="B273" i="1"/>
  <c r="A273" i="1"/>
  <c r="B272" i="1"/>
  <c r="A272" i="1"/>
  <c r="B271" i="1"/>
  <c r="A271" i="1"/>
  <c r="B270" i="1"/>
  <c r="A270" i="1"/>
  <c r="B269" i="1"/>
  <c r="A269" i="1"/>
  <c r="B268" i="1"/>
  <c r="A268" i="1"/>
  <c r="B267" i="1"/>
  <c r="A267" i="1"/>
  <c r="B266" i="1"/>
  <c r="A266" i="1"/>
  <c r="B265" i="1"/>
  <c r="A265" i="1"/>
  <c r="B264" i="1"/>
  <c r="A264" i="1"/>
  <c r="B263" i="1"/>
  <c r="A263" i="1"/>
  <c r="B262" i="1"/>
  <c r="A262" i="1"/>
  <c r="B261" i="1"/>
  <c r="A261" i="1"/>
  <c r="B260" i="1"/>
  <c r="A260" i="1"/>
  <c r="B259" i="1"/>
  <c r="A259" i="1"/>
  <c r="B258" i="1"/>
  <c r="A258" i="1"/>
  <c r="B257" i="1"/>
  <c r="A257" i="1"/>
  <c r="B256" i="1"/>
  <c r="A256" i="1"/>
  <c r="B255" i="1"/>
  <c r="A255" i="1"/>
  <c r="B254" i="1"/>
  <c r="A254" i="1"/>
  <c r="B253" i="1"/>
  <c r="A253" i="1"/>
  <c r="B252" i="1"/>
  <c r="A252" i="1"/>
  <c r="B251" i="1"/>
  <c r="A251" i="1"/>
  <c r="B250" i="1"/>
  <c r="A250" i="1"/>
  <c r="B249" i="1"/>
  <c r="A249" i="1"/>
  <c r="B248" i="1"/>
  <c r="A248" i="1"/>
  <c r="B247" i="1"/>
  <c r="A247" i="1"/>
  <c r="B246" i="1"/>
  <c r="A246" i="1"/>
  <c r="B245" i="1"/>
  <c r="A245" i="1"/>
  <c r="B244" i="1"/>
  <c r="A244" i="1"/>
  <c r="B243" i="1"/>
  <c r="A243" i="1"/>
  <c r="B242" i="1"/>
  <c r="A242" i="1"/>
  <c r="B241" i="1"/>
  <c r="A241" i="1"/>
  <c r="B240" i="1"/>
  <c r="A240" i="1"/>
  <c r="B239" i="1"/>
  <c r="A239" i="1"/>
  <c r="B238" i="1"/>
  <c r="A238" i="1"/>
  <c r="B237" i="1"/>
  <c r="A237" i="1"/>
  <c r="B236" i="1"/>
  <c r="A236" i="1"/>
  <c r="B235" i="1"/>
  <c r="A235" i="1"/>
  <c r="B234" i="1"/>
  <c r="A234" i="1"/>
  <c r="B233" i="1"/>
  <c r="A233" i="1"/>
  <c r="B232" i="1"/>
  <c r="A232" i="1"/>
  <c r="B231" i="1"/>
  <c r="A231" i="1"/>
  <c r="B230" i="1"/>
  <c r="A230" i="1"/>
  <c r="B229" i="1"/>
  <c r="A229" i="1"/>
  <c r="B228" i="1"/>
  <c r="A228" i="1"/>
  <c r="B227" i="1"/>
  <c r="A227" i="1"/>
  <c r="B226" i="1"/>
  <c r="A226" i="1"/>
  <c r="B225" i="1"/>
  <c r="A225" i="1"/>
  <c r="B224" i="1"/>
  <c r="A224" i="1"/>
  <c r="B223" i="1"/>
  <c r="A223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205" i="1"/>
  <c r="A205" i="1"/>
  <c r="B204" i="1"/>
  <c r="A204" i="1"/>
  <c r="B203" i="1"/>
  <c r="A203" i="1"/>
  <c r="B202" i="1"/>
  <c r="A202" i="1"/>
  <c r="B201" i="1"/>
  <c r="A201" i="1"/>
  <c r="B200" i="1"/>
  <c r="A200" i="1"/>
  <c r="B199" i="1"/>
  <c r="A199" i="1"/>
  <c r="B198" i="1"/>
  <c r="A198" i="1"/>
  <c r="B197" i="1"/>
  <c r="A197" i="1"/>
  <c r="B196" i="1"/>
  <c r="A196" i="1"/>
  <c r="B195" i="1"/>
  <c r="A195" i="1"/>
  <c r="B194" i="1"/>
  <c r="A194" i="1"/>
  <c r="B193" i="1"/>
  <c r="A193" i="1"/>
  <c r="B192" i="1"/>
  <c r="A192" i="1"/>
  <c r="B191" i="1"/>
  <c r="A191" i="1"/>
  <c r="B190" i="1"/>
  <c r="A190" i="1"/>
  <c r="B189" i="1"/>
  <c r="A189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71" i="1"/>
  <c r="A171" i="1"/>
  <c r="B170" i="1"/>
  <c r="A170" i="1"/>
  <c r="B169" i="1"/>
  <c r="A169" i="1"/>
  <c r="B168" i="1"/>
  <c r="A168" i="1"/>
  <c r="B167" i="1"/>
  <c r="A167" i="1"/>
  <c r="B166" i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D51" i="2" l="1"/>
  <c r="C4" i="2"/>
  <c r="C12" i="2"/>
  <c r="C20" i="2"/>
  <c r="C18" i="4"/>
  <c r="D71" i="4"/>
  <c r="C34" i="4"/>
  <c r="C50" i="4"/>
  <c r="D103" i="4"/>
  <c r="D119" i="4"/>
  <c r="D174" i="4"/>
  <c r="C167" i="4"/>
  <c r="D219" i="4"/>
  <c r="C178" i="4"/>
  <c r="C184" i="4"/>
  <c r="C192" i="4"/>
  <c r="C194" i="4"/>
  <c r="D246" i="4"/>
  <c r="C200" i="4"/>
  <c r="C202" i="4"/>
  <c r="C208" i="4"/>
  <c r="C210" i="4"/>
  <c r="C216" i="4"/>
  <c r="C218" i="4"/>
  <c r="C224" i="4"/>
  <c r="C226" i="4"/>
  <c r="C232" i="4"/>
  <c r="C240" i="4"/>
  <c r="C242" i="4"/>
  <c r="D294" i="4"/>
  <c r="C248" i="4"/>
  <c r="C256" i="4"/>
  <c r="C258" i="4"/>
  <c r="D310" i="4"/>
  <c r="C264" i="4"/>
  <c r="C272" i="4"/>
  <c r="C274" i="4"/>
  <c r="D326" i="4"/>
  <c r="C280" i="4"/>
  <c r="C288" i="4"/>
  <c r="C304" i="4"/>
  <c r="C312" i="4"/>
  <c r="C320" i="4"/>
  <c r="C328" i="4"/>
  <c r="C335" i="4"/>
  <c r="C338" i="4"/>
  <c r="C342" i="4"/>
  <c r="C370" i="4"/>
  <c r="C374" i="4"/>
  <c r="C388" i="4"/>
  <c r="C402" i="4"/>
  <c r="C406" i="4"/>
  <c r="D131" i="4"/>
  <c r="D145" i="4"/>
  <c r="D156" i="4"/>
  <c r="D63" i="4"/>
  <c r="D433" i="4"/>
  <c r="D447" i="4"/>
  <c r="D55" i="4"/>
  <c r="D230" i="4"/>
  <c r="D106" i="4"/>
  <c r="C93" i="4"/>
  <c r="C367" i="4"/>
  <c r="C491" i="4"/>
  <c r="C651" i="4"/>
  <c r="D52" i="4"/>
  <c r="D198" i="4"/>
  <c r="D262" i="4"/>
  <c r="C225" i="4"/>
  <c r="D251" i="4"/>
  <c r="D465" i="4"/>
  <c r="C420" i="4"/>
  <c r="D479" i="4"/>
  <c r="C438" i="4"/>
  <c r="D497" i="4"/>
  <c r="C452" i="4"/>
  <c r="D515" i="4"/>
  <c r="C477" i="4"/>
  <c r="D529" i="4"/>
  <c r="C484" i="4"/>
  <c r="D543" i="4"/>
  <c r="D547" i="4"/>
  <c r="C502" i="4"/>
  <c r="C505" i="4"/>
  <c r="D561" i="4"/>
  <c r="C516" i="4"/>
  <c r="D575" i="4"/>
  <c r="C530" i="4"/>
  <c r="D595" i="4"/>
  <c r="D607" i="4"/>
  <c r="C580" i="4"/>
  <c r="D643" i="4"/>
  <c r="C612" i="4"/>
  <c r="D689" i="4"/>
  <c r="D745" i="4"/>
  <c r="C732" i="4"/>
  <c r="D809" i="4"/>
  <c r="C803" i="4"/>
  <c r="D879" i="4"/>
  <c r="C1182" i="4"/>
  <c r="C1184" i="4"/>
  <c r="C1186" i="4"/>
  <c r="C1188" i="4"/>
  <c r="C1190" i="4"/>
  <c r="C1192" i="4"/>
  <c r="C1194" i="4"/>
  <c r="C1196" i="4"/>
  <c r="C1200" i="4"/>
  <c r="C1202" i="4"/>
  <c r="C1204" i="4"/>
  <c r="C1206" i="4"/>
  <c r="C1208" i="4"/>
  <c r="C1210" i="4"/>
  <c r="C1212" i="4"/>
  <c r="C1214" i="4"/>
  <c r="C1216" i="4"/>
  <c r="C1218" i="4"/>
  <c r="C1220" i="4"/>
  <c r="C1222" i="4"/>
  <c r="C1224" i="4"/>
  <c r="C1226" i="4"/>
  <c r="C1228" i="4"/>
  <c r="C1230" i="4"/>
  <c r="D419" i="4"/>
  <c r="C289" i="4"/>
  <c r="C28" i="2"/>
  <c r="C36" i="2"/>
  <c r="C44" i="2"/>
  <c r="C50" i="2"/>
  <c r="C52" i="2"/>
  <c r="D105" i="2"/>
  <c r="C60" i="2"/>
  <c r="D113" i="2"/>
  <c r="C68" i="2"/>
  <c r="D121" i="2"/>
  <c r="C76" i="2"/>
  <c r="D129" i="2"/>
  <c r="C84" i="2"/>
  <c r="D137" i="2"/>
  <c r="C92" i="2"/>
  <c r="D145" i="2"/>
  <c r="C100" i="2"/>
  <c r="D153" i="2"/>
  <c r="C108" i="2"/>
  <c r="D161" i="2"/>
  <c r="C116" i="2"/>
  <c r="D169" i="2"/>
  <c r="D177" i="2"/>
  <c r="D185" i="2"/>
  <c r="D193" i="2"/>
  <c r="D201" i="2"/>
  <c r="D209" i="2"/>
  <c r="D217" i="2"/>
  <c r="D221" i="2"/>
  <c r="D225" i="2"/>
  <c r="C234" i="4"/>
  <c r="D283" i="4"/>
  <c r="C266" i="4"/>
  <c r="D315" i="4"/>
  <c r="C296" i="4"/>
  <c r="D345" i="4"/>
  <c r="D483" i="4"/>
  <c r="C434" i="4"/>
  <c r="C668" i="4"/>
  <c r="D717" i="4"/>
  <c r="D579" i="4"/>
  <c r="C5" i="4"/>
  <c r="D56" i="4"/>
  <c r="D60" i="4"/>
  <c r="C13" i="4"/>
  <c r="C15" i="4"/>
  <c r="C17" i="4"/>
  <c r="D68" i="4"/>
  <c r="C21" i="4"/>
  <c r="C25" i="4"/>
  <c r="D76" i="4"/>
  <c r="C29" i="4"/>
  <c r="C31" i="4"/>
  <c r="C33" i="4"/>
  <c r="D84" i="4"/>
  <c r="C37" i="4"/>
  <c r="D88" i="4"/>
  <c r="D92" i="4"/>
  <c r="C45" i="4"/>
  <c r="C47" i="4"/>
  <c r="C49" i="4"/>
  <c r="D100" i="4"/>
  <c r="D102" i="4"/>
  <c r="C55" i="4"/>
  <c r="C57" i="4"/>
  <c r="D108" i="4"/>
  <c r="D110" i="4"/>
  <c r="C63" i="4"/>
  <c r="C65" i="4"/>
  <c r="D116" i="4"/>
  <c r="C71" i="4"/>
  <c r="D124" i="4"/>
  <c r="D126" i="4"/>
  <c r="C79" i="4"/>
  <c r="D130" i="4"/>
  <c r="D132" i="4"/>
  <c r="D134" i="4"/>
  <c r="C87" i="4"/>
  <c r="D138" i="4"/>
  <c r="D140" i="4"/>
  <c r="D142" i="4"/>
  <c r="C95" i="4"/>
  <c r="D146" i="4"/>
  <c r="D148" i="4"/>
  <c r="D152" i="4"/>
  <c r="D154" i="4"/>
  <c r="C107" i="4"/>
  <c r="D158" i="4"/>
  <c r="C111" i="4"/>
  <c r="D162" i="4"/>
  <c r="D164" i="4"/>
  <c r="D166" i="4"/>
  <c r="C119" i="4"/>
  <c r="D170" i="4"/>
  <c r="D172" i="4"/>
  <c r="C125" i="4"/>
  <c r="C127" i="4"/>
  <c r="D178" i="4"/>
  <c r="D180" i="4"/>
  <c r="C133" i="4"/>
  <c r="D186" i="4"/>
  <c r="D188" i="4"/>
  <c r="C141" i="4"/>
  <c r="D192" i="4"/>
  <c r="D194" i="4"/>
  <c r="D196" i="4"/>
  <c r="C149" i="4"/>
  <c r="D200" i="4"/>
  <c r="D202" i="4"/>
  <c r="C155" i="4"/>
  <c r="C157" i="4"/>
  <c r="D208" i="4"/>
  <c r="D210" i="4"/>
  <c r="D212" i="4"/>
  <c r="C193" i="4"/>
  <c r="D278" i="4"/>
  <c r="C257" i="4"/>
  <c r="D356" i="4"/>
  <c r="C321" i="4"/>
  <c r="C77" i="4"/>
  <c r="C139" i="4"/>
  <c r="D229" i="2"/>
  <c r="C9" i="4"/>
  <c r="D58" i="4"/>
  <c r="D72" i="4"/>
  <c r="C23" i="4"/>
  <c r="C41" i="4"/>
  <c r="D90" i="4"/>
  <c r="D118" i="4"/>
  <c r="C69" i="4"/>
  <c r="C73" i="4"/>
  <c r="D122" i="4"/>
  <c r="D150" i="4"/>
  <c r="C101" i="4"/>
  <c r="D184" i="4"/>
  <c r="C135" i="4"/>
  <c r="C165" i="4"/>
  <c r="D214" i="4"/>
  <c r="C28" i="4"/>
  <c r="C53" i="4"/>
  <c r="D66" i="4"/>
  <c r="D82" i="4"/>
  <c r="D95" i="4"/>
  <c r="C109" i="4"/>
  <c r="D160" i="4"/>
  <c r="D181" i="4"/>
  <c r="D203" i="4"/>
  <c r="C7" i="4"/>
  <c r="C85" i="4"/>
  <c r="D98" i="4"/>
  <c r="D114" i="4"/>
  <c r="D128" i="4"/>
  <c r="C185" i="4"/>
  <c r="C209" i="4"/>
  <c r="C241" i="4"/>
  <c r="D267" i="4"/>
  <c r="D377" i="4"/>
  <c r="C448" i="4"/>
  <c r="D533" i="4"/>
  <c r="D233" i="2"/>
  <c r="D237" i="2"/>
  <c r="D241" i="2"/>
  <c r="D245" i="2"/>
  <c r="D249" i="2"/>
  <c r="D253" i="2"/>
  <c r="D257" i="2"/>
  <c r="D261" i="2"/>
  <c r="D265" i="2"/>
  <c r="D269" i="2"/>
  <c r="D273" i="2"/>
  <c r="D277" i="2"/>
  <c r="D281" i="2"/>
  <c r="D285" i="2"/>
  <c r="D289" i="2"/>
  <c r="D293" i="2"/>
  <c r="D297" i="2"/>
  <c r="D301" i="2"/>
  <c r="D305" i="2"/>
  <c r="D309" i="2"/>
  <c r="D313" i="2"/>
  <c r="D317" i="2"/>
  <c r="D321" i="2"/>
  <c r="D325" i="2"/>
  <c r="D329" i="2"/>
  <c r="D333" i="2"/>
  <c r="D337" i="2"/>
  <c r="D341" i="2"/>
  <c r="D345" i="2"/>
  <c r="D349" i="2"/>
  <c r="D353" i="2"/>
  <c r="D357" i="2"/>
  <c r="D361" i="2"/>
  <c r="D365" i="2"/>
  <c r="D369" i="2"/>
  <c r="D373" i="2"/>
  <c r="D377" i="2"/>
  <c r="D381" i="2"/>
  <c r="D385" i="2"/>
  <c r="D389" i="2"/>
  <c r="D393" i="2"/>
  <c r="D397" i="2"/>
  <c r="D400" i="2"/>
  <c r="D408" i="2"/>
  <c r="D432" i="2"/>
  <c r="D440" i="2"/>
  <c r="D464" i="2"/>
  <c r="D472" i="2"/>
  <c r="C1182" i="2"/>
  <c r="C1184" i="2"/>
  <c r="C1186" i="2"/>
  <c r="C1188" i="2"/>
  <c r="C1190" i="2"/>
  <c r="C1192" i="2"/>
  <c r="C1194" i="2"/>
  <c r="C1196" i="2"/>
  <c r="C1198" i="2"/>
  <c r="C1200" i="2"/>
  <c r="C1202" i="2"/>
  <c r="C1204" i="2"/>
  <c r="C1206" i="2"/>
  <c r="C1208" i="2"/>
  <c r="C1210" i="2"/>
  <c r="C1212" i="2"/>
  <c r="C1214" i="2"/>
  <c r="C1216" i="2"/>
  <c r="C1218" i="2"/>
  <c r="C1220" i="2"/>
  <c r="C1222" i="2"/>
  <c r="C1224" i="2"/>
  <c r="C1226" i="2"/>
  <c r="C1228" i="2"/>
  <c r="C1230" i="2"/>
  <c r="D51" i="3"/>
  <c r="C27" i="3"/>
  <c r="C63" i="3"/>
  <c r="C135" i="3"/>
  <c r="C159" i="3"/>
  <c r="C207" i="3"/>
  <c r="C214" i="3"/>
  <c r="C218" i="3"/>
  <c r="C222" i="3"/>
  <c r="C226" i="3"/>
  <c r="C230" i="3"/>
  <c r="C234" i="3"/>
  <c r="C238" i="3"/>
  <c r="C242" i="3"/>
  <c r="C246" i="3"/>
  <c r="C250" i="3"/>
  <c r="C254" i="3"/>
  <c r="C258" i="3"/>
  <c r="C262" i="3"/>
  <c r="C266" i="3"/>
  <c r="C270" i="3"/>
  <c r="C274" i="3"/>
  <c r="C278" i="3"/>
  <c r="C282" i="3"/>
  <c r="C336" i="3"/>
  <c r="C368" i="3"/>
  <c r="D445" i="3"/>
  <c r="D477" i="3"/>
  <c r="D499" i="3"/>
  <c r="D515" i="3"/>
  <c r="D531" i="3"/>
  <c r="D547" i="3"/>
  <c r="D563" i="3"/>
  <c r="D579" i="3"/>
  <c r="D595" i="3"/>
  <c r="D611" i="3"/>
  <c r="D627" i="3"/>
  <c r="D643" i="3"/>
  <c r="D659" i="3"/>
  <c r="D675" i="3"/>
  <c r="D678" i="3"/>
  <c r="D691" i="3"/>
  <c r="D707" i="3"/>
  <c r="C672" i="3"/>
  <c r="D749" i="3"/>
  <c r="D849" i="3"/>
  <c r="D913" i="3"/>
  <c r="D51" i="4"/>
  <c r="C4" i="4"/>
  <c r="C6" i="4"/>
  <c r="D57" i="4"/>
  <c r="D59" i="4"/>
  <c r="D61" i="4"/>
  <c r="C14" i="4"/>
  <c r="D65" i="4"/>
  <c r="D67" i="4"/>
  <c r="C20" i="4"/>
  <c r="C22" i="4"/>
  <c r="D73" i="4"/>
  <c r="D75" i="4"/>
  <c r="D77" i="4"/>
  <c r="C30" i="4"/>
  <c r="D79" i="4"/>
  <c r="D81" i="4"/>
  <c r="D83" i="4"/>
  <c r="C36" i="4"/>
  <c r="C38" i="4"/>
  <c r="D89" i="4"/>
  <c r="D91" i="4"/>
  <c r="D93" i="4"/>
  <c r="C44" i="4"/>
  <c r="C46" i="4"/>
  <c r="D97" i="4"/>
  <c r="D99" i="4"/>
  <c r="D111" i="4"/>
  <c r="D149" i="4"/>
  <c r="D163" i="4"/>
  <c r="D177" i="4"/>
  <c r="C186" i="4"/>
  <c r="D235" i="4"/>
  <c r="C250" i="4"/>
  <c r="D299" i="4"/>
  <c r="C356" i="4"/>
  <c r="D405" i="4"/>
  <c r="D511" i="4"/>
  <c r="C462" i="4"/>
  <c r="C470" i="4"/>
  <c r="D519" i="4"/>
  <c r="D657" i="4"/>
  <c r="C608" i="4"/>
  <c r="D967" i="4"/>
  <c r="C918" i="4"/>
  <c r="C12" i="4"/>
  <c r="C39" i="4"/>
  <c r="C61" i="4"/>
  <c r="D74" i="4"/>
  <c r="D87" i="4"/>
  <c r="C117" i="4"/>
  <c r="C153" i="4"/>
  <c r="C171" i="4"/>
  <c r="C273" i="4"/>
  <c r="C305" i="4"/>
  <c r="D391" i="4"/>
  <c r="D551" i="4"/>
  <c r="D216" i="4"/>
  <c r="D218" i="4"/>
  <c r="D220" i="4"/>
  <c r="C173" i="4"/>
  <c r="D224" i="4"/>
  <c r="D226" i="4"/>
  <c r="D228" i="4"/>
  <c r="C183" i="4"/>
  <c r="C187" i="4"/>
  <c r="D238" i="4"/>
  <c r="C199" i="4"/>
  <c r="C201" i="4"/>
  <c r="D252" i="4"/>
  <c r="D254" i="4"/>
  <c r="C215" i="4"/>
  <c r="C217" i="4"/>
  <c r="D268" i="4"/>
  <c r="D270" i="4"/>
  <c r="C231" i="4"/>
  <c r="C233" i="4"/>
  <c r="D284" i="4"/>
  <c r="D286" i="4"/>
  <c r="C247" i="4"/>
  <c r="C249" i="4"/>
  <c r="D300" i="4"/>
  <c r="D302" i="4"/>
  <c r="C263" i="4"/>
  <c r="C265" i="4"/>
  <c r="D316" i="4"/>
  <c r="D318" i="4"/>
  <c r="C279" i="4"/>
  <c r="C281" i="4"/>
  <c r="D340" i="4"/>
  <c r="C295" i="4"/>
  <c r="C297" i="4"/>
  <c r="D348" i="4"/>
  <c r="C311" i="4"/>
  <c r="C313" i="4"/>
  <c r="D372" i="4"/>
  <c r="C327" i="4"/>
  <c r="C351" i="4"/>
  <c r="C359" i="4"/>
  <c r="C381" i="4"/>
  <c r="C395" i="4"/>
  <c r="C409" i="4"/>
  <c r="C413" i="4"/>
  <c r="C427" i="4"/>
  <c r="C441" i="4"/>
  <c r="C509" i="4"/>
  <c r="C523" i="4"/>
  <c r="C537" i="4"/>
  <c r="C541" i="4"/>
  <c r="C587" i="4"/>
  <c r="C619" i="4"/>
  <c r="C675" i="4"/>
  <c r="C739" i="4"/>
  <c r="D858" i="4"/>
  <c r="C975" i="4"/>
  <c r="D1036" i="4"/>
  <c r="C1182" i="3"/>
  <c r="C1184" i="3"/>
  <c r="C1186" i="3"/>
  <c r="C1188" i="3"/>
  <c r="C1190" i="3"/>
  <c r="C1192" i="3"/>
  <c r="C1194" i="3"/>
  <c r="C1196" i="3"/>
  <c r="C1198" i="3"/>
  <c r="C1200" i="3"/>
  <c r="C1202" i="3"/>
  <c r="C1204" i="3"/>
  <c r="C1206" i="3"/>
  <c r="C1208" i="3"/>
  <c r="C1210" i="3"/>
  <c r="C1212" i="3"/>
  <c r="C1214" i="3"/>
  <c r="C1216" i="3"/>
  <c r="C1218" i="3"/>
  <c r="C1220" i="3"/>
  <c r="C1222" i="3"/>
  <c r="C1224" i="3"/>
  <c r="C1226" i="3"/>
  <c r="C1228" i="3"/>
  <c r="C1230" i="3"/>
  <c r="C52" i="4"/>
  <c r="C54" i="4"/>
  <c r="C56" i="4"/>
  <c r="C58" i="4"/>
  <c r="C60" i="4"/>
  <c r="C62" i="4"/>
  <c r="C64" i="4"/>
  <c r="C66" i="4"/>
  <c r="C68" i="4"/>
  <c r="C70" i="4"/>
  <c r="C72" i="4"/>
  <c r="C74" i="4"/>
  <c r="C76" i="4"/>
  <c r="C78" i="4"/>
  <c r="D127" i="4"/>
  <c r="C80" i="4"/>
  <c r="C82" i="4"/>
  <c r="C84" i="4"/>
  <c r="C86" i="4"/>
  <c r="D135" i="4"/>
  <c r="C88" i="4"/>
  <c r="C90" i="4"/>
  <c r="C92" i="4"/>
  <c r="C94" i="4"/>
  <c r="D143" i="4"/>
  <c r="C96" i="4"/>
  <c r="C98" i="4"/>
  <c r="C100" i="4"/>
  <c r="C102" i="4"/>
  <c r="D151" i="4"/>
  <c r="C104" i="4"/>
  <c r="C106" i="4"/>
  <c r="C108" i="4"/>
  <c r="C110" i="4"/>
  <c r="D159" i="4"/>
  <c r="C112" i="4"/>
  <c r="C114" i="4"/>
  <c r="C116" i="4"/>
  <c r="C118" i="4"/>
  <c r="D167" i="4"/>
  <c r="C120" i="4"/>
  <c r="C122" i="4"/>
  <c r="C124" i="4"/>
  <c r="C126" i="4"/>
  <c r="D175" i="4"/>
  <c r="C128" i="4"/>
  <c r="C130" i="4"/>
  <c r="C132" i="4"/>
  <c r="C134" i="4"/>
  <c r="D183" i="4"/>
  <c r="C136" i="4"/>
  <c r="C138" i="4"/>
  <c r="C140" i="4"/>
  <c r="C142" i="4"/>
  <c r="D191" i="4"/>
  <c r="C144" i="4"/>
  <c r="C146" i="4"/>
  <c r="C148" i="4"/>
  <c r="D197" i="4"/>
  <c r="C150" i="4"/>
  <c r="D199" i="4"/>
  <c r="C152" i="4"/>
  <c r="C154" i="4"/>
  <c r="C156" i="4"/>
  <c r="D205" i="4"/>
  <c r="C158" i="4"/>
  <c r="D207" i="4"/>
  <c r="C160" i="4"/>
  <c r="C162" i="4"/>
  <c r="C164" i="4"/>
  <c r="D213" i="4"/>
  <c r="C166" i="4"/>
  <c r="D215" i="4"/>
  <c r="C168" i="4"/>
  <c r="C170" i="4"/>
  <c r="C172" i="4"/>
  <c r="D221" i="4"/>
  <c r="C174" i="4"/>
  <c r="D223" i="4"/>
  <c r="C176" i="4"/>
  <c r="C180" i="4"/>
  <c r="D229" i="4"/>
  <c r="C182" i="4"/>
  <c r="D231" i="4"/>
  <c r="C188" i="4"/>
  <c r="D237" i="4"/>
  <c r="C190" i="4"/>
  <c r="D239" i="4"/>
  <c r="C196" i="4"/>
  <c r="D245" i="4"/>
  <c r="C198" i="4"/>
  <c r="D247" i="4"/>
  <c r="C204" i="4"/>
  <c r="D253" i="4"/>
  <c r="C206" i="4"/>
  <c r="D255" i="4"/>
  <c r="C212" i="4"/>
  <c r="D261" i="4"/>
  <c r="C214" i="4"/>
  <c r="D263" i="4"/>
  <c r="C220" i="4"/>
  <c r="D269" i="4"/>
  <c r="C222" i="4"/>
  <c r="D271" i="4"/>
  <c r="C228" i="4"/>
  <c r="D277" i="4"/>
  <c r="C230" i="4"/>
  <c r="D279" i="4"/>
  <c r="C236" i="4"/>
  <c r="D285" i="4"/>
  <c r="C238" i="4"/>
  <c r="D287" i="4"/>
  <c r="C244" i="4"/>
  <c r="D293" i="4"/>
  <c r="C246" i="4"/>
  <c r="D295" i="4"/>
  <c r="C252" i="4"/>
  <c r="D301" i="4"/>
  <c r="C254" i="4"/>
  <c r="D303" i="4"/>
  <c r="C260" i="4"/>
  <c r="D309" i="4"/>
  <c r="C262" i="4"/>
  <c r="D311" i="4"/>
  <c r="C268" i="4"/>
  <c r="D317" i="4"/>
  <c r="C270" i="4"/>
  <c r="D319" i="4"/>
  <c r="C276" i="4"/>
  <c r="D325" i="4"/>
  <c r="C278" i="4"/>
  <c r="D327" i="4"/>
  <c r="C282" i="4"/>
  <c r="D331" i="4"/>
  <c r="C284" i="4"/>
  <c r="D333" i="4"/>
  <c r="C286" i="4"/>
  <c r="D335" i="4"/>
  <c r="C290" i="4"/>
  <c r="D339" i="4"/>
  <c r="C292" i="4"/>
  <c r="D341" i="4"/>
  <c r="C294" i="4"/>
  <c r="D343" i="4"/>
  <c r="C298" i="4"/>
  <c r="D347" i="4"/>
  <c r="C300" i="4"/>
  <c r="D349" i="4"/>
  <c r="C302" i="4"/>
  <c r="D351" i="4"/>
  <c r="C306" i="4"/>
  <c r="D355" i="4"/>
  <c r="C308" i="4"/>
  <c r="D357" i="4"/>
  <c r="C310" i="4"/>
  <c r="D359" i="4"/>
  <c r="C314" i="4"/>
  <c r="D363" i="4"/>
  <c r="C316" i="4"/>
  <c r="D365" i="4"/>
  <c r="C318" i="4"/>
  <c r="D367" i="4"/>
  <c r="C322" i="4"/>
  <c r="D371" i="4"/>
  <c r="C324" i="4"/>
  <c r="D373" i="4"/>
  <c r="C326" i="4"/>
  <c r="D375" i="4"/>
  <c r="C330" i="4"/>
  <c r="D379" i="4"/>
  <c r="C332" i="4"/>
  <c r="D381" i="4"/>
  <c r="C334" i="4"/>
  <c r="D383" i="4"/>
  <c r="D385" i="4"/>
  <c r="C336" i="4"/>
  <c r="C340" i="4"/>
  <c r="D389" i="4"/>
  <c r="D393" i="4"/>
  <c r="C344" i="4"/>
  <c r="C346" i="4"/>
  <c r="D395" i="4"/>
  <c r="C348" i="4"/>
  <c r="D397" i="4"/>
  <c r="C350" i="4"/>
  <c r="D399" i="4"/>
  <c r="D401" i="4"/>
  <c r="C352" i="4"/>
  <c r="C354" i="4"/>
  <c r="D403" i="4"/>
  <c r="C358" i="4"/>
  <c r="D407" i="4"/>
  <c r="D409" i="4"/>
  <c r="C360" i="4"/>
  <c r="C362" i="4"/>
  <c r="D411" i="4"/>
  <c r="C364" i="4"/>
  <c r="D413" i="4"/>
  <c r="C366" i="4"/>
  <c r="D415" i="4"/>
  <c r="D417" i="4"/>
  <c r="C368" i="4"/>
  <c r="C372" i="4"/>
  <c r="D421" i="4"/>
  <c r="D425" i="4"/>
  <c r="C376" i="4"/>
  <c r="C378" i="4"/>
  <c r="D427" i="4"/>
  <c r="C380" i="4"/>
  <c r="D429" i="4"/>
  <c r="C382" i="4"/>
  <c r="D431" i="4"/>
  <c r="D435" i="4"/>
  <c r="C386" i="4"/>
  <c r="C390" i="4"/>
  <c r="D439" i="4"/>
  <c r="D441" i="4"/>
  <c r="C392" i="4"/>
  <c r="D443" i="4"/>
  <c r="C394" i="4"/>
  <c r="C396" i="4"/>
  <c r="D445" i="4"/>
  <c r="D449" i="4"/>
  <c r="C400" i="4"/>
  <c r="C404" i="4"/>
  <c r="D453" i="4"/>
  <c r="D457" i="4"/>
  <c r="C408" i="4"/>
  <c r="D459" i="4"/>
  <c r="C410" i="4"/>
  <c r="C412" i="4"/>
  <c r="D461" i="4"/>
  <c r="C414" i="4"/>
  <c r="D463" i="4"/>
  <c r="D467" i="4"/>
  <c r="C418" i="4"/>
  <c r="C422" i="4"/>
  <c r="D471" i="4"/>
  <c r="D473" i="4"/>
  <c r="C424" i="4"/>
  <c r="D475" i="4"/>
  <c r="C426" i="4"/>
  <c r="C428" i="4"/>
  <c r="D477" i="4"/>
  <c r="D481" i="4"/>
  <c r="C432" i="4"/>
  <c r="C436" i="4"/>
  <c r="D485" i="4"/>
  <c r="D489" i="4"/>
  <c r="C440" i="4"/>
  <c r="D491" i="4"/>
  <c r="C442" i="4"/>
  <c r="C444" i="4"/>
  <c r="D493" i="4"/>
  <c r="C446" i="4"/>
  <c r="D495" i="4"/>
  <c r="D499" i="4"/>
  <c r="C450" i="4"/>
  <c r="C454" i="4"/>
  <c r="D503" i="4"/>
  <c r="D505" i="4"/>
  <c r="C456" i="4"/>
  <c r="D507" i="4"/>
  <c r="C458" i="4"/>
  <c r="C460" i="4"/>
  <c r="D509" i="4"/>
  <c r="D513" i="4"/>
  <c r="C464" i="4"/>
  <c r="C468" i="4"/>
  <c r="D517" i="4"/>
  <c r="D521" i="4"/>
  <c r="C472" i="4"/>
  <c r="D523" i="4"/>
  <c r="C474" i="4"/>
  <c r="C476" i="4"/>
  <c r="D525" i="4"/>
  <c r="C478" i="4"/>
  <c r="D527" i="4"/>
  <c r="D531" i="4"/>
  <c r="C482" i="4"/>
  <c r="C486" i="4"/>
  <c r="D535" i="4"/>
  <c r="D537" i="4"/>
  <c r="C488" i="4"/>
  <c r="D539" i="4"/>
  <c r="C490" i="4"/>
  <c r="C492" i="4"/>
  <c r="D541" i="4"/>
  <c r="D545" i="4"/>
  <c r="C496" i="4"/>
  <c r="C500" i="4"/>
  <c r="D549" i="4"/>
  <c r="D553" i="4"/>
  <c r="C504" i="4"/>
  <c r="D555" i="4"/>
  <c r="C506" i="4"/>
  <c r="C508" i="4"/>
  <c r="D557" i="4"/>
  <c r="D559" i="4"/>
  <c r="C510" i="4"/>
  <c r="D563" i="4"/>
  <c r="C514" i="4"/>
  <c r="C518" i="4"/>
  <c r="D567" i="4"/>
  <c r="D569" i="4"/>
  <c r="C520" i="4"/>
  <c r="D571" i="4"/>
  <c r="C522" i="4"/>
  <c r="C524" i="4"/>
  <c r="D573" i="4"/>
  <c r="D577" i="4"/>
  <c r="C528" i="4"/>
  <c r="C532" i="4"/>
  <c r="D581" i="4"/>
  <c r="D583" i="4"/>
  <c r="C534" i="4"/>
  <c r="D585" i="4"/>
  <c r="C536" i="4"/>
  <c r="D587" i="4"/>
  <c r="C538" i="4"/>
  <c r="C540" i="4"/>
  <c r="D589" i="4"/>
  <c r="D591" i="4"/>
  <c r="C542" i="4"/>
  <c r="D593" i="4"/>
  <c r="C544" i="4"/>
  <c r="C548" i="4"/>
  <c r="D597" i="4"/>
  <c r="C550" i="4"/>
  <c r="D599" i="4"/>
  <c r="D601" i="4"/>
  <c r="C552" i="4"/>
  <c r="D603" i="4"/>
  <c r="C554" i="4"/>
  <c r="C556" i="4"/>
  <c r="D605" i="4"/>
  <c r="D609" i="4"/>
  <c r="C560" i="4"/>
  <c r="D611" i="4"/>
  <c r="C562" i="4"/>
  <c r="C564" i="4"/>
  <c r="D613" i="4"/>
  <c r="D615" i="4"/>
  <c r="C566" i="4"/>
  <c r="D617" i="4"/>
  <c r="C568" i="4"/>
  <c r="D619" i="4"/>
  <c r="C570" i="4"/>
  <c r="C572" i="4"/>
  <c r="D621" i="4"/>
  <c r="D623" i="4"/>
  <c r="C574" i="4"/>
  <c r="D625" i="4"/>
  <c r="C576" i="4"/>
  <c r="D627" i="4"/>
  <c r="C578" i="4"/>
  <c r="D631" i="4"/>
  <c r="C582" i="4"/>
  <c r="D633" i="4"/>
  <c r="C584" i="4"/>
  <c r="D635" i="4"/>
  <c r="C586" i="4"/>
  <c r="C588" i="4"/>
  <c r="D637" i="4"/>
  <c r="D639" i="4"/>
  <c r="C590" i="4"/>
  <c r="D641" i="4"/>
  <c r="C592" i="4"/>
  <c r="C596" i="4"/>
  <c r="D645" i="4"/>
  <c r="D647" i="4"/>
  <c r="C598" i="4"/>
  <c r="D649" i="4"/>
  <c r="C600" i="4"/>
  <c r="D651" i="4"/>
  <c r="C602" i="4"/>
  <c r="C604" i="4"/>
  <c r="D653" i="4"/>
  <c r="D655" i="4"/>
  <c r="C606" i="4"/>
  <c r="D659" i="4"/>
  <c r="C610" i="4"/>
  <c r="C614" i="4"/>
  <c r="D663" i="4"/>
  <c r="D665" i="4"/>
  <c r="C616" i="4"/>
  <c r="D667" i="4"/>
  <c r="C618" i="4"/>
  <c r="C620" i="4"/>
  <c r="D669" i="4"/>
  <c r="C622" i="4"/>
  <c r="D671" i="4"/>
  <c r="D673" i="4"/>
  <c r="C624" i="4"/>
  <c r="D675" i="4"/>
  <c r="C626" i="4"/>
  <c r="C628" i="4"/>
  <c r="D677" i="4"/>
  <c r="C630" i="4"/>
  <c r="D679" i="4"/>
  <c r="D681" i="4"/>
  <c r="C632" i="4"/>
  <c r="D683" i="4"/>
  <c r="C634" i="4"/>
  <c r="C636" i="4"/>
  <c r="D685" i="4"/>
  <c r="C638" i="4"/>
  <c r="D687" i="4"/>
  <c r="D691" i="4"/>
  <c r="C642" i="4"/>
  <c r="C644" i="4"/>
  <c r="D693" i="4"/>
  <c r="C646" i="4"/>
  <c r="D695" i="4"/>
  <c r="D697" i="4"/>
  <c r="C648" i="4"/>
  <c r="D699" i="4"/>
  <c r="C650" i="4"/>
  <c r="C652" i="4"/>
  <c r="D701" i="4"/>
  <c r="C654" i="4"/>
  <c r="D703" i="4"/>
  <c r="D705" i="4"/>
  <c r="C656" i="4"/>
  <c r="D707" i="4"/>
  <c r="C658" i="4"/>
  <c r="C660" i="4"/>
  <c r="D709" i="4"/>
  <c r="C662" i="4"/>
  <c r="D711" i="4"/>
  <c r="D713" i="4"/>
  <c r="C664" i="4"/>
  <c r="D715" i="4"/>
  <c r="C666" i="4"/>
  <c r="C670" i="4"/>
  <c r="D719" i="4"/>
  <c r="D721" i="4"/>
  <c r="C672" i="4"/>
  <c r="D723" i="4"/>
  <c r="C674" i="4"/>
  <c r="C676" i="4"/>
  <c r="D725" i="4"/>
  <c r="C678" i="4"/>
  <c r="D727" i="4"/>
  <c r="D729" i="4"/>
  <c r="C680" i="4"/>
  <c r="D731" i="4"/>
  <c r="C682" i="4"/>
  <c r="C684" i="4"/>
  <c r="D733" i="4"/>
  <c r="C686" i="4"/>
  <c r="D735" i="4"/>
  <c r="D737" i="4"/>
  <c r="C688" i="4"/>
  <c r="D739" i="4"/>
  <c r="C690" i="4"/>
  <c r="C692" i="4"/>
  <c r="D741" i="4"/>
  <c r="C694" i="4"/>
  <c r="D743" i="4"/>
  <c r="D747" i="4"/>
  <c r="C698" i="4"/>
  <c r="C700" i="4"/>
  <c r="D749" i="4"/>
  <c r="C702" i="4"/>
  <c r="D751" i="4"/>
  <c r="D753" i="4"/>
  <c r="C704" i="4"/>
  <c r="D755" i="4"/>
  <c r="C706" i="4"/>
  <c r="C708" i="4"/>
  <c r="D757" i="4"/>
  <c r="C710" i="4"/>
  <c r="D759" i="4"/>
  <c r="D761" i="4"/>
  <c r="C712" i="4"/>
  <c r="D763" i="4"/>
  <c r="C714" i="4"/>
  <c r="C716" i="4"/>
  <c r="D765" i="4"/>
  <c r="C718" i="4"/>
  <c r="D767" i="4"/>
  <c r="D769" i="4"/>
  <c r="C720" i="4"/>
  <c r="D771" i="4"/>
  <c r="C722" i="4"/>
  <c r="C724" i="4"/>
  <c r="D773" i="4"/>
  <c r="C726" i="4"/>
  <c r="D775" i="4"/>
  <c r="D777" i="4"/>
  <c r="C728" i="4"/>
  <c r="D779" i="4"/>
  <c r="C730" i="4"/>
  <c r="C734" i="4"/>
  <c r="D783" i="4"/>
  <c r="D785" i="4"/>
  <c r="C736" i="4"/>
  <c r="D787" i="4"/>
  <c r="C738" i="4"/>
  <c r="C740" i="4"/>
  <c r="D789" i="4"/>
  <c r="C742" i="4"/>
  <c r="D791" i="4"/>
  <c r="D793" i="4"/>
  <c r="C744" i="4"/>
  <c r="D795" i="4"/>
  <c r="C746" i="4"/>
  <c r="C748" i="4"/>
  <c r="D797" i="4"/>
  <c r="C750" i="4"/>
  <c r="D799" i="4"/>
  <c r="D801" i="4"/>
  <c r="C752" i="4"/>
  <c r="D803" i="4"/>
  <c r="C754" i="4"/>
  <c r="C756" i="4"/>
  <c r="D805" i="4"/>
  <c r="D807" i="4"/>
  <c r="C758" i="4"/>
  <c r="D811" i="4"/>
  <c r="C762" i="4"/>
  <c r="D813" i="4"/>
  <c r="C764" i="4"/>
  <c r="D815" i="4"/>
  <c r="C766" i="4"/>
  <c r="D817" i="4"/>
  <c r="C768" i="4"/>
  <c r="D819" i="4"/>
  <c r="C770" i="4"/>
  <c r="D821" i="4"/>
  <c r="C772" i="4"/>
  <c r="D823" i="4"/>
  <c r="C774" i="4"/>
  <c r="D825" i="4"/>
  <c r="C776" i="4"/>
  <c r="D827" i="4"/>
  <c r="C778" i="4"/>
  <c r="D829" i="4"/>
  <c r="C780" i="4"/>
  <c r="D831" i="4"/>
  <c r="C782" i="4"/>
  <c r="D833" i="4"/>
  <c r="C784" i="4"/>
  <c r="D835" i="4"/>
  <c r="C786" i="4"/>
  <c r="D837" i="4"/>
  <c r="C788" i="4"/>
  <c r="D839" i="4"/>
  <c r="C790" i="4"/>
  <c r="D841" i="4"/>
  <c r="C792" i="4"/>
  <c r="D843" i="4"/>
  <c r="C794" i="4"/>
  <c r="D845" i="4"/>
  <c r="C796" i="4"/>
  <c r="D847" i="4"/>
  <c r="C798" i="4"/>
  <c r="D849" i="4"/>
  <c r="C800" i="4"/>
  <c r="D851" i="4"/>
  <c r="C802" i="4"/>
  <c r="D853" i="4"/>
  <c r="C804" i="4"/>
  <c r="D855" i="4"/>
  <c r="C806" i="4"/>
  <c r="D857" i="4"/>
  <c r="C808" i="4"/>
  <c r="D859" i="4"/>
  <c r="C810" i="4"/>
  <c r="D861" i="4"/>
  <c r="C812" i="4"/>
  <c r="D863" i="4"/>
  <c r="C814" i="4"/>
  <c r="D865" i="4"/>
  <c r="C816" i="4"/>
  <c r="D867" i="4"/>
  <c r="C818" i="4"/>
  <c r="D869" i="4"/>
  <c r="C820" i="4"/>
  <c r="D871" i="4"/>
  <c r="C822" i="4"/>
  <c r="D873" i="4"/>
  <c r="C824" i="4"/>
  <c r="D875" i="4"/>
  <c r="C826" i="4"/>
  <c r="D877" i="4"/>
  <c r="C828" i="4"/>
  <c r="D881" i="4"/>
  <c r="C832" i="4"/>
  <c r="D883" i="4"/>
  <c r="C834" i="4"/>
  <c r="D885" i="4"/>
  <c r="C836" i="4"/>
  <c r="D887" i="4"/>
  <c r="C838" i="4"/>
  <c r="D889" i="4"/>
  <c r="C840" i="4"/>
  <c r="D891" i="4"/>
  <c r="C842" i="4"/>
  <c r="D893" i="4"/>
  <c r="C844" i="4"/>
  <c r="D895" i="4"/>
  <c r="C846" i="4"/>
  <c r="D897" i="4"/>
  <c r="C848" i="4"/>
  <c r="D899" i="4"/>
  <c r="C850" i="4"/>
  <c r="D901" i="4"/>
  <c r="C852" i="4"/>
  <c r="D903" i="4"/>
  <c r="C854" i="4"/>
  <c r="D905" i="4"/>
  <c r="C856" i="4"/>
  <c r="D907" i="4"/>
  <c r="C858" i="4"/>
  <c r="D909" i="4"/>
  <c r="C860" i="4"/>
  <c r="D911" i="4"/>
  <c r="C862" i="4"/>
  <c r="D913" i="4"/>
  <c r="C864" i="4"/>
  <c r="D915" i="4"/>
  <c r="C866" i="4"/>
  <c r="D917" i="4"/>
  <c r="C868" i="4"/>
  <c r="D919" i="4"/>
  <c r="C870" i="4"/>
  <c r="D921" i="4"/>
  <c r="C872" i="4"/>
  <c r="D923" i="4"/>
  <c r="C874" i="4"/>
  <c r="D925" i="4"/>
  <c r="C876" i="4"/>
  <c r="D927" i="4"/>
  <c r="C878" i="4"/>
  <c r="D929" i="4"/>
  <c r="C880" i="4"/>
  <c r="D931" i="4"/>
  <c r="C882" i="4"/>
  <c r="D933" i="4"/>
  <c r="C884" i="4"/>
  <c r="D935" i="4"/>
  <c r="C886" i="4"/>
  <c r="D937" i="4"/>
  <c r="C888" i="4"/>
  <c r="D939" i="4"/>
  <c r="C890" i="4"/>
  <c r="D941" i="4"/>
  <c r="C892" i="4"/>
  <c r="D943" i="4"/>
  <c r="C894" i="4"/>
  <c r="D945" i="4"/>
  <c r="C896" i="4"/>
  <c r="D947" i="4"/>
  <c r="C898" i="4"/>
  <c r="D949" i="4"/>
  <c r="C900" i="4"/>
  <c r="D951" i="4"/>
  <c r="C902" i="4"/>
  <c r="D953" i="4"/>
  <c r="C904" i="4"/>
  <c r="D955" i="4"/>
  <c r="C906" i="4"/>
  <c r="D957" i="4"/>
  <c r="C908" i="4"/>
  <c r="D959" i="4"/>
  <c r="C910" i="4"/>
  <c r="D961" i="4"/>
  <c r="C912" i="4"/>
  <c r="D963" i="4"/>
  <c r="C914" i="4"/>
  <c r="D965" i="4"/>
  <c r="C916" i="4"/>
  <c r="D969" i="4"/>
  <c r="C920" i="4"/>
  <c r="D971" i="4"/>
  <c r="C922" i="4"/>
  <c r="D973" i="4"/>
  <c r="C924" i="4"/>
  <c r="D975" i="4"/>
  <c r="C926" i="4"/>
  <c r="D977" i="4"/>
  <c r="C928" i="4"/>
  <c r="D979" i="4"/>
  <c r="C930" i="4"/>
  <c r="D981" i="4"/>
  <c r="C932" i="4"/>
  <c r="D983" i="4"/>
  <c r="C934" i="4"/>
  <c r="D985" i="4"/>
  <c r="C936" i="4"/>
  <c r="D987" i="4"/>
  <c r="C938" i="4"/>
  <c r="D989" i="4"/>
  <c r="C940" i="4"/>
  <c r="D991" i="4"/>
  <c r="C942" i="4"/>
  <c r="D993" i="4"/>
  <c r="C944" i="4"/>
  <c r="D995" i="4"/>
  <c r="C946" i="4"/>
  <c r="D997" i="4"/>
  <c r="C948" i="4"/>
  <c r="D999" i="4"/>
  <c r="C950" i="4"/>
  <c r="D1001" i="4"/>
  <c r="C952" i="4"/>
  <c r="D1003" i="4"/>
  <c r="C954" i="4"/>
  <c r="D1005" i="4"/>
  <c r="C956" i="4"/>
  <c r="D1007" i="4"/>
  <c r="C958" i="4"/>
  <c r="D1009" i="4"/>
  <c r="C960" i="4"/>
  <c r="D1011" i="4"/>
  <c r="C962" i="4"/>
  <c r="D1013" i="4"/>
  <c r="C964" i="4"/>
  <c r="D1015" i="4"/>
  <c r="C966" i="4"/>
  <c r="D1017" i="4"/>
  <c r="C968" i="4"/>
  <c r="D1019" i="4"/>
  <c r="C970" i="4"/>
  <c r="D1021" i="4"/>
  <c r="C972" i="4"/>
  <c r="D1023" i="4"/>
  <c r="C974" i="4"/>
  <c r="D1025" i="4"/>
  <c r="C976" i="4"/>
  <c r="D1027" i="4"/>
  <c r="C978" i="4"/>
  <c r="D1029" i="4"/>
  <c r="C980" i="4"/>
  <c r="D1031" i="4"/>
  <c r="C982" i="4"/>
  <c r="D1033" i="4"/>
  <c r="C984" i="4"/>
  <c r="D1035" i="4"/>
  <c r="C986" i="4"/>
  <c r="D1037" i="4"/>
  <c r="C988" i="4"/>
  <c r="D1039" i="4"/>
  <c r="C990" i="4"/>
  <c r="D1041" i="4"/>
  <c r="C992" i="4"/>
  <c r="D1043" i="4"/>
  <c r="C994" i="4"/>
  <c r="D1045" i="4"/>
  <c r="C996" i="4"/>
  <c r="D1047" i="4"/>
  <c r="C998" i="4"/>
  <c r="D1049" i="4"/>
  <c r="C1000" i="4"/>
  <c r="D1051" i="4"/>
  <c r="C1002" i="4"/>
  <c r="D1053" i="4"/>
  <c r="C1004" i="4"/>
  <c r="D1055" i="4"/>
  <c r="C1006" i="4"/>
  <c r="D1057" i="4"/>
  <c r="C1008" i="4"/>
  <c r="D1059" i="4"/>
  <c r="C1010" i="4"/>
  <c r="D1061" i="4"/>
  <c r="C1012" i="4"/>
  <c r="D1063" i="4"/>
  <c r="C1014" i="4"/>
  <c r="C1016" i="4"/>
  <c r="D1065" i="4"/>
  <c r="D1067" i="4"/>
  <c r="C1018" i="4"/>
  <c r="D1069" i="4"/>
  <c r="C1020" i="4"/>
  <c r="D1071" i="4"/>
  <c r="C1022" i="4"/>
  <c r="D1073" i="4"/>
  <c r="C1024" i="4"/>
  <c r="C1026" i="4"/>
  <c r="D1075" i="4"/>
  <c r="D1077" i="4"/>
  <c r="C1028" i="4"/>
  <c r="C1030" i="4"/>
  <c r="D1079" i="4"/>
  <c r="D1081" i="4"/>
  <c r="C1032" i="4"/>
  <c r="D1083" i="4"/>
  <c r="C1034" i="4"/>
  <c r="D1085" i="4"/>
  <c r="C1036" i="4"/>
  <c r="D1087" i="4"/>
  <c r="C1038" i="4"/>
  <c r="D1089" i="4"/>
  <c r="C1040" i="4"/>
  <c r="D1091" i="4"/>
  <c r="C1042" i="4"/>
  <c r="D1093" i="4"/>
  <c r="C1044" i="4"/>
  <c r="D1095" i="4"/>
  <c r="C1046" i="4"/>
  <c r="C1048" i="4"/>
  <c r="D1097" i="4"/>
  <c r="C1050" i="4"/>
  <c r="D1099" i="4"/>
  <c r="D1101" i="4"/>
  <c r="C1052" i="4"/>
  <c r="C1054" i="4"/>
  <c r="D1103" i="4"/>
  <c r="D1105" i="4"/>
  <c r="C1056" i="4"/>
  <c r="D1107" i="4"/>
  <c r="C1058" i="4"/>
  <c r="D1109" i="4"/>
  <c r="C1060" i="4"/>
  <c r="C1062" i="4"/>
  <c r="D1111" i="4"/>
  <c r="C1064" i="4"/>
  <c r="D1113" i="4"/>
  <c r="C1066" i="4"/>
  <c r="D1115" i="4"/>
  <c r="D1117" i="4"/>
  <c r="C1068" i="4"/>
  <c r="D1119" i="4"/>
  <c r="C1070" i="4"/>
  <c r="C1072" i="4"/>
  <c r="D1121" i="4"/>
  <c r="D1123" i="4"/>
  <c r="C1074" i="4"/>
  <c r="D1125" i="4"/>
  <c r="C1076" i="4"/>
  <c r="C1078" i="4"/>
  <c r="D1127" i="4"/>
  <c r="C1080" i="4"/>
  <c r="D1129" i="4"/>
  <c r="C1082" i="4"/>
  <c r="D1131" i="4"/>
  <c r="D1133" i="4"/>
  <c r="C1084" i="4"/>
  <c r="C1086" i="4"/>
  <c r="D1135" i="4"/>
  <c r="C1088" i="4"/>
  <c r="D1137" i="4"/>
  <c r="D1139" i="4"/>
  <c r="C1090" i="4"/>
  <c r="D1141" i="4"/>
  <c r="C1092" i="4"/>
  <c r="D1143" i="4"/>
  <c r="C1094" i="4"/>
  <c r="C1096" i="4"/>
  <c r="D1145" i="4"/>
  <c r="C1098" i="4"/>
  <c r="D1147" i="4"/>
  <c r="D1149" i="4"/>
  <c r="C1100" i="4"/>
  <c r="D1151" i="4"/>
  <c r="C1102" i="4"/>
  <c r="C1104" i="4"/>
  <c r="D1153" i="4"/>
  <c r="D1155" i="4"/>
  <c r="C1106" i="4"/>
  <c r="D1157" i="4"/>
  <c r="C1108" i="4"/>
  <c r="D1159" i="4"/>
  <c r="C1110" i="4"/>
  <c r="C1112" i="4"/>
  <c r="D1161" i="4"/>
  <c r="D1163" i="4"/>
  <c r="C1114" i="4"/>
  <c r="D1165" i="4"/>
  <c r="C1116" i="4"/>
  <c r="D1167" i="4"/>
  <c r="C1118" i="4"/>
  <c r="C1120" i="4"/>
  <c r="D1169" i="4"/>
  <c r="D1171" i="4"/>
  <c r="C1122" i="4"/>
  <c r="D1173" i="4"/>
  <c r="C1124" i="4"/>
  <c r="D1175" i="4"/>
  <c r="C1126" i="4"/>
  <c r="C1128" i="4"/>
  <c r="D1177" i="4"/>
  <c r="C1130" i="4"/>
  <c r="D1179" i="4"/>
  <c r="D1181" i="4"/>
  <c r="C1132" i="4"/>
  <c r="D1183" i="4"/>
  <c r="C1134" i="4"/>
  <c r="C1136" i="4"/>
  <c r="D1185" i="4"/>
  <c r="D1187" i="4"/>
  <c r="C1138" i="4"/>
  <c r="D1189" i="4"/>
  <c r="C1140" i="4"/>
  <c r="D1191" i="4"/>
  <c r="C1142" i="4"/>
  <c r="C1144" i="4"/>
  <c r="D1193" i="4"/>
  <c r="C1146" i="4"/>
  <c r="D1195" i="4"/>
  <c r="D1197" i="4"/>
  <c r="C1148" i="4"/>
  <c r="D1199" i="4"/>
  <c r="C1150" i="4"/>
  <c r="C1152" i="4"/>
  <c r="D1201" i="4"/>
  <c r="D1203" i="4"/>
  <c r="C1154" i="4"/>
  <c r="D1205" i="4"/>
  <c r="C1156" i="4"/>
  <c r="C1158" i="4"/>
  <c r="D1207" i="4"/>
  <c r="C1160" i="4"/>
  <c r="D1209" i="4"/>
  <c r="C1162" i="4"/>
  <c r="D1211" i="4"/>
  <c r="D1213" i="4"/>
  <c r="C1164" i="4"/>
  <c r="D1215" i="4"/>
  <c r="C1166" i="4"/>
  <c r="C1168" i="4"/>
  <c r="D1217" i="4"/>
  <c r="D1219" i="4"/>
  <c r="C1170" i="4"/>
  <c r="D1221" i="4"/>
  <c r="C1172" i="4"/>
  <c r="D1223" i="4"/>
  <c r="C1174" i="4"/>
  <c r="C1176" i="4"/>
  <c r="D1225" i="4"/>
  <c r="C1178" i="4"/>
  <c r="D1227" i="4"/>
  <c r="D1229" i="4"/>
  <c r="C1180" i="4"/>
  <c r="C1198" i="4"/>
  <c r="C1199" i="4"/>
  <c r="C3" i="4"/>
  <c r="C8" i="4"/>
  <c r="C19" i="4"/>
  <c r="C24" i="4"/>
  <c r="C35" i="4"/>
  <c r="C40" i="4"/>
  <c r="C51" i="4"/>
  <c r="D53" i="4"/>
  <c r="C59" i="4"/>
  <c r="D64" i="4"/>
  <c r="C67" i="4"/>
  <c r="D69" i="4"/>
  <c r="C75" i="4"/>
  <c r="D80" i="4"/>
  <c r="C83" i="4"/>
  <c r="D85" i="4"/>
  <c r="C91" i="4"/>
  <c r="D96" i="4"/>
  <c r="C99" i="4"/>
  <c r="D101" i="4"/>
  <c r="D104" i="4"/>
  <c r="D109" i="4"/>
  <c r="D112" i="4"/>
  <c r="C115" i="4"/>
  <c r="D117" i="4"/>
  <c r="D120" i="4"/>
  <c r="C123" i="4"/>
  <c r="D125" i="4"/>
  <c r="C129" i="4"/>
  <c r="D136" i="4"/>
  <c r="D139" i="4"/>
  <c r="C143" i="4"/>
  <c r="C147" i="4"/>
  <c r="D153" i="4"/>
  <c r="D157" i="4"/>
  <c r="C161" i="4"/>
  <c r="D168" i="4"/>
  <c r="D171" i="4"/>
  <c r="C175" i="4"/>
  <c r="C179" i="4"/>
  <c r="D182" i="4"/>
  <c r="D185" i="4"/>
  <c r="D189" i="4"/>
  <c r="D193" i="4"/>
  <c r="D204" i="4"/>
  <c r="D209" i="4"/>
  <c r="D225" i="4"/>
  <c r="D236" i="4"/>
  <c r="D241" i="4"/>
  <c r="D257" i="4"/>
  <c r="D273" i="4"/>
  <c r="D289" i="4"/>
  <c r="D305" i="4"/>
  <c r="D321" i="4"/>
  <c r="D337" i="4"/>
  <c r="D369" i="4"/>
  <c r="D423" i="4"/>
  <c r="D437" i="4"/>
  <c r="D451" i="4"/>
  <c r="C466" i="4"/>
  <c r="C480" i="4"/>
  <c r="C494" i="4"/>
  <c r="C558" i="4"/>
  <c r="D661" i="4"/>
  <c r="C830" i="4"/>
  <c r="C10" i="4"/>
  <c r="C26" i="4"/>
  <c r="C42" i="4"/>
  <c r="D54" i="4"/>
  <c r="D62" i="4"/>
  <c r="D70" i="4"/>
  <c r="D78" i="4"/>
  <c r="C81" i="4"/>
  <c r="D86" i="4"/>
  <c r="C89" i="4"/>
  <c r="D94" i="4"/>
  <c r="C97" i="4"/>
  <c r="C105" i="4"/>
  <c r="D107" i="4"/>
  <c r="C113" i="4"/>
  <c r="D115" i="4"/>
  <c r="C121" i="4"/>
  <c r="D123" i="4"/>
  <c r="D129" i="4"/>
  <c r="D133" i="4"/>
  <c r="C137" i="4"/>
  <c r="D144" i="4"/>
  <c r="D147" i="4"/>
  <c r="C151" i="4"/>
  <c r="D161" i="4"/>
  <c r="D165" i="4"/>
  <c r="C169" i="4"/>
  <c r="D176" i="4"/>
  <c r="D179" i="4"/>
  <c r="D190" i="4"/>
  <c r="D195" i="4"/>
  <c r="D206" i="4"/>
  <c r="D211" i="4"/>
  <c r="D222" i="4"/>
  <c r="D227" i="4"/>
  <c r="D243" i="4"/>
  <c r="D259" i="4"/>
  <c r="D275" i="4"/>
  <c r="D291" i="4"/>
  <c r="D307" i="4"/>
  <c r="D323" i="4"/>
  <c r="D329" i="4"/>
  <c r="D361" i="4"/>
  <c r="C384" i="4"/>
  <c r="C398" i="4"/>
  <c r="D455" i="4"/>
  <c r="D469" i="4"/>
  <c r="C498" i="4"/>
  <c r="C512" i="4"/>
  <c r="C526" i="4"/>
  <c r="D565" i="4"/>
  <c r="C594" i="4"/>
  <c r="D629" i="4"/>
  <c r="C760" i="4"/>
  <c r="C181" i="4"/>
  <c r="D232" i="4"/>
  <c r="D234" i="4"/>
  <c r="C189" i="4"/>
  <c r="D240" i="4"/>
  <c r="D242" i="4"/>
  <c r="C195" i="4"/>
  <c r="C197" i="4"/>
  <c r="D248" i="4"/>
  <c r="D250" i="4"/>
  <c r="C203" i="4"/>
  <c r="C205" i="4"/>
  <c r="D256" i="4"/>
  <c r="D258" i="4"/>
  <c r="C211" i="4"/>
  <c r="C213" i="4"/>
  <c r="D264" i="4"/>
  <c r="D266" i="4"/>
  <c r="C219" i="4"/>
  <c r="C221" i="4"/>
  <c r="D272" i="4"/>
  <c r="D274" i="4"/>
  <c r="C227" i="4"/>
  <c r="C229" i="4"/>
  <c r="D280" i="4"/>
  <c r="D282" i="4"/>
  <c r="C235" i="4"/>
  <c r="C237" i="4"/>
  <c r="D288" i="4"/>
  <c r="D290" i="4"/>
  <c r="C243" i="4"/>
  <c r="C245" i="4"/>
  <c r="D296" i="4"/>
  <c r="D298" i="4"/>
  <c r="C251" i="4"/>
  <c r="C253" i="4"/>
  <c r="D304" i="4"/>
  <c r="D306" i="4"/>
  <c r="C259" i="4"/>
  <c r="C261" i="4"/>
  <c r="D312" i="4"/>
  <c r="D314" i="4"/>
  <c r="C267" i="4"/>
  <c r="C269" i="4"/>
  <c r="D320" i="4"/>
  <c r="D322" i="4"/>
  <c r="C275" i="4"/>
  <c r="C277" i="4"/>
  <c r="D328" i="4"/>
  <c r="D330" i="4"/>
  <c r="C283" i="4"/>
  <c r="D334" i="4"/>
  <c r="C285" i="4"/>
  <c r="D336" i="4"/>
  <c r="D338" i="4"/>
  <c r="C291" i="4"/>
  <c r="D342" i="4"/>
  <c r="C293" i="4"/>
  <c r="D344" i="4"/>
  <c r="D346" i="4"/>
  <c r="C299" i="4"/>
  <c r="D350" i="4"/>
  <c r="C301" i="4"/>
  <c r="D352" i="4"/>
  <c r="D354" i="4"/>
  <c r="C307" i="4"/>
  <c r="D358" i="4"/>
  <c r="C309" i="4"/>
  <c r="D360" i="4"/>
  <c r="D362" i="4"/>
  <c r="C315" i="4"/>
  <c r="D366" i="4"/>
  <c r="C317" i="4"/>
  <c r="D368" i="4"/>
  <c r="D370" i="4"/>
  <c r="C323" i="4"/>
  <c r="D374" i="4"/>
  <c r="C325" i="4"/>
  <c r="D376" i="4"/>
  <c r="C329" i="4"/>
  <c r="D378" i="4"/>
  <c r="D380" i="4"/>
  <c r="C331" i="4"/>
  <c r="D382" i="4"/>
  <c r="C333" i="4"/>
  <c r="D384" i="4"/>
  <c r="D386" i="4"/>
  <c r="C337" i="4"/>
  <c r="D388" i="4"/>
  <c r="C339" i="4"/>
  <c r="D390" i="4"/>
  <c r="C341" i="4"/>
  <c r="D392" i="4"/>
  <c r="D394" i="4"/>
  <c r="C345" i="4"/>
  <c r="D396" i="4"/>
  <c r="C347" i="4"/>
  <c r="D398" i="4"/>
  <c r="C349" i="4"/>
  <c r="D400" i="4"/>
  <c r="D402" i="4"/>
  <c r="C353" i="4"/>
  <c r="D404" i="4"/>
  <c r="C355" i="4"/>
  <c r="D406" i="4"/>
  <c r="C357" i="4"/>
  <c r="D408" i="4"/>
  <c r="D410" i="4"/>
  <c r="C361" i="4"/>
  <c r="D412" i="4"/>
  <c r="C363" i="4"/>
  <c r="D414" i="4"/>
  <c r="C365" i="4"/>
  <c r="D416" i="4"/>
  <c r="D418" i="4"/>
  <c r="C369" i="4"/>
  <c r="D420" i="4"/>
  <c r="C371" i="4"/>
  <c r="D422" i="4"/>
  <c r="C373" i="4"/>
  <c r="D424" i="4"/>
  <c r="D426" i="4"/>
  <c r="C377" i="4"/>
  <c r="D428" i="4"/>
  <c r="C379" i="4"/>
  <c r="D430" i="4"/>
  <c r="D432" i="4"/>
  <c r="C383" i="4"/>
  <c r="D434" i="4"/>
  <c r="C385" i="4"/>
  <c r="D436" i="4"/>
  <c r="C387" i="4"/>
  <c r="D438" i="4"/>
  <c r="C389" i="4"/>
  <c r="D440" i="4"/>
  <c r="C391" i="4"/>
  <c r="D442" i="4"/>
  <c r="C393" i="4"/>
  <c r="D444" i="4"/>
  <c r="D446" i="4"/>
  <c r="C397" i="4"/>
  <c r="D448" i="4"/>
  <c r="C399" i="4"/>
  <c r="D450" i="4"/>
  <c r="C401" i="4"/>
  <c r="D452" i="4"/>
  <c r="C403" i="4"/>
  <c r="D454" i="4"/>
  <c r="C405" i="4"/>
  <c r="D456" i="4"/>
  <c r="C407" i="4"/>
  <c r="D458" i="4"/>
  <c r="D460" i="4"/>
  <c r="C411" i="4"/>
  <c r="D462" i="4"/>
  <c r="D464" i="4"/>
  <c r="C415" i="4"/>
  <c r="D466" i="4"/>
  <c r="C417" i="4"/>
  <c r="D468" i="4"/>
  <c r="C419" i="4"/>
  <c r="D470" i="4"/>
  <c r="C421" i="4"/>
  <c r="D472" i="4"/>
  <c r="C423" i="4"/>
  <c r="D474" i="4"/>
  <c r="C425" i="4"/>
  <c r="D476" i="4"/>
  <c r="D478" i="4"/>
  <c r="C429" i="4"/>
  <c r="D480" i="4"/>
  <c r="C431" i="4"/>
  <c r="D482" i="4"/>
  <c r="C433" i="4"/>
  <c r="D484" i="4"/>
  <c r="C435" i="4"/>
  <c r="D486" i="4"/>
  <c r="C437" i="4"/>
  <c r="D488" i="4"/>
  <c r="C439" i="4"/>
  <c r="D490" i="4"/>
  <c r="D492" i="4"/>
  <c r="C443" i="4"/>
  <c r="D494" i="4"/>
  <c r="D496" i="4"/>
  <c r="C447" i="4"/>
  <c r="D498" i="4"/>
  <c r="C449" i="4"/>
  <c r="D500" i="4"/>
  <c r="C451" i="4"/>
  <c r="D502" i="4"/>
  <c r="C453" i="4"/>
  <c r="D504" i="4"/>
  <c r="C455" i="4"/>
  <c r="D506" i="4"/>
  <c r="C457" i="4"/>
  <c r="D508" i="4"/>
  <c r="D510" i="4"/>
  <c r="C461" i="4"/>
  <c r="D512" i="4"/>
  <c r="C463" i="4"/>
  <c r="D514" i="4"/>
  <c r="C465" i="4"/>
  <c r="D516" i="4"/>
  <c r="C467" i="4"/>
  <c r="D518" i="4"/>
  <c r="C469" i="4"/>
  <c r="D520" i="4"/>
  <c r="C471" i="4"/>
  <c r="D522" i="4"/>
  <c r="D524" i="4"/>
  <c r="C475" i="4"/>
  <c r="D526" i="4"/>
  <c r="D528" i="4"/>
  <c r="C479" i="4"/>
  <c r="D530" i="4"/>
  <c r="C481" i="4"/>
  <c r="D532" i="4"/>
  <c r="C483" i="4"/>
  <c r="D534" i="4"/>
  <c r="C485" i="4"/>
  <c r="D536" i="4"/>
  <c r="C487" i="4"/>
  <c r="D538" i="4"/>
  <c r="C489" i="4"/>
  <c r="D540" i="4"/>
  <c r="D542" i="4"/>
  <c r="C493" i="4"/>
  <c r="D544" i="4"/>
  <c r="C495" i="4"/>
  <c r="D546" i="4"/>
  <c r="C497" i="4"/>
  <c r="D548" i="4"/>
  <c r="C499" i="4"/>
  <c r="D550" i="4"/>
  <c r="C501" i="4"/>
  <c r="D552" i="4"/>
  <c r="C503" i="4"/>
  <c r="D554" i="4"/>
  <c r="D556" i="4"/>
  <c r="C507" i="4"/>
  <c r="D558" i="4"/>
  <c r="D560" i="4"/>
  <c r="C511" i="4"/>
  <c r="D562" i="4"/>
  <c r="C513" i="4"/>
  <c r="D564" i="4"/>
  <c r="C515" i="4"/>
  <c r="D566" i="4"/>
  <c r="C517" i="4"/>
  <c r="D568" i="4"/>
  <c r="C519" i="4"/>
  <c r="D570" i="4"/>
  <c r="C521" i="4"/>
  <c r="D572" i="4"/>
  <c r="D574" i="4"/>
  <c r="C525" i="4"/>
  <c r="D576" i="4"/>
  <c r="C527" i="4"/>
  <c r="D578" i="4"/>
  <c r="C529" i="4"/>
  <c r="D580" i="4"/>
  <c r="C531" i="4"/>
  <c r="D582" i="4"/>
  <c r="C533" i="4"/>
  <c r="D584" i="4"/>
  <c r="C535" i="4"/>
  <c r="D586" i="4"/>
  <c r="D588" i="4"/>
  <c r="C539" i="4"/>
  <c r="D590" i="4"/>
  <c r="D592" i="4"/>
  <c r="C543" i="4"/>
  <c r="D594" i="4"/>
  <c r="C545" i="4"/>
  <c r="D596" i="4"/>
  <c r="C547" i="4"/>
  <c r="D598" i="4"/>
  <c r="C549" i="4"/>
  <c r="D600" i="4"/>
  <c r="C551" i="4"/>
  <c r="D602" i="4"/>
  <c r="C553" i="4"/>
  <c r="D604" i="4"/>
  <c r="C555" i="4"/>
  <c r="D606" i="4"/>
  <c r="C557" i="4"/>
  <c r="D608" i="4"/>
  <c r="C559" i="4"/>
  <c r="D610" i="4"/>
  <c r="C561" i="4"/>
  <c r="D612" i="4"/>
  <c r="C563" i="4"/>
  <c r="D614" i="4"/>
  <c r="C565" i="4"/>
  <c r="D616" i="4"/>
  <c r="C567" i="4"/>
  <c r="D618" i="4"/>
  <c r="C569" i="4"/>
  <c r="D620" i="4"/>
  <c r="C571" i="4"/>
  <c r="D622" i="4"/>
  <c r="D624" i="4"/>
  <c r="C575" i="4"/>
  <c r="D626" i="4"/>
  <c r="C577" i="4"/>
  <c r="D628" i="4"/>
  <c r="C579" i="4"/>
  <c r="D630" i="4"/>
  <c r="C581" i="4"/>
  <c r="D632" i="4"/>
  <c r="C583" i="4"/>
  <c r="D634" i="4"/>
  <c r="C585" i="4"/>
  <c r="D636" i="4"/>
  <c r="D638" i="4"/>
  <c r="C589" i="4"/>
  <c r="D640" i="4"/>
  <c r="C591" i="4"/>
  <c r="D642" i="4"/>
  <c r="C593" i="4"/>
  <c r="D644" i="4"/>
  <c r="C595" i="4"/>
  <c r="D646" i="4"/>
  <c r="C597" i="4"/>
  <c r="D648" i="4"/>
  <c r="C599" i="4"/>
  <c r="D650" i="4"/>
  <c r="D652" i="4"/>
  <c r="C603" i="4"/>
  <c r="D654" i="4"/>
  <c r="C605" i="4"/>
  <c r="D656" i="4"/>
  <c r="C607" i="4"/>
  <c r="D658" i="4"/>
  <c r="C609" i="4"/>
  <c r="D660" i="4"/>
  <c r="C611" i="4"/>
  <c r="D662" i="4"/>
  <c r="C613" i="4"/>
  <c r="D664" i="4"/>
  <c r="C615" i="4"/>
  <c r="D666" i="4"/>
  <c r="C617" i="4"/>
  <c r="D668" i="4"/>
  <c r="D670" i="4"/>
  <c r="C621" i="4"/>
  <c r="D672" i="4"/>
  <c r="C623" i="4"/>
  <c r="D674" i="4"/>
  <c r="C625" i="4"/>
  <c r="D676" i="4"/>
  <c r="C627" i="4"/>
  <c r="D678" i="4"/>
  <c r="C629" i="4"/>
  <c r="D680" i="4"/>
  <c r="C631" i="4"/>
  <c r="D682" i="4"/>
  <c r="C633" i="4"/>
  <c r="D684" i="4"/>
  <c r="C635" i="4"/>
  <c r="D686" i="4"/>
  <c r="C637" i="4"/>
  <c r="D688" i="4"/>
  <c r="C639" i="4"/>
  <c r="D690" i="4"/>
  <c r="C641" i="4"/>
  <c r="D692" i="4"/>
  <c r="C643" i="4"/>
  <c r="D694" i="4"/>
  <c r="C645" i="4"/>
  <c r="D696" i="4"/>
  <c r="C647" i="4"/>
  <c r="D698" i="4"/>
  <c r="C649" i="4"/>
  <c r="D700" i="4"/>
  <c r="D702" i="4"/>
  <c r="C653" i="4"/>
  <c r="D704" i="4"/>
  <c r="C655" i="4"/>
  <c r="D706" i="4"/>
  <c r="C657" i="4"/>
  <c r="D708" i="4"/>
  <c r="C659" i="4"/>
  <c r="D710" i="4"/>
  <c r="C661" i="4"/>
  <c r="D712" i="4"/>
  <c r="C663" i="4"/>
  <c r="D714" i="4"/>
  <c r="C665" i="4"/>
  <c r="D716" i="4"/>
  <c r="C667" i="4"/>
  <c r="D718" i="4"/>
  <c r="C669" i="4"/>
  <c r="D720" i="4"/>
  <c r="C671" i="4"/>
  <c r="D722" i="4"/>
  <c r="C673" i="4"/>
  <c r="D724" i="4"/>
  <c r="D726" i="4"/>
  <c r="C677" i="4"/>
  <c r="D728" i="4"/>
  <c r="C679" i="4"/>
  <c r="D730" i="4"/>
  <c r="C681" i="4"/>
  <c r="D732" i="4"/>
  <c r="C683" i="4"/>
  <c r="D734" i="4"/>
  <c r="C685" i="4"/>
  <c r="D736" i="4"/>
  <c r="C687" i="4"/>
  <c r="D738" i="4"/>
  <c r="C689" i="4"/>
  <c r="D740" i="4"/>
  <c r="C691" i="4"/>
  <c r="D742" i="4"/>
  <c r="C693" i="4"/>
  <c r="D744" i="4"/>
  <c r="C695" i="4"/>
  <c r="D746" i="4"/>
  <c r="C697" i="4"/>
  <c r="D748" i="4"/>
  <c r="C699" i="4"/>
  <c r="D750" i="4"/>
  <c r="C701" i="4"/>
  <c r="D752" i="4"/>
  <c r="C703" i="4"/>
  <c r="D754" i="4"/>
  <c r="C705" i="4"/>
  <c r="D756" i="4"/>
  <c r="C707" i="4"/>
  <c r="D758" i="4"/>
  <c r="C709" i="4"/>
  <c r="D760" i="4"/>
  <c r="C711" i="4"/>
  <c r="D762" i="4"/>
  <c r="C713" i="4"/>
  <c r="D764" i="4"/>
  <c r="C715" i="4"/>
  <c r="D766" i="4"/>
  <c r="C717" i="4"/>
  <c r="D768" i="4"/>
  <c r="C719" i="4"/>
  <c r="D770" i="4"/>
  <c r="C721" i="4"/>
  <c r="D772" i="4"/>
  <c r="C723" i="4"/>
  <c r="D774" i="4"/>
  <c r="C725" i="4"/>
  <c r="D776" i="4"/>
  <c r="C727" i="4"/>
  <c r="D778" i="4"/>
  <c r="C729" i="4"/>
  <c r="D780" i="4"/>
  <c r="C731" i="4"/>
  <c r="D782" i="4"/>
  <c r="C733" i="4"/>
  <c r="D784" i="4"/>
  <c r="C735" i="4"/>
  <c r="D786" i="4"/>
  <c r="C737" i="4"/>
  <c r="D788" i="4"/>
  <c r="D790" i="4"/>
  <c r="C741" i="4"/>
  <c r="D792" i="4"/>
  <c r="C743" i="4"/>
  <c r="D794" i="4"/>
  <c r="C745" i="4"/>
  <c r="D796" i="4"/>
  <c r="C747" i="4"/>
  <c r="D798" i="4"/>
  <c r="C749" i="4"/>
  <c r="D800" i="4"/>
  <c r="C751" i="4"/>
  <c r="D802" i="4"/>
  <c r="C753" i="4"/>
  <c r="D804" i="4"/>
  <c r="C755" i="4"/>
  <c r="D806" i="4"/>
  <c r="C757" i="4"/>
  <c r="C759" i="4"/>
  <c r="D808" i="4"/>
  <c r="D810" i="4"/>
  <c r="C761" i="4"/>
  <c r="D812" i="4"/>
  <c r="C763" i="4"/>
  <c r="D814" i="4"/>
  <c r="C765" i="4"/>
  <c r="C767" i="4"/>
  <c r="D816" i="4"/>
  <c r="C769" i="4"/>
  <c r="D818" i="4"/>
  <c r="D820" i="4"/>
  <c r="C771" i="4"/>
  <c r="D822" i="4"/>
  <c r="C773" i="4"/>
  <c r="D824" i="4"/>
  <c r="C775" i="4"/>
  <c r="C777" i="4"/>
  <c r="D826" i="4"/>
  <c r="D828" i="4"/>
  <c r="C779" i="4"/>
  <c r="D830" i="4"/>
  <c r="C781" i="4"/>
  <c r="C783" i="4"/>
  <c r="D832" i="4"/>
  <c r="D834" i="4"/>
  <c r="C785" i="4"/>
  <c r="D836" i="4"/>
  <c r="C787" i="4"/>
  <c r="D838" i="4"/>
  <c r="C789" i="4"/>
  <c r="C791" i="4"/>
  <c r="D840" i="4"/>
  <c r="D842" i="4"/>
  <c r="C793" i="4"/>
  <c r="C795" i="4"/>
  <c r="D844" i="4"/>
  <c r="D846" i="4"/>
  <c r="C797" i="4"/>
  <c r="C799" i="4"/>
  <c r="D848" i="4"/>
  <c r="C801" i="4"/>
  <c r="D850" i="4"/>
  <c r="D852" i="4"/>
  <c r="D854" i="4"/>
  <c r="C805" i="4"/>
  <c r="D856" i="4"/>
  <c r="C807" i="4"/>
  <c r="C809" i="4"/>
  <c r="D860" i="4"/>
  <c r="C811" i="4"/>
  <c r="D862" i="4"/>
  <c r="C813" i="4"/>
  <c r="D864" i="4"/>
  <c r="C815" i="4"/>
  <c r="C817" i="4"/>
  <c r="D866" i="4"/>
  <c r="C819" i="4"/>
  <c r="D868" i="4"/>
  <c r="D870" i="4"/>
  <c r="C821" i="4"/>
  <c r="C823" i="4"/>
  <c r="D872" i="4"/>
  <c r="C825" i="4"/>
  <c r="D874" i="4"/>
  <c r="C827" i="4"/>
  <c r="D876" i="4"/>
  <c r="D878" i="4"/>
  <c r="C829" i="4"/>
  <c r="D880" i="4"/>
  <c r="C831" i="4"/>
  <c r="C833" i="4"/>
  <c r="D882" i="4"/>
  <c r="C835" i="4"/>
  <c r="D884" i="4"/>
  <c r="D886" i="4"/>
  <c r="C837" i="4"/>
  <c r="D888" i="4"/>
  <c r="C839" i="4"/>
  <c r="C841" i="4"/>
  <c r="D890" i="4"/>
  <c r="D892" i="4"/>
  <c r="C843" i="4"/>
  <c r="D894" i="4"/>
  <c r="C845" i="4"/>
  <c r="D896" i="4"/>
  <c r="C847" i="4"/>
  <c r="C849" i="4"/>
  <c r="D898" i="4"/>
  <c r="D900" i="4"/>
  <c r="C851" i="4"/>
  <c r="D902" i="4"/>
  <c r="C853" i="4"/>
  <c r="D904" i="4"/>
  <c r="C855" i="4"/>
  <c r="C857" i="4"/>
  <c r="D906" i="4"/>
  <c r="C859" i="4"/>
  <c r="D908" i="4"/>
  <c r="D910" i="4"/>
  <c r="C861" i="4"/>
  <c r="D912" i="4"/>
  <c r="C863" i="4"/>
  <c r="C865" i="4"/>
  <c r="D914" i="4"/>
  <c r="C867" i="4"/>
  <c r="D916" i="4"/>
  <c r="D918" i="4"/>
  <c r="C869" i="4"/>
  <c r="D920" i="4"/>
  <c r="C871" i="4"/>
  <c r="C873" i="4"/>
  <c r="D922" i="4"/>
  <c r="D924" i="4"/>
  <c r="C875" i="4"/>
  <c r="D926" i="4"/>
  <c r="C877" i="4"/>
  <c r="D928" i="4"/>
  <c r="C879" i="4"/>
  <c r="C881" i="4"/>
  <c r="D930" i="4"/>
  <c r="C883" i="4"/>
  <c r="D932" i="4"/>
  <c r="D934" i="4"/>
  <c r="C885" i="4"/>
  <c r="D936" i="4"/>
  <c r="C889" i="4"/>
  <c r="D938" i="4"/>
  <c r="C891" i="4"/>
  <c r="D940" i="4"/>
  <c r="D942" i="4"/>
  <c r="C893" i="4"/>
  <c r="D944" i="4"/>
  <c r="C895" i="4"/>
  <c r="C897" i="4"/>
  <c r="D946" i="4"/>
  <c r="C899" i="4"/>
  <c r="D948" i="4"/>
  <c r="D950" i="4"/>
  <c r="C901" i="4"/>
  <c r="D952" i="4"/>
  <c r="C903" i="4"/>
  <c r="C905" i="4"/>
  <c r="D954" i="4"/>
  <c r="D956" i="4"/>
  <c r="C907" i="4"/>
  <c r="D958" i="4"/>
  <c r="C909" i="4"/>
  <c r="C911" i="4"/>
  <c r="D960" i="4"/>
  <c r="C913" i="4"/>
  <c r="D962" i="4"/>
  <c r="C915" i="4"/>
  <c r="D964" i="4"/>
  <c r="D966" i="4"/>
  <c r="C917" i="4"/>
  <c r="D968" i="4"/>
  <c r="C919" i="4"/>
  <c r="C921" i="4"/>
  <c r="D970" i="4"/>
  <c r="C923" i="4"/>
  <c r="D972" i="4"/>
  <c r="D974" i="4"/>
  <c r="C925" i="4"/>
  <c r="D976" i="4"/>
  <c r="C927" i="4"/>
  <c r="C929" i="4"/>
  <c r="D978" i="4"/>
  <c r="C931" i="4"/>
  <c r="D980" i="4"/>
  <c r="D982" i="4"/>
  <c r="C933" i="4"/>
  <c r="D984" i="4"/>
  <c r="C935" i="4"/>
  <c r="C937" i="4"/>
  <c r="D986" i="4"/>
  <c r="D988" i="4"/>
  <c r="C939" i="4"/>
  <c r="D990" i="4"/>
  <c r="C941" i="4"/>
  <c r="C943" i="4"/>
  <c r="D992" i="4"/>
  <c r="C945" i="4"/>
  <c r="D994" i="4"/>
  <c r="C947" i="4"/>
  <c r="D996" i="4"/>
  <c r="D998" i="4"/>
  <c r="C949" i="4"/>
  <c r="D1000" i="4"/>
  <c r="C951" i="4"/>
  <c r="C953" i="4"/>
  <c r="D1002" i="4"/>
  <c r="C955" i="4"/>
  <c r="D1004" i="4"/>
  <c r="D1006" i="4"/>
  <c r="C957" i="4"/>
  <c r="D1008" i="4"/>
  <c r="C959" i="4"/>
  <c r="C961" i="4"/>
  <c r="D1010" i="4"/>
  <c r="C963" i="4"/>
  <c r="D1012" i="4"/>
  <c r="D1014" i="4"/>
  <c r="C965" i="4"/>
  <c r="D1016" i="4"/>
  <c r="C967" i="4"/>
  <c r="C969" i="4"/>
  <c r="D1018" i="4"/>
  <c r="D1020" i="4"/>
  <c r="C971" i="4"/>
  <c r="D1022" i="4"/>
  <c r="C973" i="4"/>
  <c r="D1024" i="4"/>
  <c r="C977" i="4"/>
  <c r="D1026" i="4"/>
  <c r="D1028" i="4"/>
  <c r="C979" i="4"/>
  <c r="D1030" i="4"/>
  <c r="C981" i="4"/>
  <c r="D1032" i="4"/>
  <c r="C983" i="4"/>
  <c r="D1034" i="4"/>
  <c r="C985" i="4"/>
  <c r="C987" i="4"/>
  <c r="D1038" i="4"/>
  <c r="C989" i="4"/>
  <c r="C991" i="4"/>
  <c r="D1040" i="4"/>
  <c r="C993" i="4"/>
  <c r="D1042" i="4"/>
  <c r="D1044" i="4"/>
  <c r="C995" i="4"/>
  <c r="D1046" i="4"/>
  <c r="C997" i="4"/>
  <c r="D1048" i="4"/>
  <c r="C999" i="4"/>
  <c r="C1001" i="4"/>
  <c r="D1050" i="4"/>
  <c r="D1052" i="4"/>
  <c r="C1003" i="4"/>
  <c r="D1054" i="4"/>
  <c r="C1005" i="4"/>
  <c r="D1056" i="4"/>
  <c r="C1007" i="4"/>
  <c r="C1009" i="4"/>
  <c r="D1058" i="4"/>
  <c r="C1011" i="4"/>
  <c r="D1060" i="4"/>
  <c r="D1062" i="4"/>
  <c r="C1013" i="4"/>
  <c r="D1064" i="4"/>
  <c r="C1015" i="4"/>
  <c r="D1066" i="4"/>
  <c r="C1017" i="4"/>
  <c r="D1068" i="4"/>
  <c r="C1019" i="4"/>
  <c r="D1070" i="4"/>
  <c r="C1021" i="4"/>
  <c r="D1072" i="4"/>
  <c r="C1023" i="4"/>
  <c r="D1074" i="4"/>
  <c r="C1025" i="4"/>
  <c r="D1076" i="4"/>
  <c r="C1027" i="4"/>
  <c r="D1078" i="4"/>
  <c r="C1029" i="4"/>
  <c r="D1080" i="4"/>
  <c r="C1031" i="4"/>
  <c r="D1082" i="4"/>
  <c r="C1033" i="4"/>
  <c r="D1084" i="4"/>
  <c r="C1035" i="4"/>
  <c r="D1086" i="4"/>
  <c r="C1037" i="4"/>
  <c r="D1088" i="4"/>
  <c r="C1039" i="4"/>
  <c r="D1090" i="4"/>
  <c r="C1041" i="4"/>
  <c r="D1092" i="4"/>
  <c r="C1043" i="4"/>
  <c r="D1094" i="4"/>
  <c r="C1045" i="4"/>
  <c r="D1096" i="4"/>
  <c r="C1047" i="4"/>
  <c r="D1098" i="4"/>
  <c r="C1049" i="4"/>
  <c r="D1100" i="4"/>
  <c r="C1051" i="4"/>
  <c r="D1102" i="4"/>
  <c r="C1053" i="4"/>
  <c r="D1104" i="4"/>
  <c r="C1055" i="4"/>
  <c r="D1106" i="4"/>
  <c r="C1057" i="4"/>
  <c r="D1108" i="4"/>
  <c r="C1059" i="4"/>
  <c r="D1110" i="4"/>
  <c r="C1061" i="4"/>
  <c r="D1112" i="4"/>
  <c r="C1063" i="4"/>
  <c r="D1114" i="4"/>
  <c r="C1065" i="4"/>
  <c r="D1116" i="4"/>
  <c r="C1067" i="4"/>
  <c r="D1118" i="4"/>
  <c r="C1069" i="4"/>
  <c r="D1120" i="4"/>
  <c r="C1071" i="4"/>
  <c r="D1122" i="4"/>
  <c r="C1073" i="4"/>
  <c r="D1124" i="4"/>
  <c r="C1075" i="4"/>
  <c r="D1126" i="4"/>
  <c r="C1077" i="4"/>
  <c r="D1128" i="4"/>
  <c r="C1079" i="4"/>
  <c r="D1130" i="4"/>
  <c r="C1081" i="4"/>
  <c r="D1132" i="4"/>
  <c r="C1083" i="4"/>
  <c r="D1134" i="4"/>
  <c r="C1085" i="4"/>
  <c r="D1136" i="4"/>
  <c r="C1087" i="4"/>
  <c r="D1138" i="4"/>
  <c r="C1089" i="4"/>
  <c r="D1140" i="4"/>
  <c r="C1091" i="4"/>
  <c r="D1142" i="4"/>
  <c r="C1093" i="4"/>
  <c r="D1144" i="4"/>
  <c r="C1095" i="4"/>
  <c r="D1146" i="4"/>
  <c r="C1097" i="4"/>
  <c r="D1148" i="4"/>
  <c r="C1099" i="4"/>
  <c r="D1150" i="4"/>
  <c r="C1101" i="4"/>
  <c r="D1152" i="4"/>
  <c r="C1103" i="4"/>
  <c r="D1154" i="4"/>
  <c r="C1105" i="4"/>
  <c r="D1156" i="4"/>
  <c r="C1107" i="4"/>
  <c r="D1158" i="4"/>
  <c r="C1109" i="4"/>
  <c r="D1160" i="4"/>
  <c r="C1111" i="4"/>
  <c r="D1162" i="4"/>
  <c r="C1113" i="4"/>
  <c r="D1164" i="4"/>
  <c r="C1115" i="4"/>
  <c r="D1166" i="4"/>
  <c r="C1117" i="4"/>
  <c r="D1168" i="4"/>
  <c r="C1119" i="4"/>
  <c r="D1170" i="4"/>
  <c r="C1121" i="4"/>
  <c r="D1172" i="4"/>
  <c r="C1123" i="4"/>
  <c r="D1174" i="4"/>
  <c r="C1125" i="4"/>
  <c r="D1176" i="4"/>
  <c r="C1127" i="4"/>
  <c r="D1178" i="4"/>
  <c r="D1180" i="4"/>
  <c r="C1131" i="4"/>
  <c r="D1182" i="4"/>
  <c r="C1133" i="4"/>
  <c r="D1184" i="4"/>
  <c r="C1135" i="4"/>
  <c r="D1186" i="4"/>
  <c r="C1137" i="4"/>
  <c r="D1188" i="4"/>
  <c r="C1139" i="4"/>
  <c r="D1190" i="4"/>
  <c r="C1141" i="4"/>
  <c r="D1192" i="4"/>
  <c r="C1143" i="4"/>
  <c r="D1194" i="4"/>
  <c r="C1145" i="4"/>
  <c r="D1196" i="4"/>
  <c r="C1147" i="4"/>
  <c r="D1198" i="4"/>
  <c r="C1149" i="4"/>
  <c r="D1200" i="4"/>
  <c r="C1151" i="4"/>
  <c r="D1202" i="4"/>
  <c r="C1153" i="4"/>
  <c r="D1204" i="4"/>
  <c r="C1155" i="4"/>
  <c r="D1206" i="4"/>
  <c r="C1157" i="4"/>
  <c r="D1208" i="4"/>
  <c r="C1159" i="4"/>
  <c r="D1210" i="4"/>
  <c r="C1161" i="4"/>
  <c r="D1212" i="4"/>
  <c r="C1163" i="4"/>
  <c r="D1214" i="4"/>
  <c r="C1165" i="4"/>
  <c r="D1216" i="4"/>
  <c r="C1167" i="4"/>
  <c r="D1218" i="4"/>
  <c r="C1169" i="4"/>
  <c r="D1220" i="4"/>
  <c r="C1171" i="4"/>
  <c r="D1222" i="4"/>
  <c r="C1173" i="4"/>
  <c r="D1224" i="4"/>
  <c r="C1175" i="4"/>
  <c r="D1226" i="4"/>
  <c r="C1177" i="4"/>
  <c r="D1228" i="4"/>
  <c r="C1179" i="4"/>
  <c r="D1230" i="4"/>
  <c r="C1181" i="4"/>
  <c r="C1183" i="4"/>
  <c r="C1185" i="4"/>
  <c r="C1187" i="4"/>
  <c r="C1189" i="4"/>
  <c r="C1191" i="4"/>
  <c r="C1193" i="4"/>
  <c r="C1195" i="4"/>
  <c r="C1197" i="4"/>
  <c r="C1207" i="4"/>
  <c r="C1213" i="4"/>
  <c r="C1217" i="4"/>
  <c r="C1221" i="4"/>
  <c r="C11" i="4"/>
  <c r="C16" i="4"/>
  <c r="C27" i="4"/>
  <c r="C32" i="4"/>
  <c r="C43" i="4"/>
  <c r="C48" i="4"/>
  <c r="C103" i="4"/>
  <c r="D105" i="4"/>
  <c r="D113" i="4"/>
  <c r="D121" i="4"/>
  <c r="C131" i="4"/>
  <c r="D137" i="4"/>
  <c r="D141" i="4"/>
  <c r="C145" i="4"/>
  <c r="D155" i="4"/>
  <c r="C159" i="4"/>
  <c r="C163" i="4"/>
  <c r="D169" i="4"/>
  <c r="D173" i="4"/>
  <c r="C177" i="4"/>
  <c r="D187" i="4"/>
  <c r="C191" i="4"/>
  <c r="D201" i="4"/>
  <c r="C207" i="4"/>
  <c r="D217" i="4"/>
  <c r="C223" i="4"/>
  <c r="D233" i="4"/>
  <c r="C239" i="4"/>
  <c r="D244" i="4"/>
  <c r="D249" i="4"/>
  <c r="C255" i="4"/>
  <c r="D260" i="4"/>
  <c r="D265" i="4"/>
  <c r="C271" i="4"/>
  <c r="D276" i="4"/>
  <c r="D281" i="4"/>
  <c r="C287" i="4"/>
  <c r="D292" i="4"/>
  <c r="D297" i="4"/>
  <c r="C303" i="4"/>
  <c r="D308" i="4"/>
  <c r="D313" i="4"/>
  <c r="C319" i="4"/>
  <c r="D324" i="4"/>
  <c r="D332" i="4"/>
  <c r="C343" i="4"/>
  <c r="D353" i="4"/>
  <c r="D364" i="4"/>
  <c r="C375" i="4"/>
  <c r="D387" i="4"/>
  <c r="C416" i="4"/>
  <c r="C430" i="4"/>
  <c r="C445" i="4"/>
  <c r="C459" i="4"/>
  <c r="C473" i="4"/>
  <c r="D487" i="4"/>
  <c r="D501" i="4"/>
  <c r="C546" i="4"/>
  <c r="C573" i="4"/>
  <c r="C601" i="4"/>
  <c r="C640" i="4"/>
  <c r="C696" i="4"/>
  <c r="D781" i="4"/>
  <c r="C887" i="4"/>
  <c r="C1129" i="4"/>
  <c r="C1201" i="4"/>
  <c r="C1203" i="4"/>
  <c r="C1205" i="4"/>
  <c r="C1209" i="4"/>
  <c r="C1211" i="4"/>
  <c r="C1215" i="4"/>
  <c r="C1219" i="4"/>
  <c r="C1223" i="4"/>
  <c r="C1225" i="4"/>
  <c r="C1227" i="4"/>
  <c r="C1229" i="4"/>
  <c r="C6" i="3"/>
  <c r="D55" i="3"/>
  <c r="D61" i="3"/>
  <c r="C12" i="3"/>
  <c r="C18" i="3"/>
  <c r="D67" i="3"/>
  <c r="D73" i="3"/>
  <c r="C24" i="3"/>
  <c r="C30" i="3"/>
  <c r="D79" i="3"/>
  <c r="C34" i="3"/>
  <c r="D83" i="3"/>
  <c r="D89" i="3"/>
  <c r="C40" i="3"/>
  <c r="D93" i="3"/>
  <c r="C44" i="3"/>
  <c r="C50" i="3"/>
  <c r="D99" i="3"/>
  <c r="C56" i="3"/>
  <c r="D105" i="3"/>
  <c r="C60" i="3"/>
  <c r="D109" i="3"/>
  <c r="C64" i="3"/>
  <c r="D113" i="3"/>
  <c r="C70" i="3"/>
  <c r="D119" i="3"/>
  <c r="C76" i="3"/>
  <c r="D125" i="3"/>
  <c r="C82" i="3"/>
  <c r="D131" i="3"/>
  <c r="C86" i="3"/>
  <c r="D135" i="3"/>
  <c r="C92" i="3"/>
  <c r="D141" i="3"/>
  <c r="C96" i="3"/>
  <c r="D145" i="3"/>
  <c r="C102" i="3"/>
  <c r="D151" i="3"/>
  <c r="C106" i="3"/>
  <c r="D155" i="3"/>
  <c r="C110" i="3"/>
  <c r="D159" i="3"/>
  <c r="C114" i="3"/>
  <c r="D163" i="3"/>
  <c r="C118" i="3"/>
  <c r="D167" i="3"/>
  <c r="C124" i="3"/>
  <c r="D173" i="3"/>
  <c r="C130" i="3"/>
  <c r="D179" i="3"/>
  <c r="C136" i="3"/>
  <c r="D185" i="3"/>
  <c r="C140" i="3"/>
  <c r="D189" i="3"/>
  <c r="C146" i="3"/>
  <c r="D195" i="3"/>
  <c r="C152" i="3"/>
  <c r="D201" i="3"/>
  <c r="C156" i="3"/>
  <c r="D205" i="3"/>
  <c r="C162" i="3"/>
  <c r="D211" i="3"/>
  <c r="C166" i="3"/>
  <c r="D215" i="3"/>
  <c r="C172" i="3"/>
  <c r="D221" i="3"/>
  <c r="C178" i="3"/>
  <c r="D227" i="3"/>
  <c r="C182" i="3"/>
  <c r="D231" i="3"/>
  <c r="C188" i="3"/>
  <c r="D237" i="3"/>
  <c r="C192" i="3"/>
  <c r="D241" i="3"/>
  <c r="C198" i="3"/>
  <c r="D247" i="3"/>
  <c r="C204" i="3"/>
  <c r="D253" i="3"/>
  <c r="C208" i="3"/>
  <c r="D257" i="3"/>
  <c r="C212" i="3"/>
  <c r="D261" i="3"/>
  <c r="D265" i="3"/>
  <c r="C216" i="3"/>
  <c r="D269" i="3"/>
  <c r="C220" i="3"/>
  <c r="D273" i="3"/>
  <c r="C224" i="3"/>
  <c r="D277" i="3"/>
  <c r="C228" i="3"/>
  <c r="D281" i="3"/>
  <c r="C232" i="3"/>
  <c r="D285" i="3"/>
  <c r="C236" i="3"/>
  <c r="D289" i="3"/>
  <c r="C240" i="3"/>
  <c r="D293" i="3"/>
  <c r="C244" i="3"/>
  <c r="D297" i="3"/>
  <c r="C248" i="3"/>
  <c r="C264" i="3"/>
  <c r="D313" i="3"/>
  <c r="C268" i="3"/>
  <c r="D317" i="3"/>
  <c r="C272" i="3"/>
  <c r="D321" i="3"/>
  <c r="C288" i="3"/>
  <c r="D337" i="3"/>
  <c r="C292" i="3"/>
  <c r="D341" i="3"/>
  <c r="C298" i="3"/>
  <c r="D347" i="3"/>
  <c r="C302" i="3"/>
  <c r="D351" i="3"/>
  <c r="C308" i="3"/>
  <c r="D357" i="3"/>
  <c r="C312" i="3"/>
  <c r="D361" i="3"/>
  <c r="C316" i="3"/>
  <c r="D365" i="3"/>
  <c r="C322" i="3"/>
  <c r="D371" i="3"/>
  <c r="C326" i="3"/>
  <c r="D375" i="3"/>
  <c r="C330" i="3"/>
  <c r="D379" i="3"/>
  <c r="C334" i="3"/>
  <c r="D383" i="3"/>
  <c r="D387" i="3"/>
  <c r="C338" i="3"/>
  <c r="C344" i="3"/>
  <c r="D393" i="3"/>
  <c r="C348" i="3"/>
  <c r="D397" i="3"/>
  <c r="D403" i="3"/>
  <c r="C354" i="3"/>
  <c r="C358" i="3"/>
  <c r="D407" i="3"/>
  <c r="C364" i="3"/>
  <c r="D413" i="3"/>
  <c r="C366" i="3"/>
  <c r="D415" i="3"/>
  <c r="C372" i="3"/>
  <c r="D421" i="3"/>
  <c r="C374" i="3"/>
  <c r="D423" i="3"/>
  <c r="C380" i="3"/>
  <c r="D429" i="3"/>
  <c r="D435" i="3"/>
  <c r="C386" i="3"/>
  <c r="C390" i="3"/>
  <c r="D439" i="3"/>
  <c r="C392" i="3"/>
  <c r="D441" i="3"/>
  <c r="D443" i="3"/>
  <c r="C394" i="3"/>
  <c r="C398" i="3"/>
  <c r="D447" i="3"/>
  <c r="D451" i="3"/>
  <c r="C402" i="3"/>
  <c r="C406" i="3"/>
  <c r="D455" i="3"/>
  <c r="D457" i="3"/>
  <c r="C408" i="3"/>
  <c r="C414" i="3"/>
  <c r="D463" i="3"/>
  <c r="D467" i="3"/>
  <c r="C418" i="3"/>
  <c r="C422" i="3"/>
  <c r="D471" i="3"/>
  <c r="D473" i="3"/>
  <c r="C424" i="3"/>
  <c r="D475" i="3"/>
  <c r="C426" i="3"/>
  <c r="C430" i="3"/>
  <c r="D479" i="3"/>
  <c r="D483" i="3"/>
  <c r="C434" i="3"/>
  <c r="D489" i="3"/>
  <c r="C440" i="3"/>
  <c r="D493" i="3"/>
  <c r="C444" i="3"/>
  <c r="C446" i="3"/>
  <c r="D495" i="3"/>
  <c r="D497" i="3"/>
  <c r="C448" i="3"/>
  <c r="D503" i="3"/>
  <c r="C454" i="3"/>
  <c r="D507" i="3"/>
  <c r="C458" i="3"/>
  <c r="D511" i="3"/>
  <c r="C462" i="3"/>
  <c r="D513" i="3"/>
  <c r="C464" i="3"/>
  <c r="D519" i="3"/>
  <c r="C470" i="3"/>
  <c r="D523" i="3"/>
  <c r="C474" i="3"/>
  <c r="D527" i="3"/>
  <c r="C478" i="3"/>
  <c r="D529" i="3"/>
  <c r="C480" i="3"/>
  <c r="D533" i="3"/>
  <c r="C484" i="3"/>
  <c r="D539" i="3"/>
  <c r="C490" i="3"/>
  <c r="D543" i="3"/>
  <c r="C494" i="3"/>
  <c r="D545" i="3"/>
  <c r="C496" i="3"/>
  <c r="D549" i="3"/>
  <c r="C500" i="3"/>
  <c r="D553" i="3"/>
  <c r="C504" i="3"/>
  <c r="D557" i="3"/>
  <c r="C508" i="3"/>
  <c r="D559" i="3"/>
  <c r="C510" i="3"/>
  <c r="D561" i="3"/>
  <c r="C512" i="3"/>
  <c r="D567" i="3"/>
  <c r="C518" i="3"/>
  <c r="D571" i="3"/>
  <c r="C522" i="3"/>
  <c r="D575" i="3"/>
  <c r="C526" i="3"/>
  <c r="D577" i="3"/>
  <c r="C528" i="3"/>
  <c r="D603" i="3"/>
  <c r="C554" i="3"/>
  <c r="D607" i="3"/>
  <c r="C558" i="3"/>
  <c r="D609" i="3"/>
  <c r="C560" i="3"/>
  <c r="D613" i="3"/>
  <c r="C564" i="3"/>
  <c r="D617" i="3"/>
  <c r="C568" i="3"/>
  <c r="D621" i="3"/>
  <c r="C572" i="3"/>
  <c r="D623" i="3"/>
  <c r="C574" i="3"/>
  <c r="D625" i="3"/>
  <c r="C576" i="3"/>
  <c r="D629" i="3"/>
  <c r="C580" i="3"/>
  <c r="D647" i="3"/>
  <c r="C598" i="3"/>
  <c r="D653" i="3"/>
  <c r="C604" i="3"/>
  <c r="D655" i="3"/>
  <c r="C606" i="3"/>
  <c r="D657" i="3"/>
  <c r="C608" i="3"/>
  <c r="D661" i="3"/>
  <c r="C612" i="3"/>
  <c r="D665" i="3"/>
  <c r="C616" i="3"/>
  <c r="D669" i="3"/>
  <c r="C620" i="3"/>
  <c r="D671" i="3"/>
  <c r="C622" i="3"/>
  <c r="C624" i="3"/>
  <c r="D673" i="3"/>
  <c r="D677" i="3"/>
  <c r="C628" i="3"/>
  <c r="D683" i="3"/>
  <c r="C634" i="3"/>
  <c r="D687" i="3"/>
  <c r="C638" i="3"/>
  <c r="C640" i="3"/>
  <c r="D689" i="3"/>
  <c r="C664" i="3"/>
  <c r="D713" i="3"/>
  <c r="D717" i="3"/>
  <c r="C668" i="3"/>
  <c r="D719" i="3"/>
  <c r="C670" i="3"/>
  <c r="C674" i="3"/>
  <c r="D723" i="3"/>
  <c r="C680" i="3"/>
  <c r="D729" i="3"/>
  <c r="D733" i="3"/>
  <c r="C684" i="3"/>
  <c r="C688" i="3"/>
  <c r="D737" i="3"/>
  <c r="D741" i="3"/>
  <c r="C692" i="3"/>
  <c r="D743" i="3"/>
  <c r="C694" i="3"/>
  <c r="C696" i="3"/>
  <c r="D745" i="3"/>
  <c r="D747" i="3"/>
  <c r="C698" i="3"/>
  <c r="D753" i="3"/>
  <c r="C704" i="3"/>
  <c r="D757" i="3"/>
  <c r="C708" i="3"/>
  <c r="D763" i="3"/>
  <c r="C714" i="3"/>
  <c r="D767" i="3"/>
  <c r="C718" i="3"/>
  <c r="D771" i="3"/>
  <c r="C722" i="3"/>
  <c r="D777" i="3"/>
  <c r="C728" i="3"/>
  <c r="D783" i="3"/>
  <c r="C734" i="3"/>
  <c r="D787" i="3"/>
  <c r="C738" i="3"/>
  <c r="D793" i="3"/>
  <c r="C744" i="3"/>
  <c r="D797" i="3"/>
  <c r="C748" i="3"/>
  <c r="D801" i="3"/>
  <c r="C752" i="3"/>
  <c r="D807" i="3"/>
  <c r="C758" i="3"/>
  <c r="D811" i="3"/>
  <c r="C762" i="3"/>
  <c r="D815" i="3"/>
  <c r="C766" i="3"/>
  <c r="D821" i="3"/>
  <c r="C772" i="3"/>
  <c r="D825" i="3"/>
  <c r="C776" i="3"/>
  <c r="D827" i="3"/>
  <c r="C778" i="3"/>
  <c r="D833" i="3"/>
  <c r="C784" i="3"/>
  <c r="D837" i="3"/>
  <c r="C788" i="3"/>
  <c r="D839" i="3"/>
  <c r="C790" i="3"/>
  <c r="D843" i="3"/>
  <c r="C794" i="3"/>
  <c r="D845" i="3"/>
  <c r="C796" i="3"/>
  <c r="D847" i="3"/>
  <c r="C798" i="3"/>
  <c r="D851" i="3"/>
  <c r="C802" i="3"/>
  <c r="D855" i="3"/>
  <c r="C806" i="3"/>
  <c r="D861" i="3"/>
  <c r="C812" i="3"/>
  <c r="D865" i="3"/>
  <c r="C816" i="3"/>
  <c r="D871" i="3"/>
  <c r="C822" i="3"/>
  <c r="D875" i="3"/>
  <c r="C826" i="3"/>
  <c r="D881" i="3"/>
  <c r="C832" i="3"/>
  <c r="D885" i="3"/>
  <c r="C836" i="3"/>
  <c r="D891" i="3"/>
  <c r="C842" i="3"/>
  <c r="D895" i="3"/>
  <c r="C846" i="3"/>
  <c r="D899" i="3"/>
  <c r="C850" i="3"/>
  <c r="D903" i="3"/>
  <c r="C854" i="3"/>
  <c r="D905" i="3"/>
  <c r="C856" i="3"/>
  <c r="D907" i="3"/>
  <c r="C858" i="3"/>
  <c r="D909" i="3"/>
  <c r="C860" i="3"/>
  <c r="D911" i="3"/>
  <c r="C862" i="3"/>
  <c r="D915" i="3"/>
  <c r="C866" i="3"/>
  <c r="D921" i="3"/>
  <c r="C872" i="3"/>
  <c r="D925" i="3"/>
  <c r="C876" i="3"/>
  <c r="D931" i="3"/>
  <c r="C882" i="3"/>
  <c r="D935" i="3"/>
  <c r="C886" i="3"/>
  <c r="C890" i="3"/>
  <c r="D939" i="3"/>
  <c r="D945" i="3"/>
  <c r="C896" i="3"/>
  <c r="D949" i="3"/>
  <c r="C900" i="3"/>
  <c r="D955" i="3"/>
  <c r="C906" i="3"/>
  <c r="D959" i="3"/>
  <c r="C910" i="3"/>
  <c r="D963" i="3"/>
  <c r="C914" i="3"/>
  <c r="D967" i="3"/>
  <c r="C918" i="3"/>
  <c r="D973" i="3"/>
  <c r="C924" i="3"/>
  <c r="D977" i="3"/>
  <c r="C928" i="3"/>
  <c r="D983" i="3"/>
  <c r="C934" i="3"/>
  <c r="D987" i="3"/>
  <c r="C938" i="3"/>
  <c r="D991" i="3"/>
  <c r="C942" i="3"/>
  <c r="D997" i="3"/>
  <c r="C948" i="3"/>
  <c r="D1001" i="3"/>
  <c r="C952" i="3"/>
  <c r="D1005" i="3"/>
  <c r="C956" i="3"/>
  <c r="D1011" i="3"/>
  <c r="C962" i="3"/>
  <c r="D1015" i="3"/>
  <c r="C966" i="3"/>
  <c r="D1019" i="3"/>
  <c r="C970" i="3"/>
  <c r="D1025" i="3"/>
  <c r="C976" i="3"/>
  <c r="D1029" i="3"/>
  <c r="C980" i="3"/>
  <c r="D1035" i="3"/>
  <c r="C986" i="3"/>
  <c r="D1039" i="3"/>
  <c r="C990" i="3"/>
  <c r="D1043" i="3"/>
  <c r="C994" i="3"/>
  <c r="D1047" i="3"/>
  <c r="C998" i="3"/>
  <c r="D1053" i="3"/>
  <c r="C1004" i="3"/>
  <c r="D1057" i="3"/>
  <c r="C1008" i="3"/>
  <c r="D1061" i="3"/>
  <c r="C1012" i="3"/>
  <c r="D1065" i="3"/>
  <c r="C1016" i="3"/>
  <c r="D1069" i="3"/>
  <c r="C1020" i="3"/>
  <c r="D1075" i="3"/>
  <c r="C1026" i="3"/>
  <c r="D1079" i="3"/>
  <c r="C1030" i="3"/>
  <c r="D1083" i="3"/>
  <c r="C1034" i="3"/>
  <c r="D1087" i="3"/>
  <c r="C1038" i="3"/>
  <c r="D1091" i="3"/>
  <c r="C1042" i="3"/>
  <c r="D1095" i="3"/>
  <c r="C1046" i="3"/>
  <c r="D1099" i="3"/>
  <c r="C1050" i="3"/>
  <c r="D1103" i="3"/>
  <c r="C1054" i="3"/>
  <c r="D1107" i="3"/>
  <c r="C1058" i="3"/>
  <c r="C1064" i="3"/>
  <c r="D1113" i="3"/>
  <c r="C1068" i="3"/>
  <c r="D1117" i="3"/>
  <c r="C1072" i="3"/>
  <c r="D1121" i="3"/>
  <c r="C1076" i="3"/>
  <c r="D1125" i="3"/>
  <c r="C1080" i="3"/>
  <c r="D1129" i="3"/>
  <c r="C1084" i="3"/>
  <c r="D1133" i="3"/>
  <c r="C1088" i="3"/>
  <c r="D1137" i="3"/>
  <c r="C1092" i="3"/>
  <c r="D1141" i="3"/>
  <c r="C1098" i="3"/>
  <c r="D1147" i="3"/>
  <c r="C1102" i="3"/>
  <c r="D1151" i="3"/>
  <c r="C1106" i="3"/>
  <c r="D1155" i="3"/>
  <c r="C1112" i="3"/>
  <c r="D1161" i="3"/>
  <c r="C1116" i="3"/>
  <c r="D1165" i="3"/>
  <c r="C1122" i="3"/>
  <c r="D1171" i="3"/>
  <c r="C1126" i="3"/>
  <c r="D1175" i="3"/>
  <c r="C1130" i="3"/>
  <c r="D1179" i="3"/>
  <c r="C1136" i="3"/>
  <c r="D1185" i="3"/>
  <c r="C1140" i="3"/>
  <c r="D1189" i="3"/>
  <c r="C1144" i="3"/>
  <c r="D1193" i="3"/>
  <c r="C1150" i="3"/>
  <c r="D1199" i="3"/>
  <c r="C1154" i="3"/>
  <c r="D1203" i="3"/>
  <c r="C1160" i="3"/>
  <c r="D1209" i="3"/>
  <c r="C1164" i="3"/>
  <c r="D1213" i="3"/>
  <c r="C1168" i="3"/>
  <c r="D1217" i="3"/>
  <c r="C1172" i="3"/>
  <c r="D1221" i="3"/>
  <c r="C1176" i="3"/>
  <c r="D1225" i="3"/>
  <c r="C1180" i="3"/>
  <c r="D1229" i="3"/>
  <c r="D742" i="3"/>
  <c r="C87" i="3"/>
  <c r="C103" i="3"/>
  <c r="C119" i="3"/>
  <c r="C183" i="3"/>
  <c r="C247" i="3"/>
  <c r="D263" i="3"/>
  <c r="D311" i="3"/>
  <c r="D52" i="3"/>
  <c r="D54" i="3"/>
  <c r="C5" i="3"/>
  <c r="D56" i="3"/>
  <c r="D58" i="3"/>
  <c r="C9" i="3"/>
  <c r="D60" i="3"/>
  <c r="D62" i="3"/>
  <c r="C13" i="3"/>
  <c r="D64" i="3"/>
  <c r="D66" i="3"/>
  <c r="C17" i="3"/>
  <c r="D68" i="3"/>
  <c r="D70" i="3"/>
  <c r="C21" i="3"/>
  <c r="D72" i="3"/>
  <c r="D74" i="3"/>
  <c r="C25" i="3"/>
  <c r="D76" i="3"/>
  <c r="D78" i="3"/>
  <c r="C29" i="3"/>
  <c r="D80" i="3"/>
  <c r="D82" i="3"/>
  <c r="C33" i="3"/>
  <c r="D84" i="3"/>
  <c r="D86" i="3"/>
  <c r="C37" i="3"/>
  <c r="D88" i="3"/>
  <c r="D90" i="3"/>
  <c r="C41" i="3"/>
  <c r="D92" i="3"/>
  <c r="D94" i="3"/>
  <c r="C45" i="3"/>
  <c r="D96" i="3"/>
  <c r="D98" i="3"/>
  <c r="C49" i="3"/>
  <c r="D100" i="3"/>
  <c r="D102" i="3"/>
  <c r="D104" i="3"/>
  <c r="D106" i="3"/>
  <c r="D108" i="3"/>
  <c r="D110" i="3"/>
  <c r="D112" i="3"/>
  <c r="D114" i="3"/>
  <c r="D116" i="3"/>
  <c r="D118" i="3"/>
  <c r="D120" i="3"/>
  <c r="D122" i="3"/>
  <c r="D124" i="3"/>
  <c r="D126" i="3"/>
  <c r="D128" i="3"/>
  <c r="D130" i="3"/>
  <c r="D132" i="3"/>
  <c r="D134" i="3"/>
  <c r="D136" i="3"/>
  <c r="D138" i="3"/>
  <c r="D140" i="3"/>
  <c r="D142" i="3"/>
  <c r="D144" i="3"/>
  <c r="D146" i="3"/>
  <c r="D148" i="3"/>
  <c r="D150" i="3"/>
  <c r="D152" i="3"/>
  <c r="D154" i="3"/>
  <c r="D156" i="3"/>
  <c r="D158" i="3"/>
  <c r="D160" i="3"/>
  <c r="D162" i="3"/>
  <c r="D164" i="3"/>
  <c r="D166" i="3"/>
  <c r="D168" i="3"/>
  <c r="D170" i="3"/>
  <c r="D172" i="3"/>
  <c r="D174" i="3"/>
  <c r="D176" i="3"/>
  <c r="D178" i="3"/>
  <c r="D180" i="3"/>
  <c r="D182" i="3"/>
  <c r="D184" i="3"/>
  <c r="D186" i="3"/>
  <c r="D188" i="3"/>
  <c r="D190" i="3"/>
  <c r="D192" i="3"/>
  <c r="D194" i="3"/>
  <c r="D196" i="3"/>
  <c r="D198" i="3"/>
  <c r="D200" i="3"/>
  <c r="D202" i="3"/>
  <c r="D204" i="3"/>
  <c r="D206" i="3"/>
  <c r="D208" i="3"/>
  <c r="D210" i="3"/>
  <c r="D212" i="3"/>
  <c r="D214" i="3"/>
  <c r="D216" i="3"/>
  <c r="D218" i="3"/>
  <c r="D220" i="3"/>
  <c r="D222" i="3"/>
  <c r="D224" i="3"/>
  <c r="D226" i="3"/>
  <c r="D228" i="3"/>
  <c r="D230" i="3"/>
  <c r="D232" i="3"/>
  <c r="D234" i="3"/>
  <c r="D236" i="3"/>
  <c r="D238" i="3"/>
  <c r="D240" i="3"/>
  <c r="D242" i="3"/>
  <c r="D244" i="3"/>
  <c r="D246" i="3"/>
  <c r="D248" i="3"/>
  <c r="D250" i="3"/>
  <c r="D252" i="3"/>
  <c r="D254" i="3"/>
  <c r="D256" i="3"/>
  <c r="D258" i="3"/>
  <c r="D260" i="3"/>
  <c r="D262" i="3"/>
  <c r="D264" i="3"/>
  <c r="D266" i="3"/>
  <c r="D268" i="3"/>
  <c r="D270" i="3"/>
  <c r="D272" i="3"/>
  <c r="D274" i="3"/>
  <c r="D276" i="3"/>
  <c r="D278" i="3"/>
  <c r="D280" i="3"/>
  <c r="D282" i="3"/>
  <c r="D284" i="3"/>
  <c r="D286" i="3"/>
  <c r="D288" i="3"/>
  <c r="D290" i="3"/>
  <c r="D292" i="3"/>
  <c r="D294" i="3"/>
  <c r="D296" i="3"/>
  <c r="D298" i="3"/>
  <c r="D300" i="3"/>
  <c r="D302" i="3"/>
  <c r="D304" i="3"/>
  <c r="D306" i="3"/>
  <c r="D308" i="3"/>
  <c r="D310" i="3"/>
  <c r="C263" i="3"/>
  <c r="D312" i="3"/>
  <c r="C265" i="3"/>
  <c r="D314" i="3"/>
  <c r="C267" i="3"/>
  <c r="D316" i="3"/>
  <c r="C269" i="3"/>
  <c r="D318" i="3"/>
  <c r="C271" i="3"/>
  <c r="D320" i="3"/>
  <c r="C273" i="3"/>
  <c r="D322" i="3"/>
  <c r="C275" i="3"/>
  <c r="D324" i="3"/>
  <c r="C277" i="3"/>
  <c r="D326" i="3"/>
  <c r="C279" i="3"/>
  <c r="D328" i="3"/>
  <c r="C281" i="3"/>
  <c r="D330" i="3"/>
  <c r="C283" i="3"/>
  <c r="D332" i="3"/>
  <c r="C285" i="3"/>
  <c r="D334" i="3"/>
  <c r="C287" i="3"/>
  <c r="C289" i="3"/>
  <c r="D338" i="3"/>
  <c r="C291" i="3"/>
  <c r="D340" i="3"/>
  <c r="C293" i="3"/>
  <c r="D342" i="3"/>
  <c r="C295" i="3"/>
  <c r="C297" i="3"/>
  <c r="D346" i="3"/>
  <c r="C299" i="3"/>
  <c r="D348" i="3"/>
  <c r="C301" i="3"/>
  <c r="D350" i="3"/>
  <c r="C303" i="3"/>
  <c r="C305" i="3"/>
  <c r="D354" i="3"/>
  <c r="C307" i="3"/>
  <c r="D356" i="3"/>
  <c r="C309" i="3"/>
  <c r="D358" i="3"/>
  <c r="C311" i="3"/>
  <c r="C313" i="3"/>
  <c r="D362" i="3"/>
  <c r="C315" i="3"/>
  <c r="D364" i="3"/>
  <c r="C317" i="3"/>
  <c r="D366" i="3"/>
  <c r="C319" i="3"/>
  <c r="C321" i="3"/>
  <c r="D370" i="3"/>
  <c r="C323" i="3"/>
  <c r="D372" i="3"/>
  <c r="C325" i="3"/>
  <c r="D374" i="3"/>
  <c r="C327" i="3"/>
  <c r="C329" i="3"/>
  <c r="D378" i="3"/>
  <c r="C331" i="3"/>
  <c r="D380" i="3"/>
  <c r="C333" i="3"/>
  <c r="D382" i="3"/>
  <c r="D384" i="3"/>
  <c r="C335" i="3"/>
  <c r="D386" i="3"/>
  <c r="C337" i="3"/>
  <c r="D388" i="3"/>
  <c r="C339" i="3"/>
  <c r="C341" i="3"/>
  <c r="D390" i="3"/>
  <c r="D392" i="3"/>
  <c r="C343" i="3"/>
  <c r="D394" i="3"/>
  <c r="C345" i="3"/>
  <c r="D396" i="3"/>
  <c r="C347" i="3"/>
  <c r="D398" i="3"/>
  <c r="D430" i="3"/>
  <c r="D662" i="3"/>
  <c r="D726" i="3"/>
  <c r="C15" i="3"/>
  <c r="C31" i="3"/>
  <c r="C47" i="3"/>
  <c r="C57" i="3"/>
  <c r="C65" i="3"/>
  <c r="C73" i="3"/>
  <c r="C81" i="3"/>
  <c r="C89" i="3"/>
  <c r="C97" i="3"/>
  <c r="C105" i="3"/>
  <c r="C113" i="3"/>
  <c r="C121" i="3"/>
  <c r="C129" i="3"/>
  <c r="C137" i="3"/>
  <c r="C145" i="3"/>
  <c r="C153" i="3"/>
  <c r="C161" i="3"/>
  <c r="C169" i="3"/>
  <c r="C177" i="3"/>
  <c r="C185" i="3"/>
  <c r="C193" i="3"/>
  <c r="C201" i="3"/>
  <c r="C209" i="3"/>
  <c r="C217" i="3"/>
  <c r="C225" i="3"/>
  <c r="C233" i="3"/>
  <c r="C241" i="3"/>
  <c r="C249" i="3"/>
  <c r="C257" i="3"/>
  <c r="D267" i="3"/>
  <c r="D283" i="3"/>
  <c r="D299" i="3"/>
  <c r="D315" i="3"/>
  <c r="D331" i="3"/>
  <c r="D360" i="3"/>
  <c r="C396" i="3"/>
  <c r="D438" i="3"/>
  <c r="C498" i="3"/>
  <c r="C562" i="3"/>
  <c r="C626" i="3"/>
  <c r="C700" i="3"/>
  <c r="C864" i="3"/>
  <c r="D53" i="3"/>
  <c r="C4" i="3"/>
  <c r="D57" i="3"/>
  <c r="C8" i="3"/>
  <c r="C10" i="3"/>
  <c r="D59" i="3"/>
  <c r="C14" i="3"/>
  <c r="D63" i="3"/>
  <c r="D65" i="3"/>
  <c r="C16" i="3"/>
  <c r="D69" i="3"/>
  <c r="C20" i="3"/>
  <c r="C22" i="3"/>
  <c r="D71" i="3"/>
  <c r="C26" i="3"/>
  <c r="D75" i="3"/>
  <c r="D77" i="3"/>
  <c r="C28" i="3"/>
  <c r="D81" i="3"/>
  <c r="C32" i="3"/>
  <c r="D85" i="3"/>
  <c r="C36" i="3"/>
  <c r="C38" i="3"/>
  <c r="D87" i="3"/>
  <c r="C42" i="3"/>
  <c r="D91" i="3"/>
  <c r="C46" i="3"/>
  <c r="D95" i="3"/>
  <c r="D97" i="3"/>
  <c r="C48" i="3"/>
  <c r="C52" i="3"/>
  <c r="D101" i="3"/>
  <c r="C54" i="3"/>
  <c r="D103" i="3"/>
  <c r="C58" i="3"/>
  <c r="D107" i="3"/>
  <c r="C62" i="3"/>
  <c r="D111" i="3"/>
  <c r="C66" i="3"/>
  <c r="D115" i="3"/>
  <c r="C68" i="3"/>
  <c r="D117" i="3"/>
  <c r="C72" i="3"/>
  <c r="D121" i="3"/>
  <c r="C74" i="3"/>
  <c r="D123" i="3"/>
  <c r="C78" i="3"/>
  <c r="D127" i="3"/>
  <c r="C80" i="3"/>
  <c r="D129" i="3"/>
  <c r="C84" i="3"/>
  <c r="D133" i="3"/>
  <c r="C88" i="3"/>
  <c r="D137" i="3"/>
  <c r="C90" i="3"/>
  <c r="D139" i="3"/>
  <c r="C94" i="3"/>
  <c r="D143" i="3"/>
  <c r="C98" i="3"/>
  <c r="D147" i="3"/>
  <c r="C100" i="3"/>
  <c r="D149" i="3"/>
  <c r="C104" i="3"/>
  <c r="D153" i="3"/>
  <c r="C108" i="3"/>
  <c r="D157" i="3"/>
  <c r="C112" i="3"/>
  <c r="D161" i="3"/>
  <c r="C116" i="3"/>
  <c r="D165" i="3"/>
  <c r="C120" i="3"/>
  <c r="D169" i="3"/>
  <c r="C122" i="3"/>
  <c r="D171" i="3"/>
  <c r="C126" i="3"/>
  <c r="D175" i="3"/>
  <c r="C128" i="3"/>
  <c r="D177" i="3"/>
  <c r="C132" i="3"/>
  <c r="D181" i="3"/>
  <c r="C134" i="3"/>
  <c r="D183" i="3"/>
  <c r="C138" i="3"/>
  <c r="D187" i="3"/>
  <c r="C142" i="3"/>
  <c r="D191" i="3"/>
  <c r="C144" i="3"/>
  <c r="D193" i="3"/>
  <c r="C148" i="3"/>
  <c r="D197" i="3"/>
  <c r="C150" i="3"/>
  <c r="D199" i="3"/>
  <c r="C154" i="3"/>
  <c r="D203" i="3"/>
  <c r="C158" i="3"/>
  <c r="D207" i="3"/>
  <c r="C160" i="3"/>
  <c r="D209" i="3"/>
  <c r="C164" i="3"/>
  <c r="D213" i="3"/>
  <c r="C168" i="3"/>
  <c r="D217" i="3"/>
  <c r="C170" i="3"/>
  <c r="D219" i="3"/>
  <c r="C174" i="3"/>
  <c r="D223" i="3"/>
  <c r="C176" i="3"/>
  <c r="D225" i="3"/>
  <c r="C180" i="3"/>
  <c r="D229" i="3"/>
  <c r="C184" i="3"/>
  <c r="D233" i="3"/>
  <c r="C186" i="3"/>
  <c r="D235" i="3"/>
  <c r="C190" i="3"/>
  <c r="D239" i="3"/>
  <c r="C194" i="3"/>
  <c r="D243" i="3"/>
  <c r="C196" i="3"/>
  <c r="D245" i="3"/>
  <c r="C200" i="3"/>
  <c r="D249" i="3"/>
  <c r="C202" i="3"/>
  <c r="D251" i="3"/>
  <c r="C206" i="3"/>
  <c r="D255" i="3"/>
  <c r="C210" i="3"/>
  <c r="D259" i="3"/>
  <c r="D301" i="3"/>
  <c r="C252" i="3"/>
  <c r="D305" i="3"/>
  <c r="C256" i="3"/>
  <c r="D309" i="3"/>
  <c r="C260" i="3"/>
  <c r="C276" i="3"/>
  <c r="D325" i="3"/>
  <c r="C280" i="3"/>
  <c r="D329" i="3"/>
  <c r="C284" i="3"/>
  <c r="D333" i="3"/>
  <c r="C286" i="3"/>
  <c r="D335" i="3"/>
  <c r="C290" i="3"/>
  <c r="D339" i="3"/>
  <c r="C294" i="3"/>
  <c r="D343" i="3"/>
  <c r="C296" i="3"/>
  <c r="D345" i="3"/>
  <c r="C300" i="3"/>
  <c r="D349" i="3"/>
  <c r="C304" i="3"/>
  <c r="D353" i="3"/>
  <c r="C306" i="3"/>
  <c r="D355" i="3"/>
  <c r="C310" i="3"/>
  <c r="D359" i="3"/>
  <c r="C314" i="3"/>
  <c r="D363" i="3"/>
  <c r="C318" i="3"/>
  <c r="D367" i="3"/>
  <c r="C320" i="3"/>
  <c r="D369" i="3"/>
  <c r="C324" i="3"/>
  <c r="D373" i="3"/>
  <c r="C328" i="3"/>
  <c r="D377" i="3"/>
  <c r="C332" i="3"/>
  <c r="D381" i="3"/>
  <c r="C340" i="3"/>
  <c r="D389" i="3"/>
  <c r="C342" i="3"/>
  <c r="D391" i="3"/>
  <c r="D395" i="3"/>
  <c r="C346" i="3"/>
  <c r="C350" i="3"/>
  <c r="D399" i="3"/>
  <c r="C352" i="3"/>
  <c r="D401" i="3"/>
  <c r="C356" i="3"/>
  <c r="D405" i="3"/>
  <c r="C360" i="3"/>
  <c r="D409" i="3"/>
  <c r="D411" i="3"/>
  <c r="C362" i="3"/>
  <c r="D419" i="3"/>
  <c r="C370" i="3"/>
  <c r="C376" i="3"/>
  <c r="D425" i="3"/>
  <c r="D427" i="3"/>
  <c r="C378" i="3"/>
  <c r="C382" i="3"/>
  <c r="D431" i="3"/>
  <c r="C384" i="3"/>
  <c r="D433" i="3"/>
  <c r="D437" i="3"/>
  <c r="C388" i="3"/>
  <c r="D449" i="3"/>
  <c r="C400" i="3"/>
  <c r="D453" i="3"/>
  <c r="C404" i="3"/>
  <c r="D459" i="3"/>
  <c r="C410" i="3"/>
  <c r="D461" i="3"/>
  <c r="C412" i="3"/>
  <c r="D465" i="3"/>
  <c r="C416" i="3"/>
  <c r="D469" i="3"/>
  <c r="C420" i="3"/>
  <c r="D481" i="3"/>
  <c r="C432" i="3"/>
  <c r="D485" i="3"/>
  <c r="C436" i="3"/>
  <c r="C438" i="3"/>
  <c r="D487" i="3"/>
  <c r="D491" i="3"/>
  <c r="C442" i="3"/>
  <c r="D501" i="3"/>
  <c r="C452" i="3"/>
  <c r="D505" i="3"/>
  <c r="C456" i="3"/>
  <c r="D509" i="3"/>
  <c r="C460" i="3"/>
  <c r="D517" i="3"/>
  <c r="C468" i="3"/>
  <c r="D521" i="3"/>
  <c r="C472" i="3"/>
  <c r="D525" i="3"/>
  <c r="C476" i="3"/>
  <c r="D535" i="3"/>
  <c r="C486" i="3"/>
  <c r="D537" i="3"/>
  <c r="C488" i="3"/>
  <c r="D541" i="3"/>
  <c r="C492" i="3"/>
  <c r="D551" i="3"/>
  <c r="C502" i="3"/>
  <c r="D555" i="3"/>
  <c r="C506" i="3"/>
  <c r="D565" i="3"/>
  <c r="C516" i="3"/>
  <c r="D569" i="3"/>
  <c r="C520" i="3"/>
  <c r="D573" i="3"/>
  <c r="C524" i="3"/>
  <c r="D581" i="3"/>
  <c r="C532" i="3"/>
  <c r="D583" i="3"/>
  <c r="C534" i="3"/>
  <c r="D585" i="3"/>
  <c r="C536" i="3"/>
  <c r="D587" i="3"/>
  <c r="C538" i="3"/>
  <c r="D589" i="3"/>
  <c r="C540" i="3"/>
  <c r="D591" i="3"/>
  <c r="C542" i="3"/>
  <c r="D593" i="3"/>
  <c r="C544" i="3"/>
  <c r="D597" i="3"/>
  <c r="C548" i="3"/>
  <c r="D599" i="3"/>
  <c r="C550" i="3"/>
  <c r="D601" i="3"/>
  <c r="C552" i="3"/>
  <c r="D605" i="3"/>
  <c r="C556" i="3"/>
  <c r="D615" i="3"/>
  <c r="C566" i="3"/>
  <c r="D619" i="3"/>
  <c r="C570" i="3"/>
  <c r="D631" i="3"/>
  <c r="C582" i="3"/>
  <c r="D633" i="3"/>
  <c r="C584" i="3"/>
  <c r="D635" i="3"/>
  <c r="C586" i="3"/>
  <c r="D637" i="3"/>
  <c r="C588" i="3"/>
  <c r="D639" i="3"/>
  <c r="C590" i="3"/>
  <c r="D641" i="3"/>
  <c r="C592" i="3"/>
  <c r="D645" i="3"/>
  <c r="C596" i="3"/>
  <c r="D649" i="3"/>
  <c r="C600" i="3"/>
  <c r="D651" i="3"/>
  <c r="C602" i="3"/>
  <c r="D663" i="3"/>
  <c r="C614" i="3"/>
  <c r="D667" i="3"/>
  <c r="C618" i="3"/>
  <c r="D679" i="3"/>
  <c r="C630" i="3"/>
  <c r="D681" i="3"/>
  <c r="C632" i="3"/>
  <c r="D685" i="3"/>
  <c r="C636" i="3"/>
  <c r="D693" i="3"/>
  <c r="C644" i="3"/>
  <c r="D695" i="3"/>
  <c r="C646" i="3"/>
  <c r="D697" i="3"/>
  <c r="C648" i="3"/>
  <c r="D699" i="3"/>
  <c r="C650" i="3"/>
  <c r="D701" i="3"/>
  <c r="C652" i="3"/>
  <c r="D703" i="3"/>
  <c r="C654" i="3"/>
  <c r="C656" i="3"/>
  <c r="D705" i="3"/>
  <c r="D709" i="3"/>
  <c r="C660" i="3"/>
  <c r="D711" i="3"/>
  <c r="C662" i="3"/>
  <c r="C666" i="3"/>
  <c r="D715" i="3"/>
  <c r="D725" i="3"/>
  <c r="C676" i="3"/>
  <c r="D727" i="3"/>
  <c r="C678" i="3"/>
  <c r="C682" i="3"/>
  <c r="D731" i="3"/>
  <c r="D735" i="3"/>
  <c r="C686" i="3"/>
  <c r="C690" i="3"/>
  <c r="D739" i="3"/>
  <c r="D751" i="3"/>
  <c r="C702" i="3"/>
  <c r="D755" i="3"/>
  <c r="C706" i="3"/>
  <c r="D759" i="3"/>
  <c r="C710" i="3"/>
  <c r="D761" i="3"/>
  <c r="C712" i="3"/>
  <c r="D765" i="3"/>
  <c r="C716" i="3"/>
  <c r="D769" i="3"/>
  <c r="C720" i="3"/>
  <c r="D773" i="3"/>
  <c r="C724" i="3"/>
  <c r="D775" i="3"/>
  <c r="C726" i="3"/>
  <c r="D779" i="3"/>
  <c r="C730" i="3"/>
  <c r="D781" i="3"/>
  <c r="C732" i="3"/>
  <c r="D785" i="3"/>
  <c r="C736" i="3"/>
  <c r="D789" i="3"/>
  <c r="C740" i="3"/>
  <c r="D791" i="3"/>
  <c r="C742" i="3"/>
  <c r="D795" i="3"/>
  <c r="C746" i="3"/>
  <c r="D799" i="3"/>
  <c r="C750" i="3"/>
  <c r="D803" i="3"/>
  <c r="C754" i="3"/>
  <c r="D805" i="3"/>
  <c r="C756" i="3"/>
  <c r="D809" i="3"/>
  <c r="C760" i="3"/>
  <c r="D813" i="3"/>
  <c r="C764" i="3"/>
  <c r="D817" i="3"/>
  <c r="C768" i="3"/>
  <c r="D819" i="3"/>
  <c r="C770" i="3"/>
  <c r="D823" i="3"/>
  <c r="C774" i="3"/>
  <c r="D829" i="3"/>
  <c r="C780" i="3"/>
  <c r="D831" i="3"/>
  <c r="C782" i="3"/>
  <c r="D835" i="3"/>
  <c r="C786" i="3"/>
  <c r="D841" i="3"/>
  <c r="C792" i="3"/>
  <c r="D853" i="3"/>
  <c r="C804" i="3"/>
  <c r="D857" i="3"/>
  <c r="C808" i="3"/>
  <c r="D859" i="3"/>
  <c r="C810" i="3"/>
  <c r="D863" i="3"/>
  <c r="C814" i="3"/>
  <c r="D867" i="3"/>
  <c r="C818" i="3"/>
  <c r="D869" i="3"/>
  <c r="C820" i="3"/>
  <c r="D873" i="3"/>
  <c r="C824" i="3"/>
  <c r="D877" i="3"/>
  <c r="C828" i="3"/>
  <c r="D879" i="3"/>
  <c r="C830" i="3"/>
  <c r="D883" i="3"/>
  <c r="C834" i="3"/>
  <c r="D887" i="3"/>
  <c r="C838" i="3"/>
  <c r="D889" i="3"/>
  <c r="C840" i="3"/>
  <c r="D893" i="3"/>
  <c r="C844" i="3"/>
  <c r="D897" i="3"/>
  <c r="C848" i="3"/>
  <c r="D901" i="3"/>
  <c r="C852" i="3"/>
  <c r="D917" i="3"/>
  <c r="C868" i="3"/>
  <c r="D919" i="3"/>
  <c r="C870" i="3"/>
  <c r="D923" i="3"/>
  <c r="C874" i="3"/>
  <c r="D927" i="3"/>
  <c r="C878" i="3"/>
  <c r="D929" i="3"/>
  <c r="C880" i="3"/>
  <c r="D933" i="3"/>
  <c r="C884" i="3"/>
  <c r="D937" i="3"/>
  <c r="C888" i="3"/>
  <c r="D941" i="3"/>
  <c r="C892" i="3"/>
  <c r="D943" i="3"/>
  <c r="C894" i="3"/>
  <c r="C898" i="3"/>
  <c r="D947" i="3"/>
  <c r="D951" i="3"/>
  <c r="C902" i="3"/>
  <c r="D953" i="3"/>
  <c r="C904" i="3"/>
  <c r="D957" i="3"/>
  <c r="C908" i="3"/>
  <c r="D961" i="3"/>
  <c r="C912" i="3"/>
  <c r="D965" i="3"/>
  <c r="C916" i="3"/>
  <c r="D969" i="3"/>
  <c r="C920" i="3"/>
  <c r="D971" i="3"/>
  <c r="C922" i="3"/>
  <c r="D975" i="3"/>
  <c r="C926" i="3"/>
  <c r="D979" i="3"/>
  <c r="C930" i="3"/>
  <c r="D981" i="3"/>
  <c r="C932" i="3"/>
  <c r="D985" i="3"/>
  <c r="C936" i="3"/>
  <c r="D989" i="3"/>
  <c r="C940" i="3"/>
  <c r="D993" i="3"/>
  <c r="C944" i="3"/>
  <c r="D995" i="3"/>
  <c r="C946" i="3"/>
  <c r="D999" i="3"/>
  <c r="C950" i="3"/>
  <c r="D1003" i="3"/>
  <c r="C954" i="3"/>
  <c r="D1007" i="3"/>
  <c r="C958" i="3"/>
  <c r="D1009" i="3"/>
  <c r="C960" i="3"/>
  <c r="D1013" i="3"/>
  <c r="C964" i="3"/>
  <c r="D1017" i="3"/>
  <c r="C968" i="3"/>
  <c r="D1021" i="3"/>
  <c r="C972" i="3"/>
  <c r="D1023" i="3"/>
  <c r="C974" i="3"/>
  <c r="D1027" i="3"/>
  <c r="C978" i="3"/>
  <c r="D1031" i="3"/>
  <c r="C982" i="3"/>
  <c r="D1033" i="3"/>
  <c r="C984" i="3"/>
  <c r="D1037" i="3"/>
  <c r="C988" i="3"/>
  <c r="D1041" i="3"/>
  <c r="C992" i="3"/>
  <c r="D1045" i="3"/>
  <c r="C996" i="3"/>
  <c r="D1049" i="3"/>
  <c r="C1000" i="3"/>
  <c r="D1051" i="3"/>
  <c r="C1002" i="3"/>
  <c r="D1055" i="3"/>
  <c r="C1006" i="3"/>
  <c r="D1059" i="3"/>
  <c r="C1010" i="3"/>
  <c r="D1063" i="3"/>
  <c r="C1014" i="3"/>
  <c r="C1018" i="3"/>
  <c r="D1067" i="3"/>
  <c r="D1071" i="3"/>
  <c r="C1022" i="3"/>
  <c r="D1073" i="3"/>
  <c r="C1024" i="3"/>
  <c r="D1077" i="3"/>
  <c r="C1028" i="3"/>
  <c r="D1081" i="3"/>
  <c r="C1032" i="3"/>
  <c r="D1085" i="3"/>
  <c r="C1036" i="3"/>
  <c r="D1089" i="3"/>
  <c r="C1040" i="3"/>
  <c r="D1093" i="3"/>
  <c r="C1044" i="3"/>
  <c r="D1097" i="3"/>
  <c r="C1048" i="3"/>
  <c r="D1101" i="3"/>
  <c r="C1052" i="3"/>
  <c r="D1105" i="3"/>
  <c r="C1056" i="3"/>
  <c r="D1109" i="3"/>
  <c r="C1060" i="3"/>
  <c r="C1062" i="3"/>
  <c r="D1111" i="3"/>
  <c r="C1066" i="3"/>
  <c r="D1115" i="3"/>
  <c r="C1070" i="3"/>
  <c r="D1119" i="3"/>
  <c r="C1074" i="3"/>
  <c r="D1123" i="3"/>
  <c r="C1078" i="3"/>
  <c r="D1127" i="3"/>
  <c r="C1082" i="3"/>
  <c r="D1131" i="3"/>
  <c r="C1086" i="3"/>
  <c r="D1135" i="3"/>
  <c r="C1090" i="3"/>
  <c r="D1139" i="3"/>
  <c r="C1094" i="3"/>
  <c r="D1143" i="3"/>
  <c r="C1096" i="3"/>
  <c r="D1145" i="3"/>
  <c r="C1100" i="3"/>
  <c r="D1149" i="3"/>
  <c r="C1104" i="3"/>
  <c r="D1153" i="3"/>
  <c r="C1108" i="3"/>
  <c r="D1157" i="3"/>
  <c r="C1110" i="3"/>
  <c r="D1159" i="3"/>
  <c r="C1114" i="3"/>
  <c r="D1163" i="3"/>
  <c r="C1118" i="3"/>
  <c r="D1167" i="3"/>
  <c r="C1120" i="3"/>
  <c r="D1169" i="3"/>
  <c r="C1124" i="3"/>
  <c r="D1173" i="3"/>
  <c r="C1128" i="3"/>
  <c r="D1177" i="3"/>
  <c r="C1132" i="3"/>
  <c r="D1181" i="3"/>
  <c r="C1134" i="3"/>
  <c r="D1183" i="3"/>
  <c r="C1138" i="3"/>
  <c r="D1187" i="3"/>
  <c r="C1142" i="3"/>
  <c r="D1191" i="3"/>
  <c r="C1146" i="3"/>
  <c r="D1195" i="3"/>
  <c r="C1148" i="3"/>
  <c r="D1197" i="3"/>
  <c r="C1152" i="3"/>
  <c r="D1201" i="3"/>
  <c r="C1156" i="3"/>
  <c r="D1205" i="3"/>
  <c r="C1158" i="3"/>
  <c r="D1207" i="3"/>
  <c r="C1162" i="3"/>
  <c r="D1211" i="3"/>
  <c r="C1166" i="3"/>
  <c r="D1215" i="3"/>
  <c r="C1170" i="3"/>
  <c r="D1219" i="3"/>
  <c r="C1174" i="3"/>
  <c r="D1223" i="3"/>
  <c r="C1178" i="3"/>
  <c r="D1227" i="3"/>
  <c r="C7" i="3"/>
  <c r="C23" i="3"/>
  <c r="C39" i="3"/>
  <c r="C53" i="3"/>
  <c r="C61" i="3"/>
  <c r="C69" i="3"/>
  <c r="C77" i="3"/>
  <c r="C85" i="3"/>
  <c r="C93" i="3"/>
  <c r="C101" i="3"/>
  <c r="C109" i="3"/>
  <c r="C117" i="3"/>
  <c r="C125" i="3"/>
  <c r="C133" i="3"/>
  <c r="C141" i="3"/>
  <c r="C149" i="3"/>
  <c r="C157" i="3"/>
  <c r="C165" i="3"/>
  <c r="C173" i="3"/>
  <c r="C181" i="3"/>
  <c r="C189" i="3"/>
  <c r="C197" i="3"/>
  <c r="C205" i="3"/>
  <c r="C213" i="3"/>
  <c r="C221" i="3"/>
  <c r="C229" i="3"/>
  <c r="C237" i="3"/>
  <c r="C245" i="3"/>
  <c r="C253" i="3"/>
  <c r="C261" i="3"/>
  <c r="D275" i="3"/>
  <c r="D291" i="3"/>
  <c r="D307" i="3"/>
  <c r="D323" i="3"/>
  <c r="D344" i="3"/>
  <c r="D376" i="3"/>
  <c r="D417" i="3"/>
  <c r="C466" i="3"/>
  <c r="C530" i="3"/>
  <c r="C594" i="3"/>
  <c r="C658" i="3"/>
  <c r="C11" i="3"/>
  <c r="C43" i="3"/>
  <c r="C55" i="3"/>
  <c r="C71" i="3"/>
  <c r="C79" i="3"/>
  <c r="C95" i="3"/>
  <c r="C111" i="3"/>
  <c r="C127" i="3"/>
  <c r="C143" i="3"/>
  <c r="C151" i="3"/>
  <c r="C167" i="3"/>
  <c r="C175" i="3"/>
  <c r="C191" i="3"/>
  <c r="C199" i="3"/>
  <c r="C215" i="3"/>
  <c r="C223" i="3"/>
  <c r="C231" i="3"/>
  <c r="C239" i="3"/>
  <c r="C255" i="3"/>
  <c r="D279" i="3"/>
  <c r="D295" i="3"/>
  <c r="D327" i="3"/>
  <c r="D352" i="3"/>
  <c r="D385" i="3"/>
  <c r="C428" i="3"/>
  <c r="C482" i="3"/>
  <c r="C546" i="3"/>
  <c r="C610" i="3"/>
  <c r="C800" i="3"/>
  <c r="C3" i="3"/>
  <c r="C19" i="3"/>
  <c r="C35" i="3"/>
  <c r="C51" i="3"/>
  <c r="C59" i="3"/>
  <c r="C67" i="3"/>
  <c r="C75" i="3"/>
  <c r="C83" i="3"/>
  <c r="C91" i="3"/>
  <c r="C99" i="3"/>
  <c r="C107" i="3"/>
  <c r="C115" i="3"/>
  <c r="C123" i="3"/>
  <c r="C131" i="3"/>
  <c r="C139" i="3"/>
  <c r="C147" i="3"/>
  <c r="C155" i="3"/>
  <c r="C163" i="3"/>
  <c r="C171" i="3"/>
  <c r="C179" i="3"/>
  <c r="C187" i="3"/>
  <c r="C195" i="3"/>
  <c r="C203" i="3"/>
  <c r="C211" i="3"/>
  <c r="C219" i="3"/>
  <c r="C227" i="3"/>
  <c r="C235" i="3"/>
  <c r="C243" i="3"/>
  <c r="C251" i="3"/>
  <c r="C259" i="3"/>
  <c r="D271" i="3"/>
  <c r="D287" i="3"/>
  <c r="D303" i="3"/>
  <c r="D319" i="3"/>
  <c r="D336" i="3"/>
  <c r="D368" i="3"/>
  <c r="D406" i="3"/>
  <c r="C450" i="3"/>
  <c r="C514" i="3"/>
  <c r="C578" i="3"/>
  <c r="C642" i="3"/>
  <c r="D721" i="3"/>
  <c r="D928" i="3"/>
  <c r="C349" i="3"/>
  <c r="D400" i="3"/>
  <c r="C351" i="3"/>
  <c r="D402" i="3"/>
  <c r="C353" i="3"/>
  <c r="D404" i="3"/>
  <c r="C355" i="3"/>
  <c r="C357" i="3"/>
  <c r="D408" i="3"/>
  <c r="C359" i="3"/>
  <c r="D410" i="3"/>
  <c r="C361" i="3"/>
  <c r="D412" i="3"/>
  <c r="C363" i="3"/>
  <c r="C365" i="3"/>
  <c r="D416" i="3"/>
  <c r="C367" i="3"/>
  <c r="D418" i="3"/>
  <c r="C369" i="3"/>
  <c r="D420" i="3"/>
  <c r="C371" i="3"/>
  <c r="C373" i="3"/>
  <c r="D424" i="3"/>
  <c r="C375" i="3"/>
  <c r="D426" i="3"/>
  <c r="C377" i="3"/>
  <c r="D428" i="3"/>
  <c r="C379" i="3"/>
  <c r="C381" i="3"/>
  <c r="C383" i="3"/>
  <c r="D432" i="3"/>
  <c r="C385" i="3"/>
  <c r="D434" i="3"/>
  <c r="C387" i="3"/>
  <c r="D436" i="3"/>
  <c r="C389" i="3"/>
  <c r="C391" i="3"/>
  <c r="D440" i="3"/>
  <c r="C393" i="3"/>
  <c r="D442" i="3"/>
  <c r="C395" i="3"/>
  <c r="D444" i="3"/>
  <c r="C397" i="3"/>
  <c r="C399" i="3"/>
  <c r="D448" i="3"/>
  <c r="C401" i="3"/>
  <c r="D450" i="3"/>
  <c r="C403" i="3"/>
  <c r="D452" i="3"/>
  <c r="C405" i="3"/>
  <c r="D454" i="3"/>
  <c r="C407" i="3"/>
  <c r="D456" i="3"/>
  <c r="C409" i="3"/>
  <c r="D458" i="3"/>
  <c r="C411" i="3"/>
  <c r="D460" i="3"/>
  <c r="C413" i="3"/>
  <c r="D462" i="3"/>
  <c r="C415" i="3"/>
  <c r="D464" i="3"/>
  <c r="C417" i="3"/>
  <c r="D466" i="3"/>
  <c r="C419" i="3"/>
  <c r="D468" i="3"/>
  <c r="C421" i="3"/>
  <c r="D470" i="3"/>
  <c r="C423" i="3"/>
  <c r="D472" i="3"/>
  <c r="C425" i="3"/>
  <c r="D474" i="3"/>
  <c r="C427" i="3"/>
  <c r="D476" i="3"/>
  <c r="C429" i="3"/>
  <c r="D478" i="3"/>
  <c r="C431" i="3"/>
  <c r="D480" i="3"/>
  <c r="C433" i="3"/>
  <c r="D482" i="3"/>
  <c r="C435" i="3"/>
  <c r="D484" i="3"/>
  <c r="C437" i="3"/>
  <c r="D486" i="3"/>
  <c r="C439" i="3"/>
  <c r="D488" i="3"/>
  <c r="C441" i="3"/>
  <c r="D490" i="3"/>
  <c r="C443" i="3"/>
  <c r="D492" i="3"/>
  <c r="C445" i="3"/>
  <c r="D494" i="3"/>
  <c r="C447" i="3"/>
  <c r="D496" i="3"/>
  <c r="C449" i="3"/>
  <c r="D498" i="3"/>
  <c r="C451" i="3"/>
  <c r="D500" i="3"/>
  <c r="C453" i="3"/>
  <c r="D502" i="3"/>
  <c r="C455" i="3"/>
  <c r="D504" i="3"/>
  <c r="C457" i="3"/>
  <c r="D506" i="3"/>
  <c r="C459" i="3"/>
  <c r="D508" i="3"/>
  <c r="C461" i="3"/>
  <c r="D510" i="3"/>
  <c r="C463" i="3"/>
  <c r="D512" i="3"/>
  <c r="C465" i="3"/>
  <c r="D514" i="3"/>
  <c r="C467" i="3"/>
  <c r="D516" i="3"/>
  <c r="C469" i="3"/>
  <c r="D518" i="3"/>
  <c r="C471" i="3"/>
  <c r="D520" i="3"/>
  <c r="C473" i="3"/>
  <c r="D522" i="3"/>
  <c r="C475" i="3"/>
  <c r="D524" i="3"/>
  <c r="C477" i="3"/>
  <c r="D526" i="3"/>
  <c r="C479" i="3"/>
  <c r="D528" i="3"/>
  <c r="C481" i="3"/>
  <c r="D530" i="3"/>
  <c r="C483" i="3"/>
  <c r="D532" i="3"/>
  <c r="C485" i="3"/>
  <c r="D534" i="3"/>
  <c r="C487" i="3"/>
  <c r="D536" i="3"/>
  <c r="C489" i="3"/>
  <c r="D538" i="3"/>
  <c r="C491" i="3"/>
  <c r="D540" i="3"/>
  <c r="C493" i="3"/>
  <c r="D542" i="3"/>
  <c r="C495" i="3"/>
  <c r="D544" i="3"/>
  <c r="C497" i="3"/>
  <c r="D546" i="3"/>
  <c r="C499" i="3"/>
  <c r="D548" i="3"/>
  <c r="C501" i="3"/>
  <c r="D550" i="3"/>
  <c r="C503" i="3"/>
  <c r="D552" i="3"/>
  <c r="C505" i="3"/>
  <c r="D554" i="3"/>
  <c r="C507" i="3"/>
  <c r="D556" i="3"/>
  <c r="C509" i="3"/>
  <c r="D558" i="3"/>
  <c r="C511" i="3"/>
  <c r="D560" i="3"/>
  <c r="C513" i="3"/>
  <c r="D562" i="3"/>
  <c r="C515" i="3"/>
  <c r="D564" i="3"/>
  <c r="C517" i="3"/>
  <c r="D566" i="3"/>
  <c r="C519" i="3"/>
  <c r="D568" i="3"/>
  <c r="C521" i="3"/>
  <c r="D570" i="3"/>
  <c r="C523" i="3"/>
  <c r="D572" i="3"/>
  <c r="C525" i="3"/>
  <c r="D574" i="3"/>
  <c r="C527" i="3"/>
  <c r="D576" i="3"/>
  <c r="C529" i="3"/>
  <c r="D578" i="3"/>
  <c r="C531" i="3"/>
  <c r="D580" i="3"/>
  <c r="C533" i="3"/>
  <c r="D582" i="3"/>
  <c r="C535" i="3"/>
  <c r="D584" i="3"/>
  <c r="C537" i="3"/>
  <c r="D586" i="3"/>
  <c r="C539" i="3"/>
  <c r="D588" i="3"/>
  <c r="C541" i="3"/>
  <c r="D590" i="3"/>
  <c r="C543" i="3"/>
  <c r="D592" i="3"/>
  <c r="C545" i="3"/>
  <c r="D594" i="3"/>
  <c r="C547" i="3"/>
  <c r="D596" i="3"/>
  <c r="C549" i="3"/>
  <c r="D598" i="3"/>
  <c r="C551" i="3"/>
  <c r="D600" i="3"/>
  <c r="C553" i="3"/>
  <c r="D602" i="3"/>
  <c r="C555" i="3"/>
  <c r="D604" i="3"/>
  <c r="C557" i="3"/>
  <c r="D606" i="3"/>
  <c r="C559" i="3"/>
  <c r="D608" i="3"/>
  <c r="C561" i="3"/>
  <c r="D610" i="3"/>
  <c r="C563" i="3"/>
  <c r="D612" i="3"/>
  <c r="C565" i="3"/>
  <c r="D614" i="3"/>
  <c r="C567" i="3"/>
  <c r="D616" i="3"/>
  <c r="C569" i="3"/>
  <c r="D618" i="3"/>
  <c r="C571" i="3"/>
  <c r="D620" i="3"/>
  <c r="C573" i="3"/>
  <c r="D622" i="3"/>
  <c r="C575" i="3"/>
  <c r="D624" i="3"/>
  <c r="C577" i="3"/>
  <c r="D626" i="3"/>
  <c r="C579" i="3"/>
  <c r="D628" i="3"/>
  <c r="C581" i="3"/>
  <c r="D630" i="3"/>
  <c r="C583" i="3"/>
  <c r="D632" i="3"/>
  <c r="C585" i="3"/>
  <c r="D634" i="3"/>
  <c r="C587" i="3"/>
  <c r="D636" i="3"/>
  <c r="C589" i="3"/>
  <c r="D638" i="3"/>
  <c r="C591" i="3"/>
  <c r="D640" i="3"/>
  <c r="C593" i="3"/>
  <c r="D642" i="3"/>
  <c r="C595" i="3"/>
  <c r="D644" i="3"/>
  <c r="C597" i="3"/>
  <c r="D646" i="3"/>
  <c r="C599" i="3"/>
  <c r="D648" i="3"/>
  <c r="C601" i="3"/>
  <c r="D650" i="3"/>
  <c r="C603" i="3"/>
  <c r="D652" i="3"/>
  <c r="C605" i="3"/>
  <c r="D654" i="3"/>
  <c r="C607" i="3"/>
  <c r="D656" i="3"/>
  <c r="C609" i="3"/>
  <c r="D658" i="3"/>
  <c r="C611" i="3"/>
  <c r="D660" i="3"/>
  <c r="C613" i="3"/>
  <c r="C615" i="3"/>
  <c r="D664" i="3"/>
  <c r="D666" i="3"/>
  <c r="C617" i="3"/>
  <c r="C619" i="3"/>
  <c r="D668" i="3"/>
  <c r="C621" i="3"/>
  <c r="D670" i="3"/>
  <c r="C623" i="3"/>
  <c r="D672" i="3"/>
  <c r="D674" i="3"/>
  <c r="C625" i="3"/>
  <c r="C627" i="3"/>
  <c r="D676" i="3"/>
  <c r="C629" i="3"/>
  <c r="C631" i="3"/>
  <c r="D680" i="3"/>
  <c r="D682" i="3"/>
  <c r="C633" i="3"/>
  <c r="C635" i="3"/>
  <c r="D684" i="3"/>
  <c r="C637" i="3"/>
  <c r="D686" i="3"/>
  <c r="C639" i="3"/>
  <c r="D688" i="3"/>
  <c r="D690" i="3"/>
  <c r="C641" i="3"/>
  <c r="C643" i="3"/>
  <c r="D692" i="3"/>
  <c r="C645" i="3"/>
  <c r="C647" i="3"/>
  <c r="D696" i="3"/>
  <c r="D698" i="3"/>
  <c r="C649" i="3"/>
  <c r="C651" i="3"/>
  <c r="D700" i="3"/>
  <c r="C653" i="3"/>
  <c r="D702" i="3"/>
  <c r="C655" i="3"/>
  <c r="D704" i="3"/>
  <c r="D706" i="3"/>
  <c r="C657" i="3"/>
  <c r="C659" i="3"/>
  <c r="D708" i="3"/>
  <c r="C661" i="3"/>
  <c r="C663" i="3"/>
  <c r="D712" i="3"/>
  <c r="C665" i="3"/>
  <c r="D714" i="3"/>
  <c r="C667" i="3"/>
  <c r="D716" i="3"/>
  <c r="C669" i="3"/>
  <c r="D718" i="3"/>
  <c r="C671" i="3"/>
  <c r="D720" i="3"/>
  <c r="C673" i="3"/>
  <c r="D722" i="3"/>
  <c r="C675" i="3"/>
  <c r="D724" i="3"/>
  <c r="C677" i="3"/>
  <c r="C679" i="3"/>
  <c r="D728" i="3"/>
  <c r="C681" i="3"/>
  <c r="D730" i="3"/>
  <c r="C683" i="3"/>
  <c r="D732" i="3"/>
  <c r="C685" i="3"/>
  <c r="D734" i="3"/>
  <c r="C687" i="3"/>
  <c r="D736" i="3"/>
  <c r="C689" i="3"/>
  <c r="D738" i="3"/>
  <c r="C691" i="3"/>
  <c r="D740" i="3"/>
  <c r="C693" i="3"/>
  <c r="C695" i="3"/>
  <c r="D744" i="3"/>
  <c r="C697" i="3"/>
  <c r="D746" i="3"/>
  <c r="C699" i="3"/>
  <c r="D748" i="3"/>
  <c r="C701" i="3"/>
  <c r="D750" i="3"/>
  <c r="C703" i="3"/>
  <c r="D752" i="3"/>
  <c r="C705" i="3"/>
  <c r="D754" i="3"/>
  <c r="C707" i="3"/>
  <c r="D756" i="3"/>
  <c r="C709" i="3"/>
  <c r="D758" i="3"/>
  <c r="C711" i="3"/>
  <c r="D760" i="3"/>
  <c r="C713" i="3"/>
  <c r="D762" i="3"/>
  <c r="C715" i="3"/>
  <c r="D764" i="3"/>
  <c r="C717" i="3"/>
  <c r="D766" i="3"/>
  <c r="C719" i="3"/>
  <c r="D768" i="3"/>
  <c r="C721" i="3"/>
  <c r="D770" i="3"/>
  <c r="C723" i="3"/>
  <c r="D772" i="3"/>
  <c r="C725" i="3"/>
  <c r="D774" i="3"/>
  <c r="C727" i="3"/>
  <c r="D776" i="3"/>
  <c r="C729" i="3"/>
  <c r="D778" i="3"/>
  <c r="C731" i="3"/>
  <c r="D780" i="3"/>
  <c r="C733" i="3"/>
  <c r="D782" i="3"/>
  <c r="C735" i="3"/>
  <c r="D784" i="3"/>
  <c r="C737" i="3"/>
  <c r="D786" i="3"/>
  <c r="C739" i="3"/>
  <c r="D788" i="3"/>
  <c r="C741" i="3"/>
  <c r="D790" i="3"/>
  <c r="C743" i="3"/>
  <c r="D792" i="3"/>
  <c r="C745" i="3"/>
  <c r="D794" i="3"/>
  <c r="C747" i="3"/>
  <c r="D796" i="3"/>
  <c r="C749" i="3"/>
  <c r="D798" i="3"/>
  <c r="C751" i="3"/>
  <c r="D800" i="3"/>
  <c r="C753" i="3"/>
  <c r="D802" i="3"/>
  <c r="C755" i="3"/>
  <c r="D804" i="3"/>
  <c r="C757" i="3"/>
  <c r="D806" i="3"/>
  <c r="C759" i="3"/>
  <c r="D808" i="3"/>
  <c r="C761" i="3"/>
  <c r="D810" i="3"/>
  <c r="C763" i="3"/>
  <c r="D812" i="3"/>
  <c r="C765" i="3"/>
  <c r="D814" i="3"/>
  <c r="C767" i="3"/>
  <c r="D816" i="3"/>
  <c r="C769" i="3"/>
  <c r="D818" i="3"/>
  <c r="C771" i="3"/>
  <c r="D820" i="3"/>
  <c r="C773" i="3"/>
  <c r="D822" i="3"/>
  <c r="C775" i="3"/>
  <c r="D824" i="3"/>
  <c r="C777" i="3"/>
  <c r="D826" i="3"/>
  <c r="C779" i="3"/>
  <c r="D828" i="3"/>
  <c r="C781" i="3"/>
  <c r="D830" i="3"/>
  <c r="C783" i="3"/>
  <c r="D832" i="3"/>
  <c r="C785" i="3"/>
  <c r="D834" i="3"/>
  <c r="C787" i="3"/>
  <c r="D836" i="3"/>
  <c r="C789" i="3"/>
  <c r="D838" i="3"/>
  <c r="C791" i="3"/>
  <c r="D840" i="3"/>
  <c r="C793" i="3"/>
  <c r="D842" i="3"/>
  <c r="C795" i="3"/>
  <c r="D844" i="3"/>
  <c r="C797" i="3"/>
  <c r="D846" i="3"/>
  <c r="C799" i="3"/>
  <c r="D848" i="3"/>
  <c r="C801" i="3"/>
  <c r="D850" i="3"/>
  <c r="C803" i="3"/>
  <c r="D852" i="3"/>
  <c r="C805" i="3"/>
  <c r="D854" i="3"/>
  <c r="C807" i="3"/>
  <c r="D856" i="3"/>
  <c r="C809" i="3"/>
  <c r="D858" i="3"/>
  <c r="C811" i="3"/>
  <c r="D860" i="3"/>
  <c r="C813" i="3"/>
  <c r="D862" i="3"/>
  <c r="C815" i="3"/>
  <c r="D864" i="3"/>
  <c r="C817" i="3"/>
  <c r="D866" i="3"/>
  <c r="C819" i="3"/>
  <c r="D868" i="3"/>
  <c r="C821" i="3"/>
  <c r="D870" i="3"/>
  <c r="C823" i="3"/>
  <c r="D872" i="3"/>
  <c r="C825" i="3"/>
  <c r="D874" i="3"/>
  <c r="C827" i="3"/>
  <c r="D876" i="3"/>
  <c r="C829" i="3"/>
  <c r="D878" i="3"/>
  <c r="C831" i="3"/>
  <c r="D880" i="3"/>
  <c r="C833" i="3"/>
  <c r="D882" i="3"/>
  <c r="C835" i="3"/>
  <c r="D884" i="3"/>
  <c r="C837" i="3"/>
  <c r="D886" i="3"/>
  <c r="C839" i="3"/>
  <c r="D888" i="3"/>
  <c r="C841" i="3"/>
  <c r="D890" i="3"/>
  <c r="C843" i="3"/>
  <c r="D892" i="3"/>
  <c r="C845" i="3"/>
  <c r="D894" i="3"/>
  <c r="C847" i="3"/>
  <c r="D896" i="3"/>
  <c r="C849" i="3"/>
  <c r="D898" i="3"/>
  <c r="C851" i="3"/>
  <c r="D900" i="3"/>
  <c r="C853" i="3"/>
  <c r="D902" i="3"/>
  <c r="C855" i="3"/>
  <c r="D904" i="3"/>
  <c r="C857" i="3"/>
  <c r="D906" i="3"/>
  <c r="C859" i="3"/>
  <c r="D908" i="3"/>
  <c r="C861" i="3"/>
  <c r="D910" i="3"/>
  <c r="C863" i="3"/>
  <c r="D912" i="3"/>
  <c r="C865" i="3"/>
  <c r="D914" i="3"/>
  <c r="C867" i="3"/>
  <c r="D916" i="3"/>
  <c r="C869" i="3"/>
  <c r="D918" i="3"/>
  <c r="C871" i="3"/>
  <c r="D920" i="3"/>
  <c r="C873" i="3"/>
  <c r="D922" i="3"/>
  <c r="C875" i="3"/>
  <c r="D924" i="3"/>
  <c r="C877" i="3"/>
  <c r="D926" i="3"/>
  <c r="C879" i="3"/>
  <c r="D930" i="3"/>
  <c r="C881" i="3"/>
  <c r="D932" i="3"/>
  <c r="C883" i="3"/>
  <c r="C885" i="3"/>
  <c r="D934" i="3"/>
  <c r="C887" i="3"/>
  <c r="D936" i="3"/>
  <c r="D938" i="3"/>
  <c r="C889" i="3"/>
  <c r="D940" i="3"/>
  <c r="C891" i="3"/>
  <c r="C893" i="3"/>
  <c r="D942" i="3"/>
  <c r="C895" i="3"/>
  <c r="D944" i="3"/>
  <c r="D946" i="3"/>
  <c r="C897" i="3"/>
  <c r="D948" i="3"/>
  <c r="C899" i="3"/>
  <c r="C901" i="3"/>
  <c r="D950" i="3"/>
  <c r="C903" i="3"/>
  <c r="D952" i="3"/>
  <c r="D954" i="3"/>
  <c r="C905" i="3"/>
  <c r="D956" i="3"/>
  <c r="C907" i="3"/>
  <c r="C909" i="3"/>
  <c r="D958" i="3"/>
  <c r="C911" i="3"/>
  <c r="D960" i="3"/>
  <c r="D962" i="3"/>
  <c r="C913" i="3"/>
  <c r="D964" i="3"/>
  <c r="C915" i="3"/>
  <c r="C917" i="3"/>
  <c r="D966" i="3"/>
  <c r="D968" i="3"/>
  <c r="C919" i="3"/>
  <c r="D970" i="3"/>
  <c r="C921" i="3"/>
  <c r="D972" i="3"/>
  <c r="C923" i="3"/>
  <c r="D974" i="3"/>
  <c r="C925" i="3"/>
  <c r="C927" i="3"/>
  <c r="D976" i="3"/>
  <c r="C929" i="3"/>
  <c r="D978" i="3"/>
  <c r="C931" i="3"/>
  <c r="D980" i="3"/>
  <c r="C933" i="3"/>
  <c r="D982" i="3"/>
  <c r="C935" i="3"/>
  <c r="D984" i="3"/>
  <c r="C937" i="3"/>
  <c r="D986" i="3"/>
  <c r="C939" i="3"/>
  <c r="D988" i="3"/>
  <c r="C941" i="3"/>
  <c r="D990" i="3"/>
  <c r="C943" i="3"/>
  <c r="D992" i="3"/>
  <c r="C945" i="3"/>
  <c r="D994" i="3"/>
  <c r="C947" i="3"/>
  <c r="D996" i="3"/>
  <c r="C949" i="3"/>
  <c r="D998" i="3"/>
  <c r="C951" i="3"/>
  <c r="D1000" i="3"/>
  <c r="C953" i="3"/>
  <c r="D1002" i="3"/>
  <c r="C955" i="3"/>
  <c r="D1004" i="3"/>
  <c r="C957" i="3"/>
  <c r="D1006" i="3"/>
  <c r="C959" i="3"/>
  <c r="D1008" i="3"/>
  <c r="C961" i="3"/>
  <c r="D1010" i="3"/>
  <c r="C963" i="3"/>
  <c r="D1012" i="3"/>
  <c r="C965" i="3"/>
  <c r="D1014" i="3"/>
  <c r="C967" i="3"/>
  <c r="D1016" i="3"/>
  <c r="C969" i="3"/>
  <c r="D1018" i="3"/>
  <c r="C971" i="3"/>
  <c r="D1020" i="3"/>
  <c r="C973" i="3"/>
  <c r="D1022" i="3"/>
  <c r="C975" i="3"/>
  <c r="D1024" i="3"/>
  <c r="C977" i="3"/>
  <c r="D1026" i="3"/>
  <c r="C979" i="3"/>
  <c r="D1028" i="3"/>
  <c r="C981" i="3"/>
  <c r="D1030" i="3"/>
  <c r="C983" i="3"/>
  <c r="D1032" i="3"/>
  <c r="C985" i="3"/>
  <c r="D1034" i="3"/>
  <c r="C987" i="3"/>
  <c r="D1036" i="3"/>
  <c r="C989" i="3"/>
  <c r="D1038" i="3"/>
  <c r="C991" i="3"/>
  <c r="D1040" i="3"/>
  <c r="C993" i="3"/>
  <c r="D1042" i="3"/>
  <c r="C995" i="3"/>
  <c r="D1044" i="3"/>
  <c r="C997" i="3"/>
  <c r="D1046" i="3"/>
  <c r="C999" i="3"/>
  <c r="D1048" i="3"/>
  <c r="C1001" i="3"/>
  <c r="D1050" i="3"/>
  <c r="C1003" i="3"/>
  <c r="D1052" i="3"/>
  <c r="C1005" i="3"/>
  <c r="D1054" i="3"/>
  <c r="C1007" i="3"/>
  <c r="D1056" i="3"/>
  <c r="C1009" i="3"/>
  <c r="D1058" i="3"/>
  <c r="C1011" i="3"/>
  <c r="D1060" i="3"/>
  <c r="C1013" i="3"/>
  <c r="D1062" i="3"/>
  <c r="D1064" i="3"/>
  <c r="C1015" i="3"/>
  <c r="D1066" i="3"/>
  <c r="C1017" i="3"/>
  <c r="C1019" i="3"/>
  <c r="D1068" i="3"/>
  <c r="C1021" i="3"/>
  <c r="D1070" i="3"/>
  <c r="D1072" i="3"/>
  <c r="C1023" i="3"/>
  <c r="D1074" i="3"/>
  <c r="C1025" i="3"/>
  <c r="C1027" i="3"/>
  <c r="D1076" i="3"/>
  <c r="C1029" i="3"/>
  <c r="D1078" i="3"/>
  <c r="D1080" i="3"/>
  <c r="C1031" i="3"/>
  <c r="D1082" i="3"/>
  <c r="C1033" i="3"/>
  <c r="C1035" i="3"/>
  <c r="D1084" i="3"/>
  <c r="C1037" i="3"/>
  <c r="D1086" i="3"/>
  <c r="D1088" i="3"/>
  <c r="C1039" i="3"/>
  <c r="D1090" i="3"/>
  <c r="C1041" i="3"/>
  <c r="C1043" i="3"/>
  <c r="D1092" i="3"/>
  <c r="C1045" i="3"/>
  <c r="D1094" i="3"/>
  <c r="D1096" i="3"/>
  <c r="C1047" i="3"/>
  <c r="D1098" i="3"/>
  <c r="C1049" i="3"/>
  <c r="C1051" i="3"/>
  <c r="D1100" i="3"/>
  <c r="C1053" i="3"/>
  <c r="D1102" i="3"/>
  <c r="D1104" i="3"/>
  <c r="C1055" i="3"/>
  <c r="D1106" i="3"/>
  <c r="C1057" i="3"/>
  <c r="C1059" i="3"/>
  <c r="D1108" i="3"/>
  <c r="C1061" i="3"/>
  <c r="D1110" i="3"/>
  <c r="D1112" i="3"/>
  <c r="C1063" i="3"/>
  <c r="D1114" i="3"/>
  <c r="C1065" i="3"/>
  <c r="C1067" i="3"/>
  <c r="D1116" i="3"/>
  <c r="C1069" i="3"/>
  <c r="D1118" i="3"/>
  <c r="D1120" i="3"/>
  <c r="C1071" i="3"/>
  <c r="D1122" i="3"/>
  <c r="C1073" i="3"/>
  <c r="C1075" i="3"/>
  <c r="D1124" i="3"/>
  <c r="C1077" i="3"/>
  <c r="D1126" i="3"/>
  <c r="D1128" i="3"/>
  <c r="C1079" i="3"/>
  <c r="D1130" i="3"/>
  <c r="C1081" i="3"/>
  <c r="D1132" i="3"/>
  <c r="C1083" i="3"/>
  <c r="D1134" i="3"/>
  <c r="C1085" i="3"/>
  <c r="D1136" i="3"/>
  <c r="C1087" i="3"/>
  <c r="D1138" i="3"/>
  <c r="C1089" i="3"/>
  <c r="D1140" i="3"/>
  <c r="C1091" i="3"/>
  <c r="D1142" i="3"/>
  <c r="C1093" i="3"/>
  <c r="D1144" i="3"/>
  <c r="C1095" i="3"/>
  <c r="D1146" i="3"/>
  <c r="C1097" i="3"/>
  <c r="D1148" i="3"/>
  <c r="C1099" i="3"/>
  <c r="D1150" i="3"/>
  <c r="C1101" i="3"/>
  <c r="D1152" i="3"/>
  <c r="C1103" i="3"/>
  <c r="D1154" i="3"/>
  <c r="C1105" i="3"/>
  <c r="D1156" i="3"/>
  <c r="C1107" i="3"/>
  <c r="D1158" i="3"/>
  <c r="C1109" i="3"/>
  <c r="D1160" i="3"/>
  <c r="C1111" i="3"/>
  <c r="D1162" i="3"/>
  <c r="C1113" i="3"/>
  <c r="D1164" i="3"/>
  <c r="C1115" i="3"/>
  <c r="D1166" i="3"/>
  <c r="C1117" i="3"/>
  <c r="D1168" i="3"/>
  <c r="C1119" i="3"/>
  <c r="D1170" i="3"/>
  <c r="C1121" i="3"/>
  <c r="D1172" i="3"/>
  <c r="C1123" i="3"/>
  <c r="D1174" i="3"/>
  <c r="C1125" i="3"/>
  <c r="D1176" i="3"/>
  <c r="C1127" i="3"/>
  <c r="D1178" i="3"/>
  <c r="C1129" i="3"/>
  <c r="D1180" i="3"/>
  <c r="C1131" i="3"/>
  <c r="D1182" i="3"/>
  <c r="C1133" i="3"/>
  <c r="D1184" i="3"/>
  <c r="C1135" i="3"/>
  <c r="D1186" i="3"/>
  <c r="C1137" i="3"/>
  <c r="D1188" i="3"/>
  <c r="C1139" i="3"/>
  <c r="D1190" i="3"/>
  <c r="C1141" i="3"/>
  <c r="D1192" i="3"/>
  <c r="C1143" i="3"/>
  <c r="D1194" i="3"/>
  <c r="C1145" i="3"/>
  <c r="D1196" i="3"/>
  <c r="C1147" i="3"/>
  <c r="D1198" i="3"/>
  <c r="C1149" i="3"/>
  <c r="D1200" i="3"/>
  <c r="C1151" i="3"/>
  <c r="D1202" i="3"/>
  <c r="C1153" i="3"/>
  <c r="D1204" i="3"/>
  <c r="C1155" i="3"/>
  <c r="D1206" i="3"/>
  <c r="C1157" i="3"/>
  <c r="D1208" i="3"/>
  <c r="C1159" i="3"/>
  <c r="D1210" i="3"/>
  <c r="C1161" i="3"/>
  <c r="D1212" i="3"/>
  <c r="C1163" i="3"/>
  <c r="D1214" i="3"/>
  <c r="C1165" i="3"/>
  <c r="D1216" i="3"/>
  <c r="C1167" i="3"/>
  <c r="D1218" i="3"/>
  <c r="C1169" i="3"/>
  <c r="D1220" i="3"/>
  <c r="C1171" i="3"/>
  <c r="D1222" i="3"/>
  <c r="C1173" i="3"/>
  <c r="D1224" i="3"/>
  <c r="C1175" i="3"/>
  <c r="D1226" i="3"/>
  <c r="C1177" i="3"/>
  <c r="D1228" i="3"/>
  <c r="C1179" i="3"/>
  <c r="D1230" i="3"/>
  <c r="C1181" i="3"/>
  <c r="C1183" i="3"/>
  <c r="C1185" i="3"/>
  <c r="C1187" i="3"/>
  <c r="C1189" i="3"/>
  <c r="C1191" i="3"/>
  <c r="C1193" i="3"/>
  <c r="C1195" i="3"/>
  <c r="C1197" i="3"/>
  <c r="C1199" i="3"/>
  <c r="C1201" i="3"/>
  <c r="C1203" i="3"/>
  <c r="C1205" i="3"/>
  <c r="C1207" i="3"/>
  <c r="C1209" i="3"/>
  <c r="C1211" i="3"/>
  <c r="C1213" i="3"/>
  <c r="C1215" i="3"/>
  <c r="C1217" i="3"/>
  <c r="C1219" i="3"/>
  <c r="C1221" i="3"/>
  <c r="C1223" i="3"/>
  <c r="C1225" i="3"/>
  <c r="C1227" i="3"/>
  <c r="C1229" i="3"/>
  <c r="D422" i="3"/>
  <c r="D710" i="3"/>
  <c r="D414" i="3"/>
  <c r="D446" i="3"/>
  <c r="D694" i="3"/>
  <c r="D103" i="2"/>
  <c r="C54" i="2"/>
  <c r="D52" i="2"/>
  <c r="D54" i="2"/>
  <c r="C5" i="2"/>
  <c r="D56" i="2"/>
  <c r="C9" i="2"/>
  <c r="D60" i="2"/>
  <c r="D62" i="2"/>
  <c r="C13" i="2"/>
  <c r="D64" i="2"/>
  <c r="C17" i="2"/>
  <c r="D68" i="2"/>
  <c r="D70" i="2"/>
  <c r="C21" i="2"/>
  <c r="D72" i="2"/>
  <c r="C25" i="2"/>
  <c r="D76" i="2"/>
  <c r="D78" i="2"/>
  <c r="C29" i="2"/>
  <c r="D80" i="2"/>
  <c r="C33" i="2"/>
  <c r="D84" i="2"/>
  <c r="D86" i="2"/>
  <c r="C37" i="2"/>
  <c r="C39" i="2"/>
  <c r="D88" i="2"/>
  <c r="C41" i="2"/>
  <c r="C43" i="2"/>
  <c r="D92" i="2"/>
  <c r="D94" i="2"/>
  <c r="C47" i="2"/>
  <c r="D96" i="2"/>
  <c r="C49" i="2"/>
  <c r="C51" i="2"/>
  <c r="D100" i="2"/>
  <c r="C53" i="2"/>
  <c r="D102" i="2"/>
  <c r="C55" i="2"/>
  <c r="D104" i="2"/>
  <c r="C57" i="2"/>
  <c r="C59" i="2"/>
  <c r="D108" i="2"/>
  <c r="C61" i="2"/>
  <c r="D110" i="2"/>
  <c r="C63" i="2"/>
  <c r="D112" i="2"/>
  <c r="C65" i="2"/>
  <c r="C67" i="2"/>
  <c r="D116" i="2"/>
  <c r="C69" i="2"/>
  <c r="D118" i="2"/>
  <c r="C71" i="2"/>
  <c r="D120" i="2"/>
  <c r="C73" i="2"/>
  <c r="C75" i="2"/>
  <c r="D124" i="2"/>
  <c r="C77" i="2"/>
  <c r="D126" i="2"/>
  <c r="C79" i="2"/>
  <c r="D128" i="2"/>
  <c r="C81" i="2"/>
  <c r="C83" i="2"/>
  <c r="D132" i="2"/>
  <c r="C85" i="2"/>
  <c r="D134" i="2"/>
  <c r="C87" i="2"/>
  <c r="D136" i="2"/>
  <c r="C89" i="2"/>
  <c r="C91" i="2"/>
  <c r="D140" i="2"/>
  <c r="C93" i="2"/>
  <c r="D142" i="2"/>
  <c r="C95" i="2"/>
  <c r="D144" i="2"/>
  <c r="C97" i="2"/>
  <c r="C99" i="2"/>
  <c r="D148" i="2"/>
  <c r="C101" i="2"/>
  <c r="D150" i="2"/>
  <c r="C103" i="2"/>
  <c r="D152" i="2"/>
  <c r="C105" i="2"/>
  <c r="C107" i="2"/>
  <c r="D156" i="2"/>
  <c r="C109" i="2"/>
  <c r="D158" i="2"/>
  <c r="C111" i="2"/>
  <c r="D160" i="2"/>
  <c r="C113" i="2"/>
  <c r="C115" i="2"/>
  <c r="D164" i="2"/>
  <c r="C117" i="2"/>
  <c r="D166" i="2"/>
  <c r="C119" i="2"/>
  <c r="D168" i="2"/>
  <c r="C121" i="2"/>
  <c r="D170" i="2"/>
  <c r="C123" i="2"/>
  <c r="D172" i="2"/>
  <c r="C125" i="2"/>
  <c r="D174" i="2"/>
  <c r="C127" i="2"/>
  <c r="D176" i="2"/>
  <c r="C129" i="2"/>
  <c r="D178" i="2"/>
  <c r="C131" i="2"/>
  <c r="D180" i="2"/>
  <c r="C133" i="2"/>
  <c r="D182" i="2"/>
  <c r="C135" i="2"/>
  <c r="D184" i="2"/>
  <c r="C137" i="2"/>
  <c r="D186" i="2"/>
  <c r="C139" i="2"/>
  <c r="D188" i="2"/>
  <c r="C141" i="2"/>
  <c r="D190" i="2"/>
  <c r="C143" i="2"/>
  <c r="D192" i="2"/>
  <c r="C145" i="2"/>
  <c r="D194" i="2"/>
  <c r="C147" i="2"/>
  <c r="D196" i="2"/>
  <c r="C149" i="2"/>
  <c r="D198" i="2"/>
  <c r="C151" i="2"/>
  <c r="D200" i="2"/>
  <c r="C153" i="2"/>
  <c r="D202" i="2"/>
  <c r="C155" i="2"/>
  <c r="D204" i="2"/>
  <c r="C157" i="2"/>
  <c r="D206" i="2"/>
  <c r="C159" i="2"/>
  <c r="D208" i="2"/>
  <c r="C161" i="2"/>
  <c r="D210" i="2"/>
  <c r="C163" i="2"/>
  <c r="D212" i="2"/>
  <c r="C165" i="2"/>
  <c r="D214" i="2"/>
  <c r="C167" i="2"/>
  <c r="D216" i="2"/>
  <c r="C169" i="2"/>
  <c r="D218" i="2"/>
  <c r="C171" i="2"/>
  <c r="D220" i="2"/>
  <c r="C173" i="2"/>
  <c r="D222" i="2"/>
  <c r="C175" i="2"/>
  <c r="D224" i="2"/>
  <c r="C177" i="2"/>
  <c r="D226" i="2"/>
  <c r="C179" i="2"/>
  <c r="D228" i="2"/>
  <c r="C181" i="2"/>
  <c r="D230" i="2"/>
  <c r="C183" i="2"/>
  <c r="D232" i="2"/>
  <c r="C185" i="2"/>
  <c r="D234" i="2"/>
  <c r="C187" i="2"/>
  <c r="D236" i="2"/>
  <c r="C189" i="2"/>
  <c r="D238" i="2"/>
  <c r="C191" i="2"/>
  <c r="D240" i="2"/>
  <c r="C193" i="2"/>
  <c r="D242" i="2"/>
  <c r="C195" i="2"/>
  <c r="D244" i="2"/>
  <c r="C197" i="2"/>
  <c r="D246" i="2"/>
  <c r="C199" i="2"/>
  <c r="D248" i="2"/>
  <c r="C201" i="2"/>
  <c r="D250" i="2"/>
  <c r="C203" i="2"/>
  <c r="D252" i="2"/>
  <c r="C205" i="2"/>
  <c r="D254" i="2"/>
  <c r="C207" i="2"/>
  <c r="D256" i="2"/>
  <c r="C209" i="2"/>
  <c r="D258" i="2"/>
  <c r="C211" i="2"/>
  <c r="D260" i="2"/>
  <c r="C213" i="2"/>
  <c r="D262" i="2"/>
  <c r="C215" i="2"/>
  <c r="D264" i="2"/>
  <c r="C217" i="2"/>
  <c r="D266" i="2"/>
  <c r="C219" i="2"/>
  <c r="D268" i="2"/>
  <c r="C221" i="2"/>
  <c r="D270" i="2"/>
  <c r="C223" i="2"/>
  <c r="D272" i="2"/>
  <c r="C225" i="2"/>
  <c r="D274" i="2"/>
  <c r="C227" i="2"/>
  <c r="D276" i="2"/>
  <c r="C229" i="2"/>
  <c r="D278" i="2"/>
  <c r="C231" i="2"/>
  <c r="D280" i="2"/>
  <c r="C233" i="2"/>
  <c r="D282" i="2"/>
  <c r="C235" i="2"/>
  <c r="D284" i="2"/>
  <c r="C237" i="2"/>
  <c r="D286" i="2"/>
  <c r="C239" i="2"/>
  <c r="D288" i="2"/>
  <c r="C241" i="2"/>
  <c r="D290" i="2"/>
  <c r="C243" i="2"/>
  <c r="D292" i="2"/>
  <c r="C245" i="2"/>
  <c r="D294" i="2"/>
  <c r="C247" i="2"/>
  <c r="D296" i="2"/>
  <c r="C249" i="2"/>
  <c r="D298" i="2"/>
  <c r="C251" i="2"/>
  <c r="D300" i="2"/>
  <c r="C253" i="2"/>
  <c r="D302" i="2"/>
  <c r="C255" i="2"/>
  <c r="D304" i="2"/>
  <c r="C257" i="2"/>
  <c r="D306" i="2"/>
  <c r="C259" i="2"/>
  <c r="D308" i="2"/>
  <c r="C261" i="2"/>
  <c r="D310" i="2"/>
  <c r="C263" i="2"/>
  <c r="D312" i="2"/>
  <c r="C265" i="2"/>
  <c r="D314" i="2"/>
  <c r="C267" i="2"/>
  <c r="D316" i="2"/>
  <c r="C269" i="2"/>
  <c r="D318" i="2"/>
  <c r="C271" i="2"/>
  <c r="D320" i="2"/>
  <c r="C273" i="2"/>
  <c r="D322" i="2"/>
  <c r="C275" i="2"/>
  <c r="D324" i="2"/>
  <c r="C277" i="2"/>
  <c r="D326" i="2"/>
  <c r="C279" i="2"/>
  <c r="D328" i="2"/>
  <c r="C281" i="2"/>
  <c r="D330" i="2"/>
  <c r="C283" i="2"/>
  <c r="D332" i="2"/>
  <c r="C285" i="2"/>
  <c r="D334" i="2"/>
  <c r="C287" i="2"/>
  <c r="D336" i="2"/>
  <c r="C289" i="2"/>
  <c r="D338" i="2"/>
  <c r="C291" i="2"/>
  <c r="D340" i="2"/>
  <c r="C293" i="2"/>
  <c r="D342" i="2"/>
  <c r="C295" i="2"/>
  <c r="D344" i="2"/>
  <c r="D348" i="2"/>
  <c r="D354" i="2"/>
  <c r="D362" i="2"/>
  <c r="D370" i="2"/>
  <c r="D378" i="2"/>
  <c r="D386" i="2"/>
  <c r="D394" i="2"/>
  <c r="D402" i="2"/>
  <c r="D410" i="2"/>
  <c r="D418" i="2"/>
  <c r="D426" i="2"/>
  <c r="D434" i="2"/>
  <c r="D442" i="2"/>
  <c r="D450" i="2"/>
  <c r="D458" i="2"/>
  <c r="D466" i="2"/>
  <c r="D474" i="2"/>
  <c r="D482" i="2"/>
  <c r="D490" i="2"/>
  <c r="C15" i="2"/>
  <c r="C31" i="2"/>
  <c r="D61" i="2"/>
  <c r="C72" i="2"/>
  <c r="D82" i="2"/>
  <c r="D93" i="2"/>
  <c r="C104" i="2"/>
  <c r="D114" i="2"/>
  <c r="D125" i="2"/>
  <c r="C136" i="2"/>
  <c r="D146" i="2"/>
  <c r="D157" i="2"/>
  <c r="C168" i="2"/>
  <c r="C184" i="2"/>
  <c r="C200" i="2"/>
  <c r="C216" i="2"/>
  <c r="C232" i="2"/>
  <c r="C248" i="2"/>
  <c r="C264" i="2"/>
  <c r="C280" i="2"/>
  <c r="C296" i="2"/>
  <c r="C312" i="2"/>
  <c r="C328" i="2"/>
  <c r="C344" i="2"/>
  <c r="D368" i="2"/>
  <c r="C3" i="2"/>
  <c r="C19" i="2"/>
  <c r="C35" i="2"/>
  <c r="D53" i="2"/>
  <c r="C64" i="2"/>
  <c r="D74" i="2"/>
  <c r="D85" i="2"/>
  <c r="C96" i="2"/>
  <c r="D106" i="2"/>
  <c r="D117" i="2"/>
  <c r="C128" i="2"/>
  <c r="D138" i="2"/>
  <c r="D149" i="2"/>
  <c r="C160" i="2"/>
  <c r="C172" i="2"/>
  <c r="C188" i="2"/>
  <c r="C204" i="2"/>
  <c r="C220" i="2"/>
  <c r="C236" i="2"/>
  <c r="C252" i="2"/>
  <c r="C268" i="2"/>
  <c r="C284" i="2"/>
  <c r="C300" i="2"/>
  <c r="C316" i="2"/>
  <c r="C332" i="2"/>
  <c r="C348" i="2"/>
  <c r="D376" i="2"/>
  <c r="D55" i="2"/>
  <c r="C6" i="2"/>
  <c r="D57" i="2"/>
  <c r="C8" i="2"/>
  <c r="C10" i="2"/>
  <c r="D59" i="2"/>
  <c r="D63" i="2"/>
  <c r="C14" i="2"/>
  <c r="D65" i="2"/>
  <c r="C16" i="2"/>
  <c r="C18" i="2"/>
  <c r="D67" i="2"/>
  <c r="D71" i="2"/>
  <c r="C22" i="2"/>
  <c r="D73" i="2"/>
  <c r="C24" i="2"/>
  <c r="C26" i="2"/>
  <c r="D75" i="2"/>
  <c r="D79" i="2"/>
  <c r="C30" i="2"/>
  <c r="D81" i="2"/>
  <c r="C32" i="2"/>
  <c r="C34" i="2"/>
  <c r="D83" i="2"/>
  <c r="D87" i="2"/>
  <c r="C38" i="2"/>
  <c r="D89" i="2"/>
  <c r="C42" i="2"/>
  <c r="D91" i="2"/>
  <c r="D95" i="2"/>
  <c r="C46" i="2"/>
  <c r="D97" i="2"/>
  <c r="C48" i="2"/>
  <c r="D99" i="2"/>
  <c r="C58" i="2"/>
  <c r="D107" i="2"/>
  <c r="D111" i="2"/>
  <c r="C62" i="2"/>
  <c r="C66" i="2"/>
  <c r="D115" i="2"/>
  <c r="D119" i="2"/>
  <c r="C70" i="2"/>
  <c r="C74" i="2"/>
  <c r="D123" i="2"/>
  <c r="D127" i="2"/>
  <c r="C78" i="2"/>
  <c r="C82" i="2"/>
  <c r="D131" i="2"/>
  <c r="D135" i="2"/>
  <c r="C86" i="2"/>
  <c r="C90" i="2"/>
  <c r="D139" i="2"/>
  <c r="D143" i="2"/>
  <c r="C94" i="2"/>
  <c r="C98" i="2"/>
  <c r="D147" i="2"/>
  <c r="D151" i="2"/>
  <c r="C102" i="2"/>
  <c r="C106" i="2"/>
  <c r="D155" i="2"/>
  <c r="D159" i="2"/>
  <c r="C110" i="2"/>
  <c r="C114" i="2"/>
  <c r="D163" i="2"/>
  <c r="D167" i="2"/>
  <c r="C118" i="2"/>
  <c r="D171" i="2"/>
  <c r="C122" i="2"/>
  <c r="D173" i="2"/>
  <c r="C124" i="2"/>
  <c r="D175" i="2"/>
  <c r="C126" i="2"/>
  <c r="D179" i="2"/>
  <c r="C130" i="2"/>
  <c r="D181" i="2"/>
  <c r="C132" i="2"/>
  <c r="D183" i="2"/>
  <c r="C134" i="2"/>
  <c r="D187" i="2"/>
  <c r="C138" i="2"/>
  <c r="D189" i="2"/>
  <c r="C140" i="2"/>
  <c r="D191" i="2"/>
  <c r="C142" i="2"/>
  <c r="D195" i="2"/>
  <c r="C146" i="2"/>
  <c r="D197" i="2"/>
  <c r="C148" i="2"/>
  <c r="D199" i="2"/>
  <c r="C150" i="2"/>
  <c r="D203" i="2"/>
  <c r="C154" i="2"/>
  <c r="D205" i="2"/>
  <c r="C156" i="2"/>
  <c r="D207" i="2"/>
  <c r="C158" i="2"/>
  <c r="D211" i="2"/>
  <c r="C162" i="2"/>
  <c r="D213" i="2"/>
  <c r="C164" i="2"/>
  <c r="D215" i="2"/>
  <c r="C166" i="2"/>
  <c r="D219" i="2"/>
  <c r="C170" i="2"/>
  <c r="D223" i="2"/>
  <c r="C174" i="2"/>
  <c r="D227" i="2"/>
  <c r="C178" i="2"/>
  <c r="D231" i="2"/>
  <c r="C182" i="2"/>
  <c r="D235" i="2"/>
  <c r="C186" i="2"/>
  <c r="D239" i="2"/>
  <c r="C190" i="2"/>
  <c r="D243" i="2"/>
  <c r="C194" i="2"/>
  <c r="D247" i="2"/>
  <c r="C198" i="2"/>
  <c r="D251" i="2"/>
  <c r="C202" i="2"/>
  <c r="D255" i="2"/>
  <c r="C206" i="2"/>
  <c r="D259" i="2"/>
  <c r="C210" i="2"/>
  <c r="D263" i="2"/>
  <c r="C214" i="2"/>
  <c r="D267" i="2"/>
  <c r="C218" i="2"/>
  <c r="D271" i="2"/>
  <c r="C222" i="2"/>
  <c r="D275" i="2"/>
  <c r="C226" i="2"/>
  <c r="D279" i="2"/>
  <c r="C230" i="2"/>
  <c r="D283" i="2"/>
  <c r="C234" i="2"/>
  <c r="D287" i="2"/>
  <c r="C238" i="2"/>
  <c r="D291" i="2"/>
  <c r="C242" i="2"/>
  <c r="D295" i="2"/>
  <c r="C246" i="2"/>
  <c r="D299" i="2"/>
  <c r="C250" i="2"/>
  <c r="D303" i="2"/>
  <c r="C254" i="2"/>
  <c r="D307" i="2"/>
  <c r="C258" i="2"/>
  <c r="D311" i="2"/>
  <c r="C262" i="2"/>
  <c r="D315" i="2"/>
  <c r="C266" i="2"/>
  <c r="D319" i="2"/>
  <c r="C270" i="2"/>
  <c r="D323" i="2"/>
  <c r="C274" i="2"/>
  <c r="D327" i="2"/>
  <c r="C278" i="2"/>
  <c r="D331" i="2"/>
  <c r="C282" i="2"/>
  <c r="D335" i="2"/>
  <c r="C286" i="2"/>
  <c r="D339" i="2"/>
  <c r="C290" i="2"/>
  <c r="D343" i="2"/>
  <c r="C294" i="2"/>
  <c r="D347" i="2"/>
  <c r="C298" i="2"/>
  <c r="D351" i="2"/>
  <c r="C302" i="2"/>
  <c r="D355" i="2"/>
  <c r="C306" i="2"/>
  <c r="D359" i="2"/>
  <c r="C310" i="2"/>
  <c r="D363" i="2"/>
  <c r="C314" i="2"/>
  <c r="D367" i="2"/>
  <c r="C318" i="2"/>
  <c r="D371" i="2"/>
  <c r="C322" i="2"/>
  <c r="D375" i="2"/>
  <c r="C326" i="2"/>
  <c r="D379" i="2"/>
  <c r="C330" i="2"/>
  <c r="D383" i="2"/>
  <c r="C334" i="2"/>
  <c r="D387" i="2"/>
  <c r="C338" i="2"/>
  <c r="D391" i="2"/>
  <c r="C342" i="2"/>
  <c r="D395" i="2"/>
  <c r="C346" i="2"/>
  <c r="D399" i="2"/>
  <c r="C350" i="2"/>
  <c r="C352" i="2"/>
  <c r="D401" i="2"/>
  <c r="C354" i="2"/>
  <c r="D403" i="2"/>
  <c r="C356" i="2"/>
  <c r="D405" i="2"/>
  <c r="C358" i="2"/>
  <c r="D407" i="2"/>
  <c r="C360" i="2"/>
  <c r="D409" i="2"/>
  <c r="C362" i="2"/>
  <c r="D411" i="2"/>
  <c r="C364" i="2"/>
  <c r="D413" i="2"/>
  <c r="C366" i="2"/>
  <c r="D415" i="2"/>
  <c r="C368" i="2"/>
  <c r="D417" i="2"/>
  <c r="C370" i="2"/>
  <c r="D419" i="2"/>
  <c r="C372" i="2"/>
  <c r="D421" i="2"/>
  <c r="C374" i="2"/>
  <c r="D423" i="2"/>
  <c r="C376" i="2"/>
  <c r="D425" i="2"/>
  <c r="C378" i="2"/>
  <c r="D427" i="2"/>
  <c r="C380" i="2"/>
  <c r="D429" i="2"/>
  <c r="C382" i="2"/>
  <c r="D431" i="2"/>
  <c r="C384" i="2"/>
  <c r="D433" i="2"/>
  <c r="C386" i="2"/>
  <c r="D435" i="2"/>
  <c r="C388" i="2"/>
  <c r="D437" i="2"/>
  <c r="C390" i="2"/>
  <c r="D439" i="2"/>
  <c r="C392" i="2"/>
  <c r="D441" i="2"/>
  <c r="C394" i="2"/>
  <c r="D443" i="2"/>
  <c r="C396" i="2"/>
  <c r="D445" i="2"/>
  <c r="C398" i="2"/>
  <c r="D447" i="2"/>
  <c r="C400" i="2"/>
  <c r="D449" i="2"/>
  <c r="C402" i="2"/>
  <c r="D451" i="2"/>
  <c r="C404" i="2"/>
  <c r="D453" i="2"/>
  <c r="C406" i="2"/>
  <c r="D455" i="2"/>
  <c r="C408" i="2"/>
  <c r="D457" i="2"/>
  <c r="C410" i="2"/>
  <c r="D459" i="2"/>
  <c r="C412" i="2"/>
  <c r="D461" i="2"/>
  <c r="C414" i="2"/>
  <c r="D463" i="2"/>
  <c r="C416" i="2"/>
  <c r="D465" i="2"/>
  <c r="C418" i="2"/>
  <c r="D467" i="2"/>
  <c r="C420" i="2"/>
  <c r="D469" i="2"/>
  <c r="C422" i="2"/>
  <c r="D471" i="2"/>
  <c r="C424" i="2"/>
  <c r="D473" i="2"/>
  <c r="C426" i="2"/>
  <c r="D475" i="2"/>
  <c r="C428" i="2"/>
  <c r="D477" i="2"/>
  <c r="C430" i="2"/>
  <c r="D479" i="2"/>
  <c r="C432" i="2"/>
  <c r="D481" i="2"/>
  <c r="C434" i="2"/>
  <c r="D483" i="2"/>
  <c r="C436" i="2"/>
  <c r="D485" i="2"/>
  <c r="C438" i="2"/>
  <c r="D487" i="2"/>
  <c r="C440" i="2"/>
  <c r="D489" i="2"/>
  <c r="C442" i="2"/>
  <c r="D491" i="2"/>
  <c r="C444" i="2"/>
  <c r="D493" i="2"/>
  <c r="C446" i="2"/>
  <c r="D495" i="2"/>
  <c r="C448" i="2"/>
  <c r="D497" i="2"/>
  <c r="C450" i="2"/>
  <c r="D499" i="2"/>
  <c r="C452" i="2"/>
  <c r="D501" i="2"/>
  <c r="C454" i="2"/>
  <c r="D503" i="2"/>
  <c r="C456" i="2"/>
  <c r="D505" i="2"/>
  <c r="C458" i="2"/>
  <c r="D507" i="2"/>
  <c r="C460" i="2"/>
  <c r="D509" i="2"/>
  <c r="C462" i="2"/>
  <c r="D511" i="2"/>
  <c r="C464" i="2"/>
  <c r="D513" i="2"/>
  <c r="C466" i="2"/>
  <c r="D515" i="2"/>
  <c r="C468" i="2"/>
  <c r="D517" i="2"/>
  <c r="C470" i="2"/>
  <c r="D519" i="2"/>
  <c r="C472" i="2"/>
  <c r="D521" i="2"/>
  <c r="C474" i="2"/>
  <c r="D523" i="2"/>
  <c r="C476" i="2"/>
  <c r="D525" i="2"/>
  <c r="C478" i="2"/>
  <c r="D527" i="2"/>
  <c r="C480" i="2"/>
  <c r="D529" i="2"/>
  <c r="C482" i="2"/>
  <c r="D531" i="2"/>
  <c r="C484" i="2"/>
  <c r="D533" i="2"/>
  <c r="C486" i="2"/>
  <c r="D535" i="2"/>
  <c r="C488" i="2"/>
  <c r="D537" i="2"/>
  <c r="C490" i="2"/>
  <c r="D539" i="2"/>
  <c r="D541" i="2"/>
  <c r="C492" i="2"/>
  <c r="C494" i="2"/>
  <c r="D543" i="2"/>
  <c r="C496" i="2"/>
  <c r="D545" i="2"/>
  <c r="C498" i="2"/>
  <c r="D547" i="2"/>
  <c r="D549" i="2"/>
  <c r="C500" i="2"/>
  <c r="C502" i="2"/>
  <c r="D551" i="2"/>
  <c r="C504" i="2"/>
  <c r="D553" i="2"/>
  <c r="C506" i="2"/>
  <c r="D555" i="2"/>
  <c r="D557" i="2"/>
  <c r="C508" i="2"/>
  <c r="C510" i="2"/>
  <c r="D559" i="2"/>
  <c r="C512" i="2"/>
  <c r="D561" i="2"/>
  <c r="C514" i="2"/>
  <c r="D563" i="2"/>
  <c r="D565" i="2"/>
  <c r="C516" i="2"/>
  <c r="C518" i="2"/>
  <c r="D567" i="2"/>
  <c r="C520" i="2"/>
  <c r="D569" i="2"/>
  <c r="C522" i="2"/>
  <c r="D571" i="2"/>
  <c r="D573" i="2"/>
  <c r="C524" i="2"/>
  <c r="C526" i="2"/>
  <c r="D575" i="2"/>
  <c r="C528" i="2"/>
  <c r="D577" i="2"/>
  <c r="C530" i="2"/>
  <c r="D579" i="2"/>
  <c r="D581" i="2"/>
  <c r="C532" i="2"/>
  <c r="C534" i="2"/>
  <c r="D583" i="2"/>
  <c r="C536" i="2"/>
  <c r="D585" i="2"/>
  <c r="C538" i="2"/>
  <c r="D587" i="2"/>
  <c r="C540" i="2"/>
  <c r="D589" i="2"/>
  <c r="C542" i="2"/>
  <c r="D591" i="2"/>
  <c r="C544" i="2"/>
  <c r="D593" i="2"/>
  <c r="C546" i="2"/>
  <c r="D595" i="2"/>
  <c r="C548" i="2"/>
  <c r="D597" i="2"/>
  <c r="C550" i="2"/>
  <c r="D599" i="2"/>
  <c r="C552" i="2"/>
  <c r="D601" i="2"/>
  <c r="C554" i="2"/>
  <c r="D603" i="2"/>
  <c r="C556" i="2"/>
  <c r="D605" i="2"/>
  <c r="C558" i="2"/>
  <c r="D607" i="2"/>
  <c r="C560" i="2"/>
  <c r="D609" i="2"/>
  <c r="C562" i="2"/>
  <c r="D611" i="2"/>
  <c r="C564" i="2"/>
  <c r="D613" i="2"/>
  <c r="C566" i="2"/>
  <c r="D615" i="2"/>
  <c r="C568" i="2"/>
  <c r="D617" i="2"/>
  <c r="C570" i="2"/>
  <c r="D619" i="2"/>
  <c r="C572" i="2"/>
  <c r="D621" i="2"/>
  <c r="C574" i="2"/>
  <c r="D623" i="2"/>
  <c r="C576" i="2"/>
  <c r="D625" i="2"/>
  <c r="C578" i="2"/>
  <c r="D627" i="2"/>
  <c r="C580" i="2"/>
  <c r="D629" i="2"/>
  <c r="C582" i="2"/>
  <c r="D631" i="2"/>
  <c r="C584" i="2"/>
  <c r="D633" i="2"/>
  <c r="C586" i="2"/>
  <c r="D635" i="2"/>
  <c r="C588" i="2"/>
  <c r="D637" i="2"/>
  <c r="C590" i="2"/>
  <c r="D639" i="2"/>
  <c r="C592" i="2"/>
  <c r="D641" i="2"/>
  <c r="C594" i="2"/>
  <c r="D643" i="2"/>
  <c r="C596" i="2"/>
  <c r="D645" i="2"/>
  <c r="C598" i="2"/>
  <c r="D647" i="2"/>
  <c r="C600" i="2"/>
  <c r="D649" i="2"/>
  <c r="C602" i="2"/>
  <c r="D651" i="2"/>
  <c r="C604" i="2"/>
  <c r="D653" i="2"/>
  <c r="C606" i="2"/>
  <c r="D655" i="2"/>
  <c r="C608" i="2"/>
  <c r="D657" i="2"/>
  <c r="C610" i="2"/>
  <c r="D659" i="2"/>
  <c r="C612" i="2"/>
  <c r="D661" i="2"/>
  <c r="C614" i="2"/>
  <c r="D663" i="2"/>
  <c r="C616" i="2"/>
  <c r="D665" i="2"/>
  <c r="C618" i="2"/>
  <c r="D667" i="2"/>
  <c r="C620" i="2"/>
  <c r="D669" i="2"/>
  <c r="C622" i="2"/>
  <c r="D671" i="2"/>
  <c r="C624" i="2"/>
  <c r="D673" i="2"/>
  <c r="C626" i="2"/>
  <c r="D675" i="2"/>
  <c r="C628" i="2"/>
  <c r="D677" i="2"/>
  <c r="C630" i="2"/>
  <c r="D679" i="2"/>
  <c r="C632" i="2"/>
  <c r="D681" i="2"/>
  <c r="C634" i="2"/>
  <c r="D683" i="2"/>
  <c r="C636" i="2"/>
  <c r="D685" i="2"/>
  <c r="C638" i="2"/>
  <c r="D687" i="2"/>
  <c r="C640" i="2"/>
  <c r="D689" i="2"/>
  <c r="C642" i="2"/>
  <c r="D691" i="2"/>
  <c r="C644" i="2"/>
  <c r="D693" i="2"/>
  <c r="C646" i="2"/>
  <c r="D695" i="2"/>
  <c r="C648" i="2"/>
  <c r="D697" i="2"/>
  <c r="C650" i="2"/>
  <c r="D699" i="2"/>
  <c r="C652" i="2"/>
  <c r="D701" i="2"/>
  <c r="C654" i="2"/>
  <c r="D703" i="2"/>
  <c r="C656" i="2"/>
  <c r="D705" i="2"/>
  <c r="C658" i="2"/>
  <c r="D707" i="2"/>
  <c r="D709" i="2"/>
  <c r="C660" i="2"/>
  <c r="D711" i="2"/>
  <c r="C662" i="2"/>
  <c r="C664" i="2"/>
  <c r="D713" i="2"/>
  <c r="C666" i="2"/>
  <c r="D715" i="2"/>
  <c r="D717" i="2"/>
  <c r="C668" i="2"/>
  <c r="D719" i="2"/>
  <c r="C670" i="2"/>
  <c r="C672" i="2"/>
  <c r="D721" i="2"/>
  <c r="C674" i="2"/>
  <c r="D723" i="2"/>
  <c r="D725" i="2"/>
  <c r="C676" i="2"/>
  <c r="D727" i="2"/>
  <c r="C678" i="2"/>
  <c r="C680" i="2"/>
  <c r="D729" i="2"/>
  <c r="C682" i="2"/>
  <c r="D731" i="2"/>
  <c r="D733" i="2"/>
  <c r="C684" i="2"/>
  <c r="D735" i="2"/>
  <c r="C686" i="2"/>
  <c r="C688" i="2"/>
  <c r="D737" i="2"/>
  <c r="C690" i="2"/>
  <c r="D739" i="2"/>
  <c r="D741" i="2"/>
  <c r="C692" i="2"/>
  <c r="D743" i="2"/>
  <c r="C694" i="2"/>
  <c r="C696" i="2"/>
  <c r="D745" i="2"/>
  <c r="C698" i="2"/>
  <c r="D747" i="2"/>
  <c r="D749" i="2"/>
  <c r="C700" i="2"/>
  <c r="D751" i="2"/>
  <c r="C702" i="2"/>
  <c r="C704" i="2"/>
  <c r="D753" i="2"/>
  <c r="C706" i="2"/>
  <c r="D755" i="2"/>
  <c r="C708" i="2"/>
  <c r="D757" i="2"/>
  <c r="C710" i="2"/>
  <c r="D759" i="2"/>
  <c r="C712" i="2"/>
  <c r="D761" i="2"/>
  <c r="C714" i="2"/>
  <c r="D763" i="2"/>
  <c r="C716" i="2"/>
  <c r="D765" i="2"/>
  <c r="C718" i="2"/>
  <c r="D767" i="2"/>
  <c r="C720" i="2"/>
  <c r="D769" i="2"/>
  <c r="C722" i="2"/>
  <c r="D771" i="2"/>
  <c r="C724" i="2"/>
  <c r="D773" i="2"/>
  <c r="C726" i="2"/>
  <c r="D775" i="2"/>
  <c r="C728" i="2"/>
  <c r="D777" i="2"/>
  <c r="C730" i="2"/>
  <c r="D779" i="2"/>
  <c r="C732" i="2"/>
  <c r="D781" i="2"/>
  <c r="C734" i="2"/>
  <c r="D783" i="2"/>
  <c r="C736" i="2"/>
  <c r="D785" i="2"/>
  <c r="C738" i="2"/>
  <c r="D787" i="2"/>
  <c r="C740" i="2"/>
  <c r="D789" i="2"/>
  <c r="C742" i="2"/>
  <c r="D791" i="2"/>
  <c r="C744" i="2"/>
  <c r="D793" i="2"/>
  <c r="C746" i="2"/>
  <c r="D795" i="2"/>
  <c r="C748" i="2"/>
  <c r="D797" i="2"/>
  <c r="C750" i="2"/>
  <c r="D799" i="2"/>
  <c r="C752" i="2"/>
  <c r="D801" i="2"/>
  <c r="C754" i="2"/>
  <c r="D803" i="2"/>
  <c r="C756" i="2"/>
  <c r="D805" i="2"/>
  <c r="C758" i="2"/>
  <c r="D807" i="2"/>
  <c r="C760" i="2"/>
  <c r="D809" i="2"/>
  <c r="C762" i="2"/>
  <c r="D811" i="2"/>
  <c r="C764" i="2"/>
  <c r="D813" i="2"/>
  <c r="C766" i="2"/>
  <c r="D815" i="2"/>
  <c r="C768" i="2"/>
  <c r="D817" i="2"/>
  <c r="C770" i="2"/>
  <c r="D819" i="2"/>
  <c r="C772" i="2"/>
  <c r="D821" i="2"/>
  <c r="C774" i="2"/>
  <c r="D823" i="2"/>
  <c r="C776" i="2"/>
  <c r="D825" i="2"/>
  <c r="C778" i="2"/>
  <c r="D827" i="2"/>
  <c r="C780" i="2"/>
  <c r="D829" i="2"/>
  <c r="C782" i="2"/>
  <c r="D831" i="2"/>
  <c r="C784" i="2"/>
  <c r="D833" i="2"/>
  <c r="C786" i="2"/>
  <c r="D835" i="2"/>
  <c r="C788" i="2"/>
  <c r="D837" i="2"/>
  <c r="C790" i="2"/>
  <c r="D839" i="2"/>
  <c r="C792" i="2"/>
  <c r="D841" i="2"/>
  <c r="C794" i="2"/>
  <c r="D843" i="2"/>
  <c r="C796" i="2"/>
  <c r="D845" i="2"/>
  <c r="C798" i="2"/>
  <c r="D847" i="2"/>
  <c r="C800" i="2"/>
  <c r="D849" i="2"/>
  <c r="C802" i="2"/>
  <c r="D851" i="2"/>
  <c r="C804" i="2"/>
  <c r="D853" i="2"/>
  <c r="C806" i="2"/>
  <c r="D855" i="2"/>
  <c r="C808" i="2"/>
  <c r="D857" i="2"/>
  <c r="C810" i="2"/>
  <c r="D859" i="2"/>
  <c r="C812" i="2"/>
  <c r="D861" i="2"/>
  <c r="C814" i="2"/>
  <c r="D863" i="2"/>
  <c r="C816" i="2"/>
  <c r="D865" i="2"/>
  <c r="C818" i="2"/>
  <c r="D867" i="2"/>
  <c r="C820" i="2"/>
  <c r="D869" i="2"/>
  <c r="C822" i="2"/>
  <c r="D871" i="2"/>
  <c r="C824" i="2"/>
  <c r="D873" i="2"/>
  <c r="C826" i="2"/>
  <c r="D875" i="2"/>
  <c r="C828" i="2"/>
  <c r="D877" i="2"/>
  <c r="C830" i="2"/>
  <c r="D879" i="2"/>
  <c r="C832" i="2"/>
  <c r="D881" i="2"/>
  <c r="C834" i="2"/>
  <c r="D883" i="2"/>
  <c r="C836" i="2"/>
  <c r="D885" i="2"/>
  <c r="C838" i="2"/>
  <c r="D887" i="2"/>
  <c r="C840" i="2"/>
  <c r="D889" i="2"/>
  <c r="C842" i="2"/>
  <c r="D891" i="2"/>
  <c r="C844" i="2"/>
  <c r="D893" i="2"/>
  <c r="C846" i="2"/>
  <c r="D895" i="2"/>
  <c r="C848" i="2"/>
  <c r="D897" i="2"/>
  <c r="C850" i="2"/>
  <c r="D899" i="2"/>
  <c r="C852" i="2"/>
  <c r="D901" i="2"/>
  <c r="C854" i="2"/>
  <c r="D903" i="2"/>
  <c r="C856" i="2"/>
  <c r="D905" i="2"/>
  <c r="C858" i="2"/>
  <c r="D907" i="2"/>
  <c r="C860" i="2"/>
  <c r="D909" i="2"/>
  <c r="C862" i="2"/>
  <c r="D911" i="2"/>
  <c r="C864" i="2"/>
  <c r="D913" i="2"/>
  <c r="C866" i="2"/>
  <c r="D915" i="2"/>
  <c r="C868" i="2"/>
  <c r="D917" i="2"/>
  <c r="C870" i="2"/>
  <c r="D919" i="2"/>
  <c r="C872" i="2"/>
  <c r="D921" i="2"/>
  <c r="C874" i="2"/>
  <c r="D923" i="2"/>
  <c r="C876" i="2"/>
  <c r="D925" i="2"/>
  <c r="C878" i="2"/>
  <c r="D927" i="2"/>
  <c r="C880" i="2"/>
  <c r="D929" i="2"/>
  <c r="C882" i="2"/>
  <c r="D931" i="2"/>
  <c r="C884" i="2"/>
  <c r="D933" i="2"/>
  <c r="C886" i="2"/>
  <c r="D935" i="2"/>
  <c r="C888" i="2"/>
  <c r="D937" i="2"/>
  <c r="C890" i="2"/>
  <c r="D939" i="2"/>
  <c r="C892" i="2"/>
  <c r="D941" i="2"/>
  <c r="C894" i="2"/>
  <c r="D943" i="2"/>
  <c r="C896" i="2"/>
  <c r="D945" i="2"/>
  <c r="C898" i="2"/>
  <c r="D947" i="2"/>
  <c r="C900" i="2"/>
  <c r="D949" i="2"/>
  <c r="C902" i="2"/>
  <c r="D951" i="2"/>
  <c r="C904" i="2"/>
  <c r="D953" i="2"/>
  <c r="C906" i="2"/>
  <c r="D955" i="2"/>
  <c r="C908" i="2"/>
  <c r="D957" i="2"/>
  <c r="C910" i="2"/>
  <c r="D959" i="2"/>
  <c r="C912" i="2"/>
  <c r="D961" i="2"/>
  <c r="C914" i="2"/>
  <c r="D963" i="2"/>
  <c r="C916" i="2"/>
  <c r="D965" i="2"/>
  <c r="C918" i="2"/>
  <c r="D967" i="2"/>
  <c r="C920" i="2"/>
  <c r="D969" i="2"/>
  <c r="C922" i="2"/>
  <c r="D971" i="2"/>
  <c r="C924" i="2"/>
  <c r="D973" i="2"/>
  <c r="C926" i="2"/>
  <c r="D975" i="2"/>
  <c r="C928" i="2"/>
  <c r="D977" i="2"/>
  <c r="C930" i="2"/>
  <c r="D979" i="2"/>
  <c r="C932" i="2"/>
  <c r="D981" i="2"/>
  <c r="C934" i="2"/>
  <c r="D983" i="2"/>
  <c r="C936" i="2"/>
  <c r="D985" i="2"/>
  <c r="C938" i="2"/>
  <c r="D987" i="2"/>
  <c r="C940" i="2"/>
  <c r="D989" i="2"/>
  <c r="C942" i="2"/>
  <c r="D991" i="2"/>
  <c r="C944" i="2"/>
  <c r="D993" i="2"/>
  <c r="C946" i="2"/>
  <c r="D995" i="2"/>
  <c r="C948" i="2"/>
  <c r="D997" i="2"/>
  <c r="C950" i="2"/>
  <c r="D999" i="2"/>
  <c r="C952" i="2"/>
  <c r="D1001" i="2"/>
  <c r="C954" i="2"/>
  <c r="D1003" i="2"/>
  <c r="C956" i="2"/>
  <c r="D1005" i="2"/>
  <c r="C958" i="2"/>
  <c r="D1007" i="2"/>
  <c r="C960" i="2"/>
  <c r="D1009" i="2"/>
  <c r="C962" i="2"/>
  <c r="D1011" i="2"/>
  <c r="C964" i="2"/>
  <c r="D1013" i="2"/>
  <c r="C966" i="2"/>
  <c r="D1015" i="2"/>
  <c r="C968" i="2"/>
  <c r="D1017" i="2"/>
  <c r="C970" i="2"/>
  <c r="D1019" i="2"/>
  <c r="C972" i="2"/>
  <c r="D1021" i="2"/>
  <c r="C974" i="2"/>
  <c r="D1023" i="2"/>
  <c r="C976" i="2"/>
  <c r="D1025" i="2"/>
  <c r="C978" i="2"/>
  <c r="D1027" i="2"/>
  <c r="C980" i="2"/>
  <c r="D1029" i="2"/>
  <c r="C982" i="2"/>
  <c r="D1031" i="2"/>
  <c r="C984" i="2"/>
  <c r="D1033" i="2"/>
  <c r="C986" i="2"/>
  <c r="D1035" i="2"/>
  <c r="C988" i="2"/>
  <c r="D1037" i="2"/>
  <c r="D1039" i="2"/>
  <c r="C990" i="2"/>
  <c r="C992" i="2"/>
  <c r="D1041" i="2"/>
  <c r="C994" i="2"/>
  <c r="D1043" i="2"/>
  <c r="C996" i="2"/>
  <c r="D1045" i="2"/>
  <c r="C998" i="2"/>
  <c r="D1047" i="2"/>
  <c r="C1000" i="2"/>
  <c r="D1049" i="2"/>
  <c r="C1002" i="2"/>
  <c r="D1051" i="2"/>
  <c r="C1004" i="2"/>
  <c r="D1053" i="2"/>
  <c r="C1006" i="2"/>
  <c r="D1055" i="2"/>
  <c r="C1008" i="2"/>
  <c r="D1057" i="2"/>
  <c r="C1010" i="2"/>
  <c r="D1059" i="2"/>
  <c r="D1061" i="2"/>
  <c r="C1012" i="2"/>
  <c r="D1063" i="2"/>
  <c r="C1014" i="2"/>
  <c r="D1065" i="2"/>
  <c r="C1016" i="2"/>
  <c r="D1067" i="2"/>
  <c r="C1018" i="2"/>
  <c r="D1069" i="2"/>
  <c r="C1020" i="2"/>
  <c r="D1071" i="2"/>
  <c r="C1022" i="2"/>
  <c r="D1073" i="2"/>
  <c r="C1024" i="2"/>
  <c r="D1075" i="2"/>
  <c r="C1026" i="2"/>
  <c r="D1077" i="2"/>
  <c r="C1028" i="2"/>
  <c r="D1079" i="2"/>
  <c r="C1030" i="2"/>
  <c r="D1081" i="2"/>
  <c r="C1032" i="2"/>
  <c r="D1083" i="2"/>
  <c r="C1034" i="2"/>
  <c r="D1085" i="2"/>
  <c r="C1036" i="2"/>
  <c r="D1087" i="2"/>
  <c r="C1038" i="2"/>
  <c r="D1089" i="2"/>
  <c r="C1040" i="2"/>
  <c r="D1091" i="2"/>
  <c r="C1042" i="2"/>
  <c r="D1093" i="2"/>
  <c r="C1044" i="2"/>
  <c r="D1095" i="2"/>
  <c r="C1046" i="2"/>
  <c r="D1097" i="2"/>
  <c r="C1048" i="2"/>
  <c r="D1099" i="2"/>
  <c r="C1050" i="2"/>
  <c r="D1101" i="2"/>
  <c r="C1052" i="2"/>
  <c r="D1103" i="2"/>
  <c r="C1054" i="2"/>
  <c r="D1105" i="2"/>
  <c r="C1056" i="2"/>
  <c r="D1107" i="2"/>
  <c r="C1058" i="2"/>
  <c r="D1109" i="2"/>
  <c r="C1060" i="2"/>
  <c r="D1111" i="2"/>
  <c r="C1062" i="2"/>
  <c r="D1113" i="2"/>
  <c r="C1064" i="2"/>
  <c r="D1115" i="2"/>
  <c r="C1066" i="2"/>
  <c r="D1117" i="2"/>
  <c r="C1068" i="2"/>
  <c r="D1119" i="2"/>
  <c r="C1070" i="2"/>
  <c r="D1121" i="2"/>
  <c r="C1072" i="2"/>
  <c r="D1123" i="2"/>
  <c r="C1074" i="2"/>
  <c r="D1125" i="2"/>
  <c r="C1076" i="2"/>
  <c r="D1127" i="2"/>
  <c r="C1078" i="2"/>
  <c r="D1129" i="2"/>
  <c r="C1080" i="2"/>
  <c r="D1131" i="2"/>
  <c r="C1082" i="2"/>
  <c r="D1133" i="2"/>
  <c r="C1084" i="2"/>
  <c r="D1135" i="2"/>
  <c r="C1086" i="2"/>
  <c r="D1137" i="2"/>
  <c r="C1088" i="2"/>
  <c r="D1139" i="2"/>
  <c r="C1090" i="2"/>
  <c r="D1141" i="2"/>
  <c r="C1092" i="2"/>
  <c r="D1143" i="2"/>
  <c r="C1094" i="2"/>
  <c r="D1145" i="2"/>
  <c r="C1096" i="2"/>
  <c r="D1147" i="2"/>
  <c r="C1098" i="2"/>
  <c r="D1149" i="2"/>
  <c r="C1100" i="2"/>
  <c r="D1151" i="2"/>
  <c r="C1102" i="2"/>
  <c r="D1153" i="2"/>
  <c r="C1104" i="2"/>
  <c r="D1155" i="2"/>
  <c r="C1106" i="2"/>
  <c r="D1157" i="2"/>
  <c r="C1108" i="2"/>
  <c r="D1159" i="2"/>
  <c r="C1110" i="2"/>
  <c r="D1161" i="2"/>
  <c r="C1112" i="2"/>
  <c r="D1163" i="2"/>
  <c r="C1114" i="2"/>
  <c r="D1165" i="2"/>
  <c r="C1116" i="2"/>
  <c r="D1167" i="2"/>
  <c r="C1118" i="2"/>
  <c r="D1169" i="2"/>
  <c r="C1120" i="2"/>
  <c r="D1171" i="2"/>
  <c r="C1122" i="2"/>
  <c r="D1173" i="2"/>
  <c r="C1124" i="2"/>
  <c r="D1175" i="2"/>
  <c r="C1126" i="2"/>
  <c r="D1177" i="2"/>
  <c r="C1128" i="2"/>
  <c r="D1179" i="2"/>
  <c r="C1130" i="2"/>
  <c r="D1181" i="2"/>
  <c r="C1132" i="2"/>
  <c r="D1183" i="2"/>
  <c r="C1134" i="2"/>
  <c r="D1185" i="2"/>
  <c r="C1136" i="2"/>
  <c r="D1187" i="2"/>
  <c r="C1138" i="2"/>
  <c r="D1189" i="2"/>
  <c r="C1140" i="2"/>
  <c r="D1191" i="2"/>
  <c r="C1142" i="2"/>
  <c r="D1193" i="2"/>
  <c r="C1144" i="2"/>
  <c r="D1195" i="2"/>
  <c r="C1146" i="2"/>
  <c r="D1197" i="2"/>
  <c r="C1148" i="2"/>
  <c r="D1199" i="2"/>
  <c r="C1150" i="2"/>
  <c r="D1201" i="2"/>
  <c r="C1152" i="2"/>
  <c r="D1203" i="2"/>
  <c r="C1154" i="2"/>
  <c r="D1205" i="2"/>
  <c r="C1156" i="2"/>
  <c r="D1207" i="2"/>
  <c r="C1158" i="2"/>
  <c r="D1209" i="2"/>
  <c r="C1160" i="2"/>
  <c r="D1211" i="2"/>
  <c r="C1162" i="2"/>
  <c r="D1213" i="2"/>
  <c r="C1164" i="2"/>
  <c r="D1215" i="2"/>
  <c r="C1166" i="2"/>
  <c r="D1217" i="2"/>
  <c r="C1168" i="2"/>
  <c r="D1219" i="2"/>
  <c r="C1170" i="2"/>
  <c r="D1221" i="2"/>
  <c r="C1172" i="2"/>
  <c r="D1223" i="2"/>
  <c r="C1174" i="2"/>
  <c r="D1225" i="2"/>
  <c r="C1176" i="2"/>
  <c r="C1178" i="2"/>
  <c r="D1227" i="2"/>
  <c r="C1180" i="2"/>
  <c r="D1229" i="2"/>
  <c r="C7" i="2"/>
  <c r="C23" i="2"/>
  <c r="C40" i="2"/>
  <c r="C56" i="2"/>
  <c r="D66" i="2"/>
  <c r="D77" i="2"/>
  <c r="C88" i="2"/>
  <c r="D98" i="2"/>
  <c r="D109" i="2"/>
  <c r="C120" i="2"/>
  <c r="D130" i="2"/>
  <c r="D141" i="2"/>
  <c r="C152" i="2"/>
  <c r="D162" i="2"/>
  <c r="C176" i="2"/>
  <c r="C192" i="2"/>
  <c r="C208" i="2"/>
  <c r="C224" i="2"/>
  <c r="C240" i="2"/>
  <c r="C256" i="2"/>
  <c r="C272" i="2"/>
  <c r="C288" i="2"/>
  <c r="C304" i="2"/>
  <c r="C320" i="2"/>
  <c r="C336" i="2"/>
  <c r="D352" i="2"/>
  <c r="D384" i="2"/>
  <c r="D416" i="2"/>
  <c r="D448" i="2"/>
  <c r="D480" i="2"/>
  <c r="C11" i="2"/>
  <c r="C27" i="2"/>
  <c r="C45" i="2"/>
  <c r="D58" i="2"/>
  <c r="D69" i="2"/>
  <c r="C80" i="2"/>
  <c r="D90" i="2"/>
  <c r="D101" i="2"/>
  <c r="C112" i="2"/>
  <c r="D122" i="2"/>
  <c r="D133" i="2"/>
  <c r="C144" i="2"/>
  <c r="D154" i="2"/>
  <c r="D165" i="2"/>
  <c r="C180" i="2"/>
  <c r="C196" i="2"/>
  <c r="C212" i="2"/>
  <c r="C228" i="2"/>
  <c r="C244" i="2"/>
  <c r="C260" i="2"/>
  <c r="C276" i="2"/>
  <c r="C292" i="2"/>
  <c r="C308" i="2"/>
  <c r="C324" i="2"/>
  <c r="C340" i="2"/>
  <c r="D360" i="2"/>
  <c r="D392" i="2"/>
  <c r="D424" i="2"/>
  <c r="D456" i="2"/>
  <c r="D488" i="2"/>
  <c r="C297" i="2"/>
  <c r="C299" i="2"/>
  <c r="C301" i="2"/>
  <c r="C303" i="2"/>
  <c r="C305" i="2"/>
  <c r="C307" i="2"/>
  <c r="C309" i="2"/>
  <c r="C311" i="2"/>
  <c r="C313" i="2"/>
  <c r="C315" i="2"/>
  <c r="C317" i="2"/>
  <c r="C319" i="2"/>
  <c r="C321" i="2"/>
  <c r="C323" i="2"/>
  <c r="C325" i="2"/>
  <c r="C327" i="2"/>
  <c r="C329" i="2"/>
  <c r="C331" i="2"/>
  <c r="C333" i="2"/>
  <c r="C335" i="2"/>
  <c r="C337" i="2"/>
  <c r="C339" i="2"/>
  <c r="C341" i="2"/>
  <c r="C343" i="2"/>
  <c r="C345" i="2"/>
  <c r="C347" i="2"/>
  <c r="C349" i="2"/>
  <c r="C351" i="2"/>
  <c r="C353" i="2"/>
  <c r="C355" i="2"/>
  <c r="C357" i="2"/>
  <c r="C359" i="2"/>
  <c r="C361" i="2"/>
  <c r="C363" i="2"/>
  <c r="C365" i="2"/>
  <c r="C367" i="2"/>
  <c r="C369" i="2"/>
  <c r="C371" i="2"/>
  <c r="C373" i="2"/>
  <c r="C375" i="2"/>
  <c r="C377" i="2"/>
  <c r="C379" i="2"/>
  <c r="C381" i="2"/>
  <c r="C383" i="2"/>
  <c r="C385" i="2"/>
  <c r="C387" i="2"/>
  <c r="C389" i="2"/>
  <c r="C391" i="2"/>
  <c r="C393" i="2"/>
  <c r="C395" i="2"/>
  <c r="C397" i="2"/>
  <c r="C399" i="2"/>
  <c r="C401" i="2"/>
  <c r="C403" i="2"/>
  <c r="C405" i="2"/>
  <c r="C407" i="2"/>
  <c r="C409" i="2"/>
  <c r="C411" i="2"/>
  <c r="C413" i="2"/>
  <c r="C415" i="2"/>
  <c r="C417" i="2"/>
  <c r="C419" i="2"/>
  <c r="C421" i="2"/>
  <c r="C423" i="2"/>
  <c r="C425" i="2"/>
  <c r="C427" i="2"/>
  <c r="C429" i="2"/>
  <c r="C431" i="2"/>
  <c r="C433" i="2"/>
  <c r="C435" i="2"/>
  <c r="C437" i="2"/>
  <c r="C439" i="2"/>
  <c r="C441" i="2"/>
  <c r="C443" i="2"/>
  <c r="C445" i="2"/>
  <c r="C447" i="2"/>
  <c r="D496" i="2"/>
  <c r="C449" i="2"/>
  <c r="D498" i="2"/>
  <c r="C451" i="2"/>
  <c r="D500" i="2"/>
  <c r="C453" i="2"/>
  <c r="D502" i="2"/>
  <c r="C455" i="2"/>
  <c r="D504" i="2"/>
  <c r="C457" i="2"/>
  <c r="D506" i="2"/>
  <c r="C459" i="2"/>
  <c r="D508" i="2"/>
  <c r="C461" i="2"/>
  <c r="D510" i="2"/>
  <c r="C463" i="2"/>
  <c r="D512" i="2"/>
  <c r="C465" i="2"/>
  <c r="D514" i="2"/>
  <c r="C467" i="2"/>
  <c r="D516" i="2"/>
  <c r="C469" i="2"/>
  <c r="D518" i="2"/>
  <c r="C471" i="2"/>
  <c r="D520" i="2"/>
  <c r="C473" i="2"/>
  <c r="D522" i="2"/>
  <c r="C475" i="2"/>
  <c r="D524" i="2"/>
  <c r="C477" i="2"/>
  <c r="D526" i="2"/>
  <c r="C479" i="2"/>
  <c r="D528" i="2"/>
  <c r="C481" i="2"/>
  <c r="D530" i="2"/>
  <c r="C483" i="2"/>
  <c r="D532" i="2"/>
  <c r="C485" i="2"/>
  <c r="D534" i="2"/>
  <c r="D536" i="2"/>
  <c r="C487" i="2"/>
  <c r="D538" i="2"/>
  <c r="C489" i="2"/>
  <c r="D540" i="2"/>
  <c r="C491" i="2"/>
  <c r="C493" i="2"/>
  <c r="D542" i="2"/>
  <c r="D544" i="2"/>
  <c r="C495" i="2"/>
  <c r="D546" i="2"/>
  <c r="C497" i="2"/>
  <c r="D548" i="2"/>
  <c r="C499" i="2"/>
  <c r="C501" i="2"/>
  <c r="D550" i="2"/>
  <c r="D552" i="2"/>
  <c r="C503" i="2"/>
  <c r="D554" i="2"/>
  <c r="C505" i="2"/>
  <c r="D556" i="2"/>
  <c r="C507" i="2"/>
  <c r="C509" i="2"/>
  <c r="D558" i="2"/>
  <c r="D560" i="2"/>
  <c r="C511" i="2"/>
  <c r="D562" i="2"/>
  <c r="C513" i="2"/>
  <c r="D564" i="2"/>
  <c r="C515" i="2"/>
  <c r="C517" i="2"/>
  <c r="D566" i="2"/>
  <c r="D568" i="2"/>
  <c r="C519" i="2"/>
  <c r="D570" i="2"/>
  <c r="C521" i="2"/>
  <c r="D572" i="2"/>
  <c r="C523" i="2"/>
  <c r="C525" i="2"/>
  <c r="D574" i="2"/>
  <c r="D576" i="2"/>
  <c r="C527" i="2"/>
  <c r="D578" i="2"/>
  <c r="C529" i="2"/>
  <c r="D580" i="2"/>
  <c r="C531" i="2"/>
  <c r="C533" i="2"/>
  <c r="D582" i="2"/>
  <c r="D584" i="2"/>
  <c r="C535" i="2"/>
  <c r="D586" i="2"/>
  <c r="C537" i="2"/>
  <c r="C539" i="2"/>
  <c r="D588" i="2"/>
  <c r="C541" i="2"/>
  <c r="D590" i="2"/>
  <c r="D592" i="2"/>
  <c r="C543" i="2"/>
  <c r="D594" i="2"/>
  <c r="C545" i="2"/>
  <c r="C547" i="2"/>
  <c r="D596" i="2"/>
  <c r="C549" i="2"/>
  <c r="D598" i="2"/>
  <c r="D600" i="2"/>
  <c r="C551" i="2"/>
  <c r="D602" i="2"/>
  <c r="C553" i="2"/>
  <c r="C555" i="2"/>
  <c r="D604" i="2"/>
  <c r="C557" i="2"/>
  <c r="D606" i="2"/>
  <c r="D608" i="2"/>
  <c r="C559" i="2"/>
  <c r="D610" i="2"/>
  <c r="C561" i="2"/>
  <c r="D612" i="2"/>
  <c r="C563" i="2"/>
  <c r="D614" i="2"/>
  <c r="C565" i="2"/>
  <c r="D616" i="2"/>
  <c r="C567" i="2"/>
  <c r="D618" i="2"/>
  <c r="C569" i="2"/>
  <c r="D620" i="2"/>
  <c r="C571" i="2"/>
  <c r="D622" i="2"/>
  <c r="C573" i="2"/>
  <c r="D624" i="2"/>
  <c r="C575" i="2"/>
  <c r="D626" i="2"/>
  <c r="C577" i="2"/>
  <c r="D628" i="2"/>
  <c r="C579" i="2"/>
  <c r="D630" i="2"/>
  <c r="C581" i="2"/>
  <c r="D632" i="2"/>
  <c r="C583" i="2"/>
  <c r="D634" i="2"/>
  <c r="C585" i="2"/>
  <c r="D636" i="2"/>
  <c r="C587" i="2"/>
  <c r="D638" i="2"/>
  <c r="C589" i="2"/>
  <c r="D640" i="2"/>
  <c r="C591" i="2"/>
  <c r="D642" i="2"/>
  <c r="C593" i="2"/>
  <c r="D644" i="2"/>
  <c r="C595" i="2"/>
  <c r="D646" i="2"/>
  <c r="C597" i="2"/>
  <c r="D648" i="2"/>
  <c r="C599" i="2"/>
  <c r="D650" i="2"/>
  <c r="C601" i="2"/>
  <c r="D652" i="2"/>
  <c r="C603" i="2"/>
  <c r="D654" i="2"/>
  <c r="C605" i="2"/>
  <c r="D656" i="2"/>
  <c r="C607" i="2"/>
  <c r="D658" i="2"/>
  <c r="C609" i="2"/>
  <c r="D660" i="2"/>
  <c r="C611" i="2"/>
  <c r="D662" i="2"/>
  <c r="C613" i="2"/>
  <c r="D664" i="2"/>
  <c r="C615" i="2"/>
  <c r="D666" i="2"/>
  <c r="C617" i="2"/>
  <c r="D668" i="2"/>
  <c r="C619" i="2"/>
  <c r="D670" i="2"/>
  <c r="C621" i="2"/>
  <c r="D672" i="2"/>
  <c r="C623" i="2"/>
  <c r="D674" i="2"/>
  <c r="C625" i="2"/>
  <c r="D676" i="2"/>
  <c r="C627" i="2"/>
  <c r="D678" i="2"/>
  <c r="C629" i="2"/>
  <c r="D680" i="2"/>
  <c r="C631" i="2"/>
  <c r="D682" i="2"/>
  <c r="C633" i="2"/>
  <c r="D684" i="2"/>
  <c r="C635" i="2"/>
  <c r="D686" i="2"/>
  <c r="C637" i="2"/>
  <c r="D688" i="2"/>
  <c r="C639" i="2"/>
  <c r="D690" i="2"/>
  <c r="C641" i="2"/>
  <c r="D692" i="2"/>
  <c r="C643" i="2"/>
  <c r="D694" i="2"/>
  <c r="C645" i="2"/>
  <c r="D696" i="2"/>
  <c r="C647" i="2"/>
  <c r="D698" i="2"/>
  <c r="C649" i="2"/>
  <c r="D700" i="2"/>
  <c r="C651" i="2"/>
  <c r="D702" i="2"/>
  <c r="C653" i="2"/>
  <c r="D704" i="2"/>
  <c r="C655" i="2"/>
  <c r="D706" i="2"/>
  <c r="C657" i="2"/>
  <c r="D708" i="2"/>
  <c r="C659" i="2"/>
  <c r="D710" i="2"/>
  <c r="C661" i="2"/>
  <c r="D712" i="2"/>
  <c r="C663" i="2"/>
  <c r="D714" i="2"/>
  <c r="C665" i="2"/>
  <c r="D716" i="2"/>
  <c r="C667" i="2"/>
  <c r="C669" i="2"/>
  <c r="D718" i="2"/>
  <c r="D720" i="2"/>
  <c r="C671" i="2"/>
  <c r="D722" i="2"/>
  <c r="C673" i="2"/>
  <c r="D724" i="2"/>
  <c r="C675" i="2"/>
  <c r="D726" i="2"/>
  <c r="C677" i="2"/>
  <c r="D728" i="2"/>
  <c r="C679" i="2"/>
  <c r="D730" i="2"/>
  <c r="C681" i="2"/>
  <c r="D732" i="2"/>
  <c r="C683" i="2"/>
  <c r="D734" i="2"/>
  <c r="C685" i="2"/>
  <c r="D736" i="2"/>
  <c r="C687" i="2"/>
  <c r="D738" i="2"/>
  <c r="C689" i="2"/>
  <c r="D740" i="2"/>
  <c r="C691" i="2"/>
  <c r="D742" i="2"/>
  <c r="C693" i="2"/>
  <c r="D744" i="2"/>
  <c r="C695" i="2"/>
  <c r="D746" i="2"/>
  <c r="C697" i="2"/>
  <c r="D748" i="2"/>
  <c r="C699" i="2"/>
  <c r="C701" i="2"/>
  <c r="D750" i="2"/>
  <c r="D752" i="2"/>
  <c r="C703" i="2"/>
  <c r="D754" i="2"/>
  <c r="C705" i="2"/>
  <c r="C707" i="2"/>
  <c r="D756" i="2"/>
  <c r="C709" i="2"/>
  <c r="D758" i="2"/>
  <c r="D760" i="2"/>
  <c r="C711" i="2"/>
  <c r="D762" i="2"/>
  <c r="C713" i="2"/>
  <c r="C715" i="2"/>
  <c r="D764" i="2"/>
  <c r="C717" i="2"/>
  <c r="D766" i="2"/>
  <c r="D768" i="2"/>
  <c r="C719" i="2"/>
  <c r="D770" i="2"/>
  <c r="C721" i="2"/>
  <c r="C723" i="2"/>
  <c r="D772" i="2"/>
  <c r="C725" i="2"/>
  <c r="D774" i="2"/>
  <c r="D776" i="2"/>
  <c r="C727" i="2"/>
  <c r="D778" i="2"/>
  <c r="C729" i="2"/>
  <c r="C731" i="2"/>
  <c r="D780" i="2"/>
  <c r="C733" i="2"/>
  <c r="D782" i="2"/>
  <c r="D784" i="2"/>
  <c r="C735" i="2"/>
  <c r="D786" i="2"/>
  <c r="C737" i="2"/>
  <c r="C739" i="2"/>
  <c r="D788" i="2"/>
  <c r="C741" i="2"/>
  <c r="D790" i="2"/>
  <c r="D792" i="2"/>
  <c r="C743" i="2"/>
  <c r="D794" i="2"/>
  <c r="C745" i="2"/>
  <c r="C747" i="2"/>
  <c r="D796" i="2"/>
  <c r="C749" i="2"/>
  <c r="D798" i="2"/>
  <c r="D800" i="2"/>
  <c r="C751" i="2"/>
  <c r="D802" i="2"/>
  <c r="C753" i="2"/>
  <c r="C755" i="2"/>
  <c r="D804" i="2"/>
  <c r="C757" i="2"/>
  <c r="D806" i="2"/>
  <c r="D808" i="2"/>
  <c r="C759" i="2"/>
  <c r="D810" i="2"/>
  <c r="C761" i="2"/>
  <c r="C763" i="2"/>
  <c r="D812" i="2"/>
  <c r="C765" i="2"/>
  <c r="D814" i="2"/>
  <c r="D816" i="2"/>
  <c r="C767" i="2"/>
  <c r="D818" i="2"/>
  <c r="C769" i="2"/>
  <c r="D820" i="2"/>
  <c r="C771" i="2"/>
  <c r="C773" i="2"/>
  <c r="D822" i="2"/>
  <c r="D824" i="2"/>
  <c r="C775" i="2"/>
  <c r="D826" i="2"/>
  <c r="C777" i="2"/>
  <c r="D828" i="2"/>
  <c r="C779" i="2"/>
  <c r="D830" i="2"/>
  <c r="C781" i="2"/>
  <c r="C783" i="2"/>
  <c r="D832" i="2"/>
  <c r="D834" i="2"/>
  <c r="C785" i="2"/>
  <c r="D836" i="2"/>
  <c r="C787" i="2"/>
  <c r="C789" i="2"/>
  <c r="D838" i="2"/>
  <c r="D840" i="2"/>
  <c r="C791" i="2"/>
  <c r="D842" i="2"/>
  <c r="C793" i="2"/>
  <c r="D844" i="2"/>
  <c r="C795" i="2"/>
  <c r="D846" i="2"/>
  <c r="C797" i="2"/>
  <c r="C799" i="2"/>
  <c r="D848" i="2"/>
  <c r="D850" i="2"/>
  <c r="C801" i="2"/>
  <c r="D852" i="2"/>
  <c r="C803" i="2"/>
  <c r="C805" i="2"/>
  <c r="D854" i="2"/>
  <c r="D856" i="2"/>
  <c r="C807" i="2"/>
  <c r="D858" i="2"/>
  <c r="C809" i="2"/>
  <c r="D860" i="2"/>
  <c r="C811" i="2"/>
  <c r="D862" i="2"/>
  <c r="C813" i="2"/>
  <c r="C815" i="2"/>
  <c r="D864" i="2"/>
  <c r="D866" i="2"/>
  <c r="C817" i="2"/>
  <c r="D868" i="2"/>
  <c r="C819" i="2"/>
  <c r="C821" i="2"/>
  <c r="D870" i="2"/>
  <c r="C823" i="2"/>
  <c r="D872" i="2"/>
  <c r="D874" i="2"/>
  <c r="C825" i="2"/>
  <c r="D876" i="2"/>
  <c r="C827" i="2"/>
  <c r="C829" i="2"/>
  <c r="D878" i="2"/>
  <c r="C831" i="2"/>
  <c r="D880" i="2"/>
  <c r="D882" i="2"/>
  <c r="C833" i="2"/>
  <c r="D884" i="2"/>
  <c r="C835" i="2"/>
  <c r="C837" i="2"/>
  <c r="D886" i="2"/>
  <c r="C839" i="2"/>
  <c r="D888" i="2"/>
  <c r="D890" i="2"/>
  <c r="C841" i="2"/>
  <c r="D892" i="2"/>
  <c r="C843" i="2"/>
  <c r="C845" i="2"/>
  <c r="D894" i="2"/>
  <c r="C847" i="2"/>
  <c r="D896" i="2"/>
  <c r="D898" i="2"/>
  <c r="C849" i="2"/>
  <c r="D900" i="2"/>
  <c r="C851" i="2"/>
  <c r="C853" i="2"/>
  <c r="D902" i="2"/>
  <c r="C855" i="2"/>
  <c r="D904" i="2"/>
  <c r="D906" i="2"/>
  <c r="C857" i="2"/>
  <c r="D908" i="2"/>
  <c r="C859" i="2"/>
  <c r="C861" i="2"/>
  <c r="D910" i="2"/>
  <c r="C863" i="2"/>
  <c r="D912" i="2"/>
  <c r="D914" i="2"/>
  <c r="C865" i="2"/>
  <c r="D916" i="2"/>
  <c r="C867" i="2"/>
  <c r="C869" i="2"/>
  <c r="D918" i="2"/>
  <c r="C871" i="2"/>
  <c r="D920" i="2"/>
  <c r="D922" i="2"/>
  <c r="C873" i="2"/>
  <c r="D924" i="2"/>
  <c r="C875" i="2"/>
  <c r="C877" i="2"/>
  <c r="D926" i="2"/>
  <c r="C879" i="2"/>
  <c r="D928" i="2"/>
  <c r="D930" i="2"/>
  <c r="C881" i="2"/>
  <c r="D932" i="2"/>
  <c r="C883" i="2"/>
  <c r="C885" i="2"/>
  <c r="D934" i="2"/>
  <c r="C887" i="2"/>
  <c r="D936" i="2"/>
  <c r="D938" i="2"/>
  <c r="C889" i="2"/>
  <c r="D940" i="2"/>
  <c r="C891" i="2"/>
  <c r="C893" i="2"/>
  <c r="D942" i="2"/>
  <c r="C895" i="2"/>
  <c r="D944" i="2"/>
  <c r="D946" i="2"/>
  <c r="C897" i="2"/>
  <c r="D948" i="2"/>
  <c r="C899" i="2"/>
  <c r="C901" i="2"/>
  <c r="D950" i="2"/>
  <c r="C903" i="2"/>
  <c r="D952" i="2"/>
  <c r="D954" i="2"/>
  <c r="C905" i="2"/>
  <c r="D956" i="2"/>
  <c r="C907" i="2"/>
  <c r="C909" i="2"/>
  <c r="D958" i="2"/>
  <c r="C911" i="2"/>
  <c r="D960" i="2"/>
  <c r="D962" i="2"/>
  <c r="C913" i="2"/>
  <c r="D964" i="2"/>
  <c r="C915" i="2"/>
  <c r="C917" i="2"/>
  <c r="D966" i="2"/>
  <c r="C919" i="2"/>
  <c r="D968" i="2"/>
  <c r="D970" i="2"/>
  <c r="C921" i="2"/>
  <c r="D972" i="2"/>
  <c r="C923" i="2"/>
  <c r="C925" i="2"/>
  <c r="D974" i="2"/>
  <c r="C927" i="2"/>
  <c r="D976" i="2"/>
  <c r="D978" i="2"/>
  <c r="C929" i="2"/>
  <c r="D980" i="2"/>
  <c r="C931" i="2"/>
  <c r="C933" i="2"/>
  <c r="D982" i="2"/>
  <c r="C935" i="2"/>
  <c r="D984" i="2"/>
  <c r="D986" i="2"/>
  <c r="C937" i="2"/>
  <c r="D988" i="2"/>
  <c r="C939" i="2"/>
  <c r="C941" i="2"/>
  <c r="D990" i="2"/>
  <c r="D992" i="2"/>
  <c r="C943" i="2"/>
  <c r="D994" i="2"/>
  <c r="C945" i="2"/>
  <c r="D996" i="2"/>
  <c r="C947" i="2"/>
  <c r="C949" i="2"/>
  <c r="D998" i="2"/>
  <c r="D1000" i="2"/>
  <c r="C951" i="2"/>
  <c r="D1002" i="2"/>
  <c r="C953" i="2"/>
  <c r="D1004" i="2"/>
  <c r="C955" i="2"/>
  <c r="C957" i="2"/>
  <c r="D1006" i="2"/>
  <c r="D1008" i="2"/>
  <c r="C959" i="2"/>
  <c r="D1010" i="2"/>
  <c r="C961" i="2"/>
  <c r="D1012" i="2"/>
  <c r="C963" i="2"/>
  <c r="C965" i="2"/>
  <c r="D1014" i="2"/>
  <c r="D1016" i="2"/>
  <c r="C967" i="2"/>
  <c r="D1018" i="2"/>
  <c r="C969" i="2"/>
  <c r="D1020" i="2"/>
  <c r="C971" i="2"/>
  <c r="C973" i="2"/>
  <c r="D1022" i="2"/>
  <c r="D1024" i="2"/>
  <c r="C975" i="2"/>
  <c r="D1026" i="2"/>
  <c r="C977" i="2"/>
  <c r="D1028" i="2"/>
  <c r="C979" i="2"/>
  <c r="C981" i="2"/>
  <c r="D1030" i="2"/>
  <c r="D1032" i="2"/>
  <c r="C983" i="2"/>
  <c r="D1034" i="2"/>
  <c r="C985" i="2"/>
  <c r="D1036" i="2"/>
  <c r="C987" i="2"/>
  <c r="C989" i="2"/>
  <c r="D1038" i="2"/>
  <c r="D1040" i="2"/>
  <c r="C991" i="2"/>
  <c r="C993" i="2"/>
  <c r="D1042" i="2"/>
  <c r="C995" i="2"/>
  <c r="D1044" i="2"/>
  <c r="C997" i="2"/>
  <c r="D1046" i="2"/>
  <c r="C999" i="2"/>
  <c r="D1048" i="2"/>
  <c r="C1001" i="2"/>
  <c r="D1050" i="2"/>
  <c r="C1003" i="2"/>
  <c r="D1052" i="2"/>
  <c r="C1005" i="2"/>
  <c r="D1054" i="2"/>
  <c r="C1007" i="2"/>
  <c r="D1056" i="2"/>
  <c r="C1009" i="2"/>
  <c r="D1058" i="2"/>
  <c r="C1011" i="2"/>
  <c r="D1060" i="2"/>
  <c r="D1062" i="2"/>
  <c r="C1013" i="2"/>
  <c r="D1064" i="2"/>
  <c r="C1015" i="2"/>
  <c r="D1066" i="2"/>
  <c r="C1017" i="2"/>
  <c r="C1019" i="2"/>
  <c r="D1068" i="2"/>
  <c r="D1070" i="2"/>
  <c r="C1021" i="2"/>
  <c r="D1072" i="2"/>
  <c r="C1023" i="2"/>
  <c r="D1074" i="2"/>
  <c r="C1025" i="2"/>
  <c r="C1027" i="2"/>
  <c r="D1076" i="2"/>
  <c r="D1078" i="2"/>
  <c r="C1029" i="2"/>
  <c r="D1080" i="2"/>
  <c r="C1031" i="2"/>
  <c r="D1082" i="2"/>
  <c r="C1033" i="2"/>
  <c r="C1035" i="2"/>
  <c r="D1084" i="2"/>
  <c r="D1086" i="2"/>
  <c r="C1037" i="2"/>
  <c r="D1088" i="2"/>
  <c r="C1039" i="2"/>
  <c r="D1090" i="2"/>
  <c r="C1041" i="2"/>
  <c r="C1043" i="2"/>
  <c r="D1092" i="2"/>
  <c r="D1094" i="2"/>
  <c r="C1045" i="2"/>
  <c r="D1096" i="2"/>
  <c r="C1047" i="2"/>
  <c r="D1098" i="2"/>
  <c r="C1049" i="2"/>
  <c r="C1051" i="2"/>
  <c r="D1100" i="2"/>
  <c r="D1102" i="2"/>
  <c r="C1053" i="2"/>
  <c r="D1104" i="2"/>
  <c r="C1055" i="2"/>
  <c r="D1106" i="2"/>
  <c r="C1057" i="2"/>
  <c r="C1059" i="2"/>
  <c r="D1108" i="2"/>
  <c r="D1110" i="2"/>
  <c r="C1061" i="2"/>
  <c r="D1112" i="2"/>
  <c r="C1063" i="2"/>
  <c r="C1065" i="2"/>
  <c r="D1114" i="2"/>
  <c r="C1067" i="2"/>
  <c r="D1116" i="2"/>
  <c r="D1118" i="2"/>
  <c r="C1069" i="2"/>
  <c r="D1120" i="2"/>
  <c r="C1071" i="2"/>
  <c r="C1073" i="2"/>
  <c r="D1122" i="2"/>
  <c r="C1075" i="2"/>
  <c r="D1124" i="2"/>
  <c r="D1126" i="2"/>
  <c r="C1077" i="2"/>
  <c r="D1128" i="2"/>
  <c r="C1079" i="2"/>
  <c r="C1081" i="2"/>
  <c r="D1130" i="2"/>
  <c r="C1083" i="2"/>
  <c r="D1132" i="2"/>
  <c r="D1134" i="2"/>
  <c r="C1085" i="2"/>
  <c r="D1136" i="2"/>
  <c r="C1087" i="2"/>
  <c r="C1089" i="2"/>
  <c r="D1138" i="2"/>
  <c r="C1091" i="2"/>
  <c r="D1140" i="2"/>
  <c r="D1142" i="2"/>
  <c r="C1093" i="2"/>
  <c r="D1144" i="2"/>
  <c r="C1095" i="2"/>
  <c r="C1097" i="2"/>
  <c r="D1146" i="2"/>
  <c r="C1099" i="2"/>
  <c r="D1148" i="2"/>
  <c r="D1150" i="2"/>
  <c r="C1101" i="2"/>
  <c r="D1152" i="2"/>
  <c r="C1103" i="2"/>
  <c r="C1105" i="2"/>
  <c r="D1154" i="2"/>
  <c r="C1107" i="2"/>
  <c r="D1156" i="2"/>
  <c r="D1158" i="2"/>
  <c r="C1109" i="2"/>
  <c r="D1160" i="2"/>
  <c r="C1111" i="2"/>
  <c r="C1113" i="2"/>
  <c r="D1162" i="2"/>
  <c r="C1115" i="2"/>
  <c r="D1164" i="2"/>
  <c r="D1166" i="2"/>
  <c r="C1117" i="2"/>
  <c r="D1168" i="2"/>
  <c r="C1119" i="2"/>
  <c r="C1121" i="2"/>
  <c r="D1170" i="2"/>
  <c r="C1123" i="2"/>
  <c r="D1172" i="2"/>
  <c r="D1174" i="2"/>
  <c r="C1125" i="2"/>
  <c r="D1176" i="2"/>
  <c r="C1127" i="2"/>
  <c r="D1178" i="2"/>
  <c r="C1129" i="2"/>
  <c r="D1180" i="2"/>
  <c r="C1131" i="2"/>
  <c r="D1182" i="2"/>
  <c r="C1133" i="2"/>
  <c r="D1184" i="2"/>
  <c r="C1135" i="2"/>
  <c r="D1186" i="2"/>
  <c r="C1137" i="2"/>
  <c r="D1188" i="2"/>
  <c r="C1139" i="2"/>
  <c r="D1190" i="2"/>
  <c r="C1141" i="2"/>
  <c r="D1192" i="2"/>
  <c r="C1143" i="2"/>
  <c r="D1194" i="2"/>
  <c r="C1145" i="2"/>
  <c r="D1196" i="2"/>
  <c r="C1147" i="2"/>
  <c r="D1198" i="2"/>
  <c r="C1149" i="2"/>
  <c r="D1200" i="2"/>
  <c r="C1151" i="2"/>
  <c r="D1202" i="2"/>
  <c r="C1153" i="2"/>
  <c r="D1204" i="2"/>
  <c r="C1155" i="2"/>
  <c r="D1206" i="2"/>
  <c r="C1157" i="2"/>
  <c r="D1208" i="2"/>
  <c r="C1159" i="2"/>
  <c r="D1210" i="2"/>
  <c r="C1161" i="2"/>
  <c r="D1212" i="2"/>
  <c r="C1163" i="2"/>
  <c r="D1214" i="2"/>
  <c r="C1165" i="2"/>
  <c r="D1216" i="2"/>
  <c r="C1167" i="2"/>
  <c r="D1218" i="2"/>
  <c r="C1169" i="2"/>
  <c r="D1220" i="2"/>
  <c r="C1171" i="2"/>
  <c r="D1222" i="2"/>
  <c r="C1173" i="2"/>
  <c r="D1224" i="2"/>
  <c r="C1175" i="2"/>
  <c r="D1226" i="2"/>
  <c r="C1177" i="2"/>
  <c r="D1228" i="2"/>
  <c r="C1179" i="2"/>
  <c r="D1230" i="2"/>
  <c r="C1181" i="2"/>
  <c r="C1183" i="2"/>
  <c r="C1185" i="2"/>
  <c r="C1187" i="2"/>
  <c r="C1189" i="2"/>
  <c r="C1191" i="2"/>
  <c r="C1193" i="2"/>
  <c r="C1195" i="2"/>
  <c r="C1197" i="2"/>
  <c r="C1199" i="2"/>
  <c r="C1201" i="2"/>
  <c r="C1203" i="2"/>
  <c r="C1205" i="2"/>
  <c r="C1207" i="2"/>
  <c r="C1209" i="2"/>
  <c r="C1211" i="2"/>
  <c r="C1213" i="2"/>
  <c r="C1215" i="2"/>
  <c r="C1217" i="2"/>
  <c r="C1219" i="2"/>
  <c r="C1221" i="2"/>
  <c r="C1223" i="2"/>
  <c r="C1225" i="2"/>
  <c r="C1227" i="2"/>
  <c r="C1229" i="2"/>
  <c r="D356" i="2"/>
  <c r="D364" i="2"/>
  <c r="D372" i="2"/>
  <c r="D380" i="2"/>
  <c r="D388" i="2"/>
  <c r="D396" i="2"/>
  <c r="D404" i="2"/>
  <c r="D412" i="2"/>
  <c r="D420" i="2"/>
  <c r="D428" i="2"/>
  <c r="D436" i="2"/>
  <c r="D444" i="2"/>
  <c r="D452" i="2"/>
  <c r="D460" i="2"/>
  <c r="D468" i="2"/>
  <c r="D476" i="2"/>
  <c r="D484" i="2"/>
  <c r="D492" i="2"/>
  <c r="D346" i="2"/>
  <c r="D350" i="2"/>
  <c r="D358" i="2"/>
  <c r="D366" i="2"/>
  <c r="D374" i="2"/>
  <c r="D382" i="2"/>
  <c r="D390" i="2"/>
  <c r="D398" i="2"/>
  <c r="D406" i="2"/>
  <c r="D414" i="2"/>
  <c r="D422" i="2"/>
  <c r="D430" i="2"/>
  <c r="D438" i="2"/>
  <c r="D446" i="2"/>
  <c r="D454" i="2"/>
  <c r="D462" i="2"/>
  <c r="D470" i="2"/>
  <c r="D478" i="2"/>
  <c r="D486" i="2"/>
  <c r="D494" i="2"/>
  <c r="D925" i="1"/>
  <c r="D941" i="1"/>
  <c r="D961" i="1"/>
  <c r="D973" i="1"/>
  <c r="D977" i="1"/>
  <c r="D985" i="1"/>
  <c r="D989" i="1"/>
  <c r="D993" i="1"/>
  <c r="D1001" i="1"/>
  <c r="D1005" i="1"/>
  <c r="D1009" i="1"/>
  <c r="D1017" i="1"/>
  <c r="D1021" i="1"/>
  <c r="D1025" i="1"/>
  <c r="D1033" i="1"/>
  <c r="D1037" i="1"/>
  <c r="D1041" i="1"/>
  <c r="D1053" i="1"/>
  <c r="D1057" i="1"/>
  <c r="D1065" i="1"/>
  <c r="D1069" i="1"/>
  <c r="D1073" i="1"/>
  <c r="D1081" i="1"/>
  <c r="D1085" i="1"/>
  <c r="D1089" i="1"/>
  <c r="D1093" i="1"/>
  <c r="D1097" i="1"/>
  <c r="D1099" i="1"/>
  <c r="D1101" i="1"/>
  <c r="D1113" i="1"/>
  <c r="D1115" i="1"/>
  <c r="D1117" i="1"/>
  <c r="D1121" i="1"/>
  <c r="D1123" i="1"/>
  <c r="D1125" i="1"/>
  <c r="D1129" i="1"/>
  <c r="D1131" i="1"/>
  <c r="D1139" i="1"/>
  <c r="D1141" i="1"/>
  <c r="D1145" i="1"/>
  <c r="D1147" i="1"/>
  <c r="D1149" i="1"/>
  <c r="D1153" i="1"/>
  <c r="D1155" i="1"/>
  <c r="D1157" i="1"/>
  <c r="D1161" i="1"/>
  <c r="D1163" i="1"/>
  <c r="D1165" i="1"/>
  <c r="D1169" i="1"/>
  <c r="D1171" i="1"/>
  <c r="D1173" i="1"/>
  <c r="D1177" i="1"/>
  <c r="D1179" i="1"/>
  <c r="D1181" i="1"/>
  <c r="D1185" i="1"/>
  <c r="D1187" i="1"/>
  <c r="D1189" i="1"/>
  <c r="D1193" i="1"/>
  <c r="D1195" i="1"/>
  <c r="D1197" i="1"/>
  <c r="D1201" i="1"/>
  <c r="D1203" i="1"/>
  <c r="D1205" i="1"/>
  <c r="D1209" i="1"/>
  <c r="D1211" i="1"/>
  <c r="D1225" i="1"/>
  <c r="D1227" i="1"/>
  <c r="D1229" i="1"/>
  <c r="D733" i="1"/>
  <c r="D937" i="1"/>
  <c r="D957" i="1"/>
  <c r="D1105" i="1"/>
  <c r="D969" i="1"/>
  <c r="D1049" i="1"/>
  <c r="D1091" i="1"/>
  <c r="D929" i="1"/>
  <c r="D1107" i="1"/>
  <c r="D1217" i="1"/>
  <c r="D1221" i="1"/>
  <c r="D1213" i="1"/>
  <c r="D1219" i="1"/>
  <c r="D1109" i="1"/>
  <c r="D945" i="1"/>
  <c r="D953" i="1"/>
  <c r="D274" i="1"/>
  <c r="D276" i="1"/>
  <c r="D278" i="1"/>
  <c r="D280" i="1"/>
  <c r="D282" i="1"/>
  <c r="D284" i="1"/>
  <c r="D286" i="1"/>
  <c r="D288" i="1"/>
  <c r="D290" i="1"/>
  <c r="D292" i="1"/>
  <c r="D294" i="1"/>
  <c r="D296" i="1"/>
  <c r="D298" i="1"/>
  <c r="D300" i="1"/>
  <c r="D302" i="1"/>
  <c r="D304" i="1"/>
  <c r="D306" i="1"/>
  <c r="D308" i="1"/>
  <c r="D310" i="1"/>
  <c r="D312" i="1"/>
  <c r="D314" i="1"/>
  <c r="D316" i="1"/>
  <c r="D318" i="1"/>
  <c r="D320" i="1"/>
  <c r="D322" i="1"/>
  <c r="D324" i="1"/>
  <c r="D326" i="1"/>
  <c r="D328" i="1"/>
  <c r="D330" i="1"/>
  <c r="D332" i="1"/>
  <c r="D334" i="1"/>
  <c r="D336" i="1"/>
  <c r="D338" i="1"/>
  <c r="D340" i="1"/>
  <c r="D342" i="1"/>
  <c r="D344" i="1"/>
  <c r="D346" i="1"/>
  <c r="D348" i="1"/>
  <c r="D350" i="1"/>
  <c r="D352" i="1"/>
  <c r="D354" i="1"/>
  <c r="D356" i="1"/>
  <c r="D358" i="1"/>
  <c r="D360" i="1"/>
  <c r="D362" i="1"/>
  <c r="D364" i="1"/>
  <c r="D366" i="1"/>
  <c r="D368" i="1"/>
  <c r="D370" i="1"/>
  <c r="D372" i="1"/>
  <c r="D374" i="1"/>
  <c r="D376" i="1"/>
  <c r="D378" i="1"/>
  <c r="D380" i="1"/>
  <c r="D382" i="1"/>
  <c r="D384" i="1"/>
  <c r="D386" i="1"/>
  <c r="D388" i="1"/>
  <c r="D390" i="1"/>
  <c r="D392" i="1"/>
  <c r="D393" i="1"/>
  <c r="D396" i="1"/>
  <c r="D398" i="1"/>
  <c r="D400" i="1"/>
  <c r="D402" i="1"/>
  <c r="D404" i="1"/>
  <c r="D406" i="1"/>
  <c r="D408" i="1"/>
  <c r="D412" i="1"/>
  <c r="D414" i="1"/>
  <c r="D416" i="1"/>
  <c r="D418" i="1"/>
  <c r="D420" i="1"/>
  <c r="D422" i="1"/>
  <c r="D424" i="1"/>
  <c r="D425" i="1"/>
  <c r="D428" i="1"/>
  <c r="D430" i="1"/>
  <c r="D432" i="1"/>
  <c r="D434" i="1"/>
  <c r="D436" i="1"/>
  <c r="D438" i="1"/>
  <c r="D440" i="1"/>
  <c r="D441" i="1"/>
  <c r="D444" i="1"/>
  <c r="D446" i="1"/>
  <c r="D448" i="1"/>
  <c r="D450" i="1"/>
  <c r="D452" i="1"/>
  <c r="D454" i="1"/>
  <c r="D456" i="1"/>
  <c r="D457" i="1"/>
  <c r="D460" i="1"/>
  <c r="D462" i="1"/>
  <c r="D464" i="1"/>
  <c r="D466" i="1"/>
  <c r="D468" i="1"/>
  <c r="D470" i="1"/>
  <c r="D472" i="1"/>
  <c r="D476" i="1"/>
  <c r="D478" i="1"/>
  <c r="D480" i="1"/>
  <c r="D482" i="1"/>
  <c r="D484" i="1"/>
  <c r="D486" i="1"/>
  <c r="D488" i="1"/>
  <c r="D489" i="1"/>
  <c r="D492" i="1"/>
  <c r="D494" i="1"/>
  <c r="D496" i="1"/>
  <c r="D498" i="1"/>
  <c r="D500" i="1"/>
  <c r="D502" i="1"/>
  <c r="D504" i="1"/>
  <c r="D505" i="1"/>
  <c r="D508" i="1"/>
  <c r="D510" i="1"/>
  <c r="D512" i="1"/>
  <c r="D514" i="1"/>
  <c r="D516" i="1"/>
  <c r="D518" i="1"/>
  <c r="D520" i="1"/>
  <c r="D522" i="1"/>
  <c r="D524" i="1"/>
  <c r="D526" i="1"/>
  <c r="D528" i="1"/>
  <c r="D530" i="1"/>
  <c r="D532" i="1"/>
  <c r="D534" i="1"/>
  <c r="D536" i="1"/>
  <c r="D537" i="1"/>
  <c r="D540" i="1"/>
  <c r="D542" i="1"/>
  <c r="D544" i="1"/>
  <c r="D548" i="1"/>
  <c r="D1230" i="1"/>
  <c r="D546" i="1"/>
  <c r="D550" i="1"/>
  <c r="D554" i="1"/>
  <c r="D558" i="1"/>
  <c r="D562" i="1"/>
  <c r="D565" i="1"/>
  <c r="D570" i="1"/>
  <c r="D576" i="1"/>
  <c r="D580" i="1"/>
  <c r="D582" i="1"/>
  <c r="D586" i="1"/>
  <c r="D590" i="1"/>
  <c r="D594" i="1"/>
  <c r="D598" i="1"/>
  <c r="D602" i="1"/>
  <c r="D606" i="1"/>
  <c r="D610" i="1"/>
  <c r="D614" i="1"/>
  <c r="D618" i="1"/>
  <c r="D624" i="1"/>
  <c r="D628" i="1"/>
  <c r="D632" i="1"/>
  <c r="D636" i="1"/>
  <c r="D640" i="1"/>
  <c r="D644" i="1"/>
  <c r="D648" i="1"/>
  <c r="D652" i="1"/>
  <c r="D656" i="1"/>
  <c r="D661" i="1"/>
  <c r="D666" i="1"/>
  <c r="D670" i="1"/>
  <c r="D674" i="1"/>
  <c r="D677" i="1"/>
  <c r="D682" i="1"/>
  <c r="D686" i="1"/>
  <c r="D690" i="1"/>
  <c r="D693" i="1"/>
  <c r="D698" i="1"/>
  <c r="D702" i="1"/>
  <c r="D708" i="1"/>
  <c r="D712" i="1"/>
  <c r="D766" i="1"/>
  <c r="D770" i="1"/>
  <c r="D773" i="1"/>
  <c r="D778" i="1"/>
  <c r="D782" i="1"/>
  <c r="D786" i="1"/>
  <c r="D792" i="1"/>
  <c r="D796" i="1"/>
  <c r="D798" i="1"/>
  <c r="D802" i="1"/>
  <c r="D805" i="1"/>
  <c r="D812" i="1"/>
  <c r="D816" i="1"/>
  <c r="D820" i="1"/>
  <c r="D824" i="1"/>
  <c r="D828" i="1"/>
  <c r="D832" i="1"/>
  <c r="D836" i="1"/>
  <c r="D840" i="1"/>
  <c r="D846" i="1"/>
  <c r="D850" i="1"/>
  <c r="D853" i="1"/>
  <c r="D858" i="1"/>
  <c r="D862" i="1"/>
  <c r="D866" i="1"/>
  <c r="D872" i="1"/>
  <c r="D876" i="1"/>
  <c r="D880" i="1"/>
  <c r="D885" i="1"/>
  <c r="D890" i="1"/>
  <c r="D894" i="1"/>
  <c r="D898" i="1"/>
  <c r="D901" i="1"/>
  <c r="D906" i="1"/>
  <c r="D910" i="1"/>
  <c r="D914" i="1"/>
  <c r="D917" i="1"/>
  <c r="D922" i="1"/>
  <c r="D552" i="1"/>
  <c r="D556" i="1"/>
  <c r="D560" i="1"/>
  <c r="D564" i="1"/>
  <c r="D568" i="1"/>
  <c r="D572" i="1"/>
  <c r="D574" i="1"/>
  <c r="D578" i="1"/>
  <c r="D584" i="1"/>
  <c r="D588" i="1"/>
  <c r="D592" i="1"/>
  <c r="D596" i="1"/>
  <c r="D600" i="1"/>
  <c r="D604" i="1"/>
  <c r="D608" i="1"/>
  <c r="D612" i="1"/>
  <c r="D616" i="1"/>
  <c r="D620" i="1"/>
  <c r="D622" i="1"/>
  <c r="D626" i="1"/>
  <c r="D629" i="1"/>
  <c r="D634" i="1"/>
  <c r="D638" i="1"/>
  <c r="D642" i="1"/>
  <c r="D645" i="1"/>
  <c r="D650" i="1"/>
  <c r="D654" i="1"/>
  <c r="D658" i="1"/>
  <c r="D664" i="1"/>
  <c r="D668" i="1"/>
  <c r="D672" i="1"/>
  <c r="D676" i="1"/>
  <c r="D680" i="1"/>
  <c r="D684" i="1"/>
  <c r="D688" i="1"/>
  <c r="D692" i="1"/>
  <c r="D696" i="1"/>
  <c r="D700" i="1"/>
  <c r="D704" i="1"/>
  <c r="D706" i="1"/>
  <c r="D709" i="1"/>
  <c r="D714" i="1"/>
  <c r="D764" i="1"/>
  <c r="D768" i="1"/>
  <c r="D772" i="1"/>
  <c r="D776" i="1"/>
  <c r="D780" i="1"/>
  <c r="D784" i="1"/>
  <c r="D788" i="1"/>
  <c r="D794" i="1"/>
  <c r="D800" i="1"/>
  <c r="D804" i="1"/>
  <c r="D808" i="1"/>
  <c r="D810" i="1"/>
  <c r="D814" i="1"/>
  <c r="D818" i="1"/>
  <c r="D821" i="1"/>
  <c r="D826" i="1"/>
  <c r="D830" i="1"/>
  <c r="D834" i="1"/>
  <c r="D837" i="1"/>
  <c r="D842" i="1"/>
  <c r="D844" i="1"/>
  <c r="D848" i="1"/>
  <c r="D852" i="1"/>
  <c r="D856" i="1"/>
  <c r="D860" i="1"/>
  <c r="D864" i="1"/>
  <c r="D868" i="1"/>
  <c r="D869" i="1"/>
  <c r="D874" i="1"/>
  <c r="D878" i="1"/>
  <c r="D882" i="1"/>
  <c r="D884" i="1"/>
  <c r="D888" i="1"/>
  <c r="D892" i="1"/>
  <c r="D896" i="1"/>
  <c r="D900" i="1"/>
  <c r="D904" i="1"/>
  <c r="D908" i="1"/>
  <c r="D912" i="1"/>
  <c r="D916" i="1"/>
  <c r="D920" i="1"/>
  <c r="D924" i="1"/>
  <c r="D473" i="1"/>
  <c r="D474" i="1"/>
  <c r="D660" i="1"/>
  <c r="D718" i="1"/>
  <c r="D722" i="1"/>
  <c r="D725" i="1"/>
  <c r="D730" i="1"/>
  <c r="D734" i="1"/>
  <c r="D738" i="1"/>
  <c r="D741" i="1"/>
  <c r="D746" i="1"/>
  <c r="D748" i="1"/>
  <c r="D752" i="1"/>
  <c r="D756" i="1"/>
  <c r="D760" i="1"/>
  <c r="D716" i="1"/>
  <c r="D720" i="1"/>
  <c r="D724" i="1"/>
  <c r="D728" i="1"/>
  <c r="D732" i="1"/>
  <c r="D736" i="1"/>
  <c r="D740" i="1"/>
  <c r="D744" i="1"/>
  <c r="D750" i="1"/>
  <c r="D754" i="1"/>
  <c r="D757" i="1"/>
  <c r="D762" i="1"/>
  <c r="D789" i="1"/>
  <c r="C162" i="1"/>
  <c r="D307" i="1"/>
  <c r="D355" i="1"/>
  <c r="D385" i="1"/>
  <c r="D521" i="1"/>
  <c r="D593" i="1"/>
  <c r="D625" i="1"/>
  <c r="D653" i="1"/>
  <c r="D685" i="1"/>
  <c r="D749" i="1"/>
  <c r="D765" i="1"/>
  <c r="D781" i="1"/>
  <c r="D797" i="1"/>
  <c r="D813" i="1"/>
  <c r="D881" i="1"/>
  <c r="D889" i="1"/>
  <c r="D897" i="1"/>
  <c r="D909" i="1"/>
  <c r="D409" i="1"/>
  <c r="D410" i="1"/>
  <c r="D51" i="1"/>
  <c r="C34" i="1"/>
  <c r="C66" i="1"/>
  <c r="C98" i="1"/>
  <c r="C130" i="1"/>
  <c r="C194" i="1"/>
  <c r="D291" i="1"/>
  <c r="D323" i="1"/>
  <c r="D553" i="1"/>
  <c r="D561" i="1"/>
  <c r="D597" i="1"/>
  <c r="D637" i="1"/>
  <c r="D669" i="1"/>
  <c r="D701" i="1"/>
  <c r="D717" i="1"/>
  <c r="D829" i="1"/>
  <c r="D845" i="1"/>
  <c r="D861" i="1"/>
  <c r="D873" i="1"/>
  <c r="D877" i="1"/>
  <c r="D893" i="1"/>
  <c r="D905" i="1"/>
  <c r="D913" i="1"/>
  <c r="D921" i="1"/>
  <c r="D1133" i="1"/>
  <c r="D1137" i="1"/>
  <c r="D926" i="1"/>
  <c r="D928" i="1"/>
  <c r="D930" i="1"/>
  <c r="D932" i="1"/>
  <c r="D933" i="1"/>
  <c r="D936" i="1"/>
  <c r="D938" i="1"/>
  <c r="D940" i="1"/>
  <c r="D942" i="1"/>
  <c r="D944" i="1"/>
  <c r="D946" i="1"/>
  <c r="D948" i="1"/>
  <c r="D949" i="1"/>
  <c r="D952" i="1"/>
  <c r="D954" i="1"/>
  <c r="D956" i="1"/>
  <c r="D958" i="1"/>
  <c r="D960" i="1"/>
  <c r="D962" i="1"/>
  <c r="D964" i="1"/>
  <c r="D965" i="1"/>
  <c r="D968" i="1"/>
  <c r="D970" i="1"/>
  <c r="D972" i="1"/>
  <c r="D974" i="1"/>
  <c r="D976" i="1"/>
  <c r="D978" i="1"/>
  <c r="D980" i="1"/>
  <c r="D981" i="1"/>
  <c r="D984" i="1"/>
  <c r="D986" i="1"/>
  <c r="D988" i="1"/>
  <c r="D990" i="1"/>
  <c r="D992" i="1"/>
  <c r="D994" i="1"/>
  <c r="D996" i="1"/>
  <c r="D997" i="1"/>
  <c r="D1000" i="1"/>
  <c r="D1002" i="1"/>
  <c r="D1004" i="1"/>
  <c r="D1006" i="1"/>
  <c r="D1008" i="1"/>
  <c r="D1010" i="1"/>
  <c r="D1012" i="1"/>
  <c r="D1013" i="1"/>
  <c r="D1016" i="1"/>
  <c r="D1018" i="1"/>
  <c r="D1020" i="1"/>
  <c r="D1022" i="1"/>
  <c r="D1024" i="1"/>
  <c r="D1026" i="1"/>
  <c r="D1028" i="1"/>
  <c r="D1029" i="1"/>
  <c r="D1032" i="1"/>
  <c r="D1034" i="1"/>
  <c r="D1036" i="1"/>
  <c r="D1038" i="1"/>
  <c r="D1040" i="1"/>
  <c r="D1042" i="1"/>
  <c r="D1044" i="1"/>
  <c r="D1045" i="1"/>
  <c r="D1048" i="1"/>
  <c r="D1050" i="1"/>
  <c r="D1052" i="1"/>
  <c r="D1054" i="1"/>
  <c r="D1056" i="1"/>
  <c r="D1058" i="1"/>
  <c r="D1060" i="1"/>
  <c r="D1061" i="1"/>
  <c r="D1064" i="1"/>
  <c r="D1066" i="1"/>
  <c r="D1068" i="1"/>
  <c r="D1070" i="1"/>
  <c r="D1072" i="1"/>
  <c r="D1074" i="1"/>
  <c r="D1076" i="1"/>
  <c r="D1077" i="1"/>
  <c r="D1080" i="1"/>
  <c r="D1082" i="1"/>
  <c r="D1084" i="1"/>
  <c r="D1086" i="1"/>
  <c r="D1087" i="1"/>
  <c r="D1090" i="1"/>
  <c r="D1092" i="1"/>
  <c r="D1094" i="1"/>
  <c r="D1095" i="1"/>
  <c r="D1098" i="1"/>
  <c r="D1100" i="1"/>
  <c r="D1102" i="1"/>
  <c r="D1103" i="1"/>
  <c r="D1106" i="1"/>
  <c r="D1108" i="1"/>
  <c r="D1110" i="1"/>
  <c r="D1111" i="1"/>
  <c r="D1114" i="1"/>
  <c r="D1116" i="1"/>
  <c r="D1118" i="1"/>
  <c r="D1119" i="1"/>
  <c r="D1122" i="1"/>
  <c r="D1124" i="1"/>
  <c r="D1126" i="1"/>
  <c r="D1127" i="1"/>
  <c r="D1130" i="1"/>
  <c r="D1132" i="1"/>
  <c r="D1134" i="1"/>
  <c r="D1135" i="1"/>
  <c r="D1138" i="1"/>
  <c r="D1140" i="1"/>
  <c r="D1142" i="1"/>
  <c r="D1143" i="1"/>
  <c r="D1146" i="1"/>
  <c r="D1148" i="1"/>
  <c r="D1150" i="1"/>
  <c r="D1151" i="1"/>
  <c r="D1154" i="1"/>
  <c r="D1156" i="1"/>
  <c r="D1158" i="1"/>
  <c r="D1159" i="1"/>
  <c r="D1162" i="1"/>
  <c r="D1164" i="1"/>
  <c r="D1166" i="1"/>
  <c r="D1167" i="1"/>
  <c r="D1170" i="1"/>
  <c r="D1172" i="1"/>
  <c r="D1174" i="1"/>
  <c r="D1175" i="1"/>
  <c r="D1178" i="1"/>
  <c r="D1180" i="1"/>
  <c r="D1182" i="1"/>
  <c r="D1183" i="1"/>
  <c r="D1186" i="1"/>
  <c r="D1188" i="1"/>
  <c r="D1190" i="1"/>
  <c r="D1191" i="1"/>
  <c r="D1194" i="1"/>
  <c r="D1196" i="1"/>
  <c r="D1198" i="1"/>
  <c r="D1199" i="1"/>
  <c r="D1202" i="1"/>
  <c r="D1204" i="1"/>
  <c r="D1206" i="1"/>
  <c r="D1207" i="1"/>
  <c r="D1210" i="1"/>
  <c r="D1212" i="1"/>
  <c r="D1214" i="1"/>
  <c r="D1215" i="1"/>
  <c r="D1218" i="1"/>
  <c r="D1220" i="1"/>
  <c r="D1222" i="1"/>
  <c r="D1223" i="1"/>
  <c r="D1226" i="1"/>
  <c r="D1228" i="1"/>
  <c r="C4" i="1"/>
  <c r="D53" i="1"/>
  <c r="C10" i="1"/>
  <c r="D59" i="1"/>
  <c r="C16" i="1"/>
  <c r="D65" i="1"/>
  <c r="C20" i="1"/>
  <c r="D69" i="1"/>
  <c r="C26" i="1"/>
  <c r="D75" i="1"/>
  <c r="C30" i="1"/>
  <c r="D79" i="1"/>
  <c r="C36" i="1"/>
  <c r="D85" i="1"/>
  <c r="C42" i="1"/>
  <c r="D91" i="1"/>
  <c r="C52" i="1"/>
  <c r="D101" i="1"/>
  <c r="C58" i="1"/>
  <c r="D107" i="1"/>
  <c r="C60" i="1"/>
  <c r="D109" i="1"/>
  <c r="C64" i="1"/>
  <c r="D113" i="1"/>
  <c r="C70" i="1"/>
  <c r="D119" i="1"/>
  <c r="C76" i="1"/>
  <c r="D125" i="1"/>
  <c r="C84" i="1"/>
  <c r="D133" i="1"/>
  <c r="C92" i="1"/>
  <c r="D141" i="1"/>
  <c r="C96" i="1"/>
  <c r="D145" i="1"/>
  <c r="C102" i="1"/>
  <c r="D151" i="1"/>
  <c r="C108" i="1"/>
  <c r="D157" i="1"/>
  <c r="C114" i="1"/>
  <c r="D163" i="1"/>
  <c r="C120" i="1"/>
  <c r="D169" i="1"/>
  <c r="C126" i="1"/>
  <c r="D175" i="1"/>
  <c r="C132" i="1"/>
  <c r="D181" i="1"/>
  <c r="C138" i="1"/>
  <c r="D187" i="1"/>
  <c r="C144" i="1"/>
  <c r="D193" i="1"/>
  <c r="C148" i="1"/>
  <c r="D197" i="1"/>
  <c r="C154" i="1"/>
  <c r="D203" i="1"/>
  <c r="C158" i="1"/>
  <c r="D207" i="1"/>
  <c r="C164" i="1"/>
  <c r="D213" i="1"/>
  <c r="C168" i="1"/>
  <c r="D217" i="1"/>
  <c r="C174" i="1"/>
  <c r="D223" i="1"/>
  <c r="C178" i="1"/>
  <c r="D227" i="1"/>
  <c r="C182" i="1"/>
  <c r="D231" i="1"/>
  <c r="C186" i="1"/>
  <c r="D235" i="1"/>
  <c r="C190" i="1"/>
  <c r="D239" i="1"/>
  <c r="C196" i="1"/>
  <c r="D245" i="1"/>
  <c r="C204" i="1"/>
  <c r="D253" i="1"/>
  <c r="C210" i="1"/>
  <c r="D259" i="1"/>
  <c r="C216" i="1"/>
  <c r="D265" i="1"/>
  <c r="C222" i="1"/>
  <c r="D271" i="1"/>
  <c r="D1224" i="1"/>
  <c r="D1216" i="1"/>
  <c r="D1208" i="1"/>
  <c r="D1200" i="1"/>
  <c r="D1192" i="1"/>
  <c r="D1184" i="1"/>
  <c r="D1176" i="1"/>
  <c r="D1168" i="1"/>
  <c r="D1160" i="1"/>
  <c r="D1152" i="1"/>
  <c r="D1144" i="1"/>
  <c r="D1136" i="1"/>
  <c r="D1128" i="1"/>
  <c r="D1120" i="1"/>
  <c r="D1112" i="1"/>
  <c r="D1104" i="1"/>
  <c r="D1096" i="1"/>
  <c r="D1088" i="1"/>
  <c r="D1078" i="1"/>
  <c r="D1062" i="1"/>
  <c r="D1046" i="1"/>
  <c r="D1030" i="1"/>
  <c r="D1014" i="1"/>
  <c r="D998" i="1"/>
  <c r="D982" i="1"/>
  <c r="D966" i="1"/>
  <c r="D950" i="1"/>
  <c r="D934" i="1"/>
  <c r="D918" i="1"/>
  <c r="D902" i="1"/>
  <c r="D886" i="1"/>
  <c r="D870" i="1"/>
  <c r="D854" i="1"/>
  <c r="D838" i="1"/>
  <c r="D822" i="1"/>
  <c r="D806" i="1"/>
  <c r="D790" i="1"/>
  <c r="D774" i="1"/>
  <c r="D758" i="1"/>
  <c r="D742" i="1"/>
  <c r="D726" i="1"/>
  <c r="D710" i="1"/>
  <c r="D694" i="1"/>
  <c r="D678" i="1"/>
  <c r="D662" i="1"/>
  <c r="D646" i="1"/>
  <c r="D630" i="1"/>
  <c r="D609" i="1"/>
  <c r="D566" i="1"/>
  <c r="D538" i="1"/>
  <c r="D506" i="1"/>
  <c r="D458" i="1"/>
  <c r="D394" i="1"/>
  <c r="D275" i="1"/>
  <c r="D147" i="1"/>
  <c r="C8" i="1"/>
  <c r="D57" i="1"/>
  <c r="C14" i="1"/>
  <c r="D63" i="1"/>
  <c r="C22" i="1"/>
  <c r="D71" i="1"/>
  <c r="C40" i="1"/>
  <c r="D89" i="1"/>
  <c r="C46" i="1"/>
  <c r="D95" i="1"/>
  <c r="C48" i="1"/>
  <c r="D97" i="1"/>
  <c r="C54" i="1"/>
  <c r="D103" i="1"/>
  <c r="C62" i="1"/>
  <c r="D111" i="1"/>
  <c r="C68" i="1"/>
  <c r="D117" i="1"/>
  <c r="C72" i="1"/>
  <c r="D121" i="1"/>
  <c r="C78" i="1"/>
  <c r="D127" i="1"/>
  <c r="C82" i="1"/>
  <c r="D131" i="1"/>
  <c r="C90" i="1"/>
  <c r="D139" i="1"/>
  <c r="C106" i="1"/>
  <c r="D155" i="1"/>
  <c r="C112" i="1"/>
  <c r="D161" i="1"/>
  <c r="C118" i="1"/>
  <c r="D167" i="1"/>
  <c r="C122" i="1"/>
  <c r="D171" i="1"/>
  <c r="C124" i="1"/>
  <c r="D173" i="1"/>
  <c r="C128" i="1"/>
  <c r="D177" i="1"/>
  <c r="C136" i="1"/>
  <c r="D185" i="1"/>
  <c r="C140" i="1"/>
  <c r="D189" i="1"/>
  <c r="C146" i="1"/>
  <c r="D195" i="1"/>
  <c r="C152" i="1"/>
  <c r="D201" i="1"/>
  <c r="C170" i="1"/>
  <c r="D219" i="1"/>
  <c r="C200" i="1"/>
  <c r="D249" i="1"/>
  <c r="C206" i="1"/>
  <c r="D255" i="1"/>
  <c r="C212" i="1"/>
  <c r="D261" i="1"/>
  <c r="C218" i="1"/>
  <c r="D267" i="1"/>
  <c r="C220" i="1"/>
  <c r="D269" i="1"/>
  <c r="D56" i="1"/>
  <c r="D60" i="1"/>
  <c r="D62" i="1"/>
  <c r="D66" i="1"/>
  <c r="D70" i="1"/>
  <c r="D74" i="1"/>
  <c r="D78" i="1"/>
  <c r="D82" i="1"/>
  <c r="D86" i="1"/>
  <c r="D90" i="1"/>
  <c r="D94" i="1"/>
  <c r="D98" i="1"/>
  <c r="D102" i="1"/>
  <c r="D106" i="1"/>
  <c r="D110" i="1"/>
  <c r="D114" i="1"/>
  <c r="D116" i="1"/>
  <c r="D120" i="1"/>
  <c r="D124" i="1"/>
  <c r="D126" i="1"/>
  <c r="D132" i="1"/>
  <c r="D136" i="1"/>
  <c r="D140" i="1"/>
  <c r="D144" i="1"/>
  <c r="D148" i="1"/>
  <c r="D152" i="1"/>
  <c r="D156" i="1"/>
  <c r="D160" i="1"/>
  <c r="D164" i="1"/>
  <c r="D168" i="1"/>
  <c r="D172" i="1"/>
  <c r="D174" i="1"/>
  <c r="D178" i="1"/>
  <c r="D182" i="1"/>
  <c r="D186" i="1"/>
  <c r="D190" i="1"/>
  <c r="D192" i="1"/>
  <c r="D196" i="1"/>
  <c r="D200" i="1"/>
  <c r="D204" i="1"/>
  <c r="D208" i="1"/>
  <c r="D210" i="1"/>
  <c r="D214" i="1"/>
  <c r="D218" i="1"/>
  <c r="D222" i="1"/>
  <c r="D226" i="1"/>
  <c r="D228" i="1"/>
  <c r="D234" i="1"/>
  <c r="D236" i="1"/>
  <c r="D240" i="1"/>
  <c r="D244" i="1"/>
  <c r="D248" i="1"/>
  <c r="D252" i="1"/>
  <c r="D256" i="1"/>
  <c r="D260" i="1"/>
  <c r="D264" i="1"/>
  <c r="D270" i="1"/>
  <c r="D442" i="1"/>
  <c r="D371" i="1"/>
  <c r="D243" i="1"/>
  <c r="D115" i="1"/>
  <c r="C6" i="1"/>
  <c r="D55" i="1"/>
  <c r="C12" i="1"/>
  <c r="D61" i="1"/>
  <c r="C18" i="1"/>
  <c r="D67" i="1"/>
  <c r="C24" i="1"/>
  <c r="D73" i="1"/>
  <c r="C28" i="1"/>
  <c r="D77" i="1"/>
  <c r="C32" i="1"/>
  <c r="D81" i="1"/>
  <c r="C38" i="1"/>
  <c r="D87" i="1"/>
  <c r="C44" i="1"/>
  <c r="D93" i="1"/>
  <c r="C50" i="1"/>
  <c r="D99" i="1"/>
  <c r="C56" i="1"/>
  <c r="D105" i="1"/>
  <c r="C74" i="1"/>
  <c r="D123" i="1"/>
  <c r="C80" i="1"/>
  <c r="D129" i="1"/>
  <c r="C86" i="1"/>
  <c r="D135" i="1"/>
  <c r="C88" i="1"/>
  <c r="D137" i="1"/>
  <c r="C94" i="1"/>
  <c r="D143" i="1"/>
  <c r="C100" i="1"/>
  <c r="D149" i="1"/>
  <c r="C104" i="1"/>
  <c r="D153" i="1"/>
  <c r="C110" i="1"/>
  <c r="D159" i="1"/>
  <c r="C116" i="1"/>
  <c r="D165" i="1"/>
  <c r="C134" i="1"/>
  <c r="D183" i="1"/>
  <c r="C142" i="1"/>
  <c r="D191" i="1"/>
  <c r="C150" i="1"/>
  <c r="D199" i="1"/>
  <c r="C156" i="1"/>
  <c r="D205" i="1"/>
  <c r="C160" i="1"/>
  <c r="D209" i="1"/>
  <c r="C166" i="1"/>
  <c r="D215" i="1"/>
  <c r="C172" i="1"/>
  <c r="D221" i="1"/>
  <c r="C176" i="1"/>
  <c r="D225" i="1"/>
  <c r="C180" i="1"/>
  <c r="D229" i="1"/>
  <c r="C184" i="1"/>
  <c r="D233" i="1"/>
  <c r="C188" i="1"/>
  <c r="D237" i="1"/>
  <c r="C192" i="1"/>
  <c r="D241" i="1"/>
  <c r="C198" i="1"/>
  <c r="D247" i="1"/>
  <c r="C202" i="1"/>
  <c r="D251" i="1"/>
  <c r="C208" i="1"/>
  <c r="D257" i="1"/>
  <c r="C214" i="1"/>
  <c r="D263" i="1"/>
  <c r="C224" i="1"/>
  <c r="D273" i="1"/>
  <c r="D179" i="1"/>
  <c r="D52" i="1"/>
  <c r="D54" i="1"/>
  <c r="D58" i="1"/>
  <c r="D64" i="1"/>
  <c r="D68" i="1"/>
  <c r="D72" i="1"/>
  <c r="D76" i="1"/>
  <c r="D80" i="1"/>
  <c r="D84" i="1"/>
  <c r="D88" i="1"/>
  <c r="D92" i="1"/>
  <c r="D96" i="1"/>
  <c r="D100" i="1"/>
  <c r="D104" i="1"/>
  <c r="D108" i="1"/>
  <c r="D112" i="1"/>
  <c r="D118" i="1"/>
  <c r="D122" i="1"/>
  <c r="D128" i="1"/>
  <c r="D130" i="1"/>
  <c r="D134" i="1"/>
  <c r="D138" i="1"/>
  <c r="D142" i="1"/>
  <c r="D146" i="1"/>
  <c r="D150" i="1"/>
  <c r="D154" i="1"/>
  <c r="D158" i="1"/>
  <c r="D162" i="1"/>
  <c r="D166" i="1"/>
  <c r="D170" i="1"/>
  <c r="D176" i="1"/>
  <c r="D180" i="1"/>
  <c r="D184" i="1"/>
  <c r="D188" i="1"/>
  <c r="D194" i="1"/>
  <c r="D198" i="1"/>
  <c r="D202" i="1"/>
  <c r="D206" i="1"/>
  <c r="D212" i="1"/>
  <c r="D216" i="1"/>
  <c r="D220" i="1"/>
  <c r="D224" i="1"/>
  <c r="D230" i="1"/>
  <c r="D232" i="1"/>
  <c r="D238" i="1"/>
  <c r="D242" i="1"/>
  <c r="D246" i="1"/>
  <c r="D250" i="1"/>
  <c r="D254" i="1"/>
  <c r="D258" i="1"/>
  <c r="D262" i="1"/>
  <c r="D266" i="1"/>
  <c r="D268" i="1"/>
  <c r="D272" i="1"/>
  <c r="D577" i="1"/>
  <c r="D490" i="1"/>
  <c r="D426" i="1"/>
  <c r="D339" i="1"/>
  <c r="D211" i="1"/>
  <c r="D83" i="1"/>
  <c r="C226" i="1"/>
  <c r="C228" i="1"/>
  <c r="D277" i="1"/>
  <c r="C230" i="1"/>
  <c r="D279" i="1"/>
  <c r="C232" i="1"/>
  <c r="D281" i="1"/>
  <c r="C234" i="1"/>
  <c r="D283" i="1"/>
  <c r="C236" i="1"/>
  <c r="D285" i="1"/>
  <c r="C238" i="1"/>
  <c r="D287" i="1"/>
  <c r="C240" i="1"/>
  <c r="D289" i="1"/>
  <c r="C242" i="1"/>
  <c r="C244" i="1"/>
  <c r="D293" i="1"/>
  <c r="C246" i="1"/>
  <c r="D295" i="1"/>
  <c r="C248" i="1"/>
  <c r="D297" i="1"/>
  <c r="C250" i="1"/>
  <c r="D299" i="1"/>
  <c r="C252" i="1"/>
  <c r="D301" i="1"/>
  <c r="C254" i="1"/>
  <c r="D303" i="1"/>
  <c r="C256" i="1"/>
  <c r="D305" i="1"/>
  <c r="C258" i="1"/>
  <c r="C260" i="1"/>
  <c r="D309" i="1"/>
  <c r="C262" i="1"/>
  <c r="D311" i="1"/>
  <c r="C264" i="1"/>
  <c r="D313" i="1"/>
  <c r="C266" i="1"/>
  <c r="D315" i="1"/>
  <c r="C268" i="1"/>
  <c r="D317" i="1"/>
  <c r="C270" i="1"/>
  <c r="D319" i="1"/>
  <c r="C272" i="1"/>
  <c r="D321" i="1"/>
  <c r="C274" i="1"/>
  <c r="C276" i="1"/>
  <c r="D325" i="1"/>
  <c r="C278" i="1"/>
  <c r="D327" i="1"/>
  <c r="C280" i="1"/>
  <c r="D329" i="1"/>
  <c r="C282" i="1"/>
  <c r="D331" i="1"/>
  <c r="C284" i="1"/>
  <c r="D333" i="1"/>
  <c r="C286" i="1"/>
  <c r="D335" i="1"/>
  <c r="C288" i="1"/>
  <c r="D337" i="1"/>
  <c r="C290" i="1"/>
  <c r="C292" i="1"/>
  <c r="D341" i="1"/>
  <c r="C294" i="1"/>
  <c r="D343" i="1"/>
  <c r="C296" i="1"/>
  <c r="D345" i="1"/>
  <c r="C298" i="1"/>
  <c r="D347" i="1"/>
  <c r="C300" i="1"/>
  <c r="D349" i="1"/>
  <c r="C302" i="1"/>
  <c r="D351" i="1"/>
  <c r="C304" i="1"/>
  <c r="D353" i="1"/>
  <c r="C306" i="1"/>
  <c r="C308" i="1"/>
  <c r="D357" i="1"/>
  <c r="C310" i="1"/>
  <c r="D359" i="1"/>
  <c r="C312" i="1"/>
  <c r="D361" i="1"/>
  <c r="C314" i="1"/>
  <c r="D363" i="1"/>
  <c r="C316" i="1"/>
  <c r="D365" i="1"/>
  <c r="C318" i="1"/>
  <c r="D367" i="1"/>
  <c r="C320" i="1"/>
  <c r="D369" i="1"/>
  <c r="C322" i="1"/>
  <c r="C324" i="1"/>
  <c r="D373" i="1"/>
  <c r="C326" i="1"/>
  <c r="D375" i="1"/>
  <c r="C328" i="1"/>
  <c r="D377" i="1"/>
  <c r="C330" i="1"/>
  <c r="D379" i="1"/>
  <c r="C332" i="1"/>
  <c r="D381" i="1"/>
  <c r="C334" i="1"/>
  <c r="C336" i="1"/>
  <c r="C338" i="1"/>
  <c r="D387" i="1"/>
  <c r="C340" i="1"/>
  <c r="D389" i="1"/>
  <c r="C342" i="1"/>
  <c r="D391" i="1"/>
  <c r="C344" i="1"/>
  <c r="C346" i="1"/>
  <c r="D395" i="1"/>
  <c r="C348" i="1"/>
  <c r="D397" i="1"/>
  <c r="C350" i="1"/>
  <c r="D399" i="1"/>
  <c r="C352" i="1"/>
  <c r="C354" i="1"/>
  <c r="D403" i="1"/>
  <c r="C356" i="1"/>
  <c r="D405" i="1"/>
  <c r="C358" i="1"/>
  <c r="D407" i="1"/>
  <c r="C360" i="1"/>
  <c r="C362" i="1"/>
  <c r="D411" i="1"/>
  <c r="C364" i="1"/>
  <c r="D413" i="1"/>
  <c r="C366" i="1"/>
  <c r="D415" i="1"/>
  <c r="C368" i="1"/>
  <c r="C370" i="1"/>
  <c r="D419" i="1"/>
  <c r="C372" i="1"/>
  <c r="D421" i="1"/>
  <c r="C374" i="1"/>
  <c r="D423" i="1"/>
  <c r="C376" i="1"/>
  <c r="C378" i="1"/>
  <c r="D427" i="1"/>
  <c r="C380" i="1"/>
  <c r="D429" i="1"/>
  <c r="C382" i="1"/>
  <c r="D431" i="1"/>
  <c r="C384" i="1"/>
  <c r="C386" i="1"/>
  <c r="D435" i="1"/>
  <c r="C388" i="1"/>
  <c r="D437" i="1"/>
  <c r="C390" i="1"/>
  <c r="D439" i="1"/>
  <c r="C392" i="1"/>
  <c r="C394" i="1"/>
  <c r="D443" i="1"/>
  <c r="C396" i="1"/>
  <c r="D445" i="1"/>
  <c r="C398" i="1"/>
  <c r="D447" i="1"/>
  <c r="C400" i="1"/>
  <c r="C402" i="1"/>
  <c r="D451" i="1"/>
  <c r="C404" i="1"/>
  <c r="D453" i="1"/>
  <c r="C406" i="1"/>
  <c r="D455" i="1"/>
  <c r="C408" i="1"/>
  <c r="C410" i="1"/>
  <c r="D459" i="1"/>
  <c r="C412" i="1"/>
  <c r="D461" i="1"/>
  <c r="C414" i="1"/>
  <c r="D463" i="1"/>
  <c r="C416" i="1"/>
  <c r="C418" i="1"/>
  <c r="D467" i="1"/>
  <c r="C420" i="1"/>
  <c r="D469" i="1"/>
  <c r="C422" i="1"/>
  <c r="D471" i="1"/>
  <c r="C424" i="1"/>
  <c r="C426" i="1"/>
  <c r="D475" i="1"/>
  <c r="C428" i="1"/>
  <c r="D477" i="1"/>
  <c r="C430" i="1"/>
  <c r="D479" i="1"/>
  <c r="C432" i="1"/>
  <c r="C434" i="1"/>
  <c r="D483" i="1"/>
  <c r="C436" i="1"/>
  <c r="D485" i="1"/>
  <c r="C438" i="1"/>
  <c r="D487" i="1"/>
  <c r="C440" i="1"/>
  <c r="C442" i="1"/>
  <c r="D491" i="1"/>
  <c r="C444" i="1"/>
  <c r="D493" i="1"/>
  <c r="C446" i="1"/>
  <c r="D495" i="1"/>
  <c r="C448" i="1"/>
  <c r="C450" i="1"/>
  <c r="D499" i="1"/>
  <c r="C452" i="1"/>
  <c r="D501" i="1"/>
  <c r="C454" i="1"/>
  <c r="D503" i="1"/>
  <c r="C456" i="1"/>
  <c r="C458" i="1"/>
  <c r="D507" i="1"/>
  <c r="C460" i="1"/>
  <c r="D509" i="1"/>
  <c r="C462" i="1"/>
  <c r="D511" i="1"/>
  <c r="C464" i="1"/>
  <c r="C466" i="1"/>
  <c r="D515" i="1"/>
  <c r="C468" i="1"/>
  <c r="D517" i="1"/>
  <c r="C470" i="1"/>
  <c r="D519" i="1"/>
  <c r="C472" i="1"/>
  <c r="C474" i="1"/>
  <c r="D523" i="1"/>
  <c r="C476" i="1"/>
  <c r="D525" i="1"/>
  <c r="C478" i="1"/>
  <c r="D527" i="1"/>
  <c r="C480" i="1"/>
  <c r="C482" i="1"/>
  <c r="D531" i="1"/>
  <c r="C484" i="1"/>
  <c r="D533" i="1"/>
  <c r="C486" i="1"/>
  <c r="D535" i="1"/>
  <c r="C488" i="1"/>
  <c r="C490" i="1"/>
  <c r="D539" i="1"/>
  <c r="C492" i="1"/>
  <c r="D541" i="1"/>
  <c r="C494" i="1"/>
  <c r="D543" i="1"/>
  <c r="C496" i="1"/>
  <c r="C498" i="1"/>
  <c r="D547" i="1"/>
  <c r="C500" i="1"/>
  <c r="D549" i="1"/>
  <c r="C502" i="1"/>
  <c r="D551" i="1"/>
  <c r="C504" i="1"/>
  <c r="C506" i="1"/>
  <c r="D555" i="1"/>
  <c r="C508" i="1"/>
  <c r="D557" i="1"/>
  <c r="C510" i="1"/>
  <c r="D559" i="1"/>
  <c r="C512" i="1"/>
  <c r="C514" i="1"/>
  <c r="D563" i="1"/>
  <c r="C516" i="1"/>
  <c r="C518" i="1"/>
  <c r="D567" i="1"/>
  <c r="C520" i="1"/>
  <c r="D569" i="1"/>
  <c r="C522" i="1"/>
  <c r="D571" i="1"/>
  <c r="C524" i="1"/>
  <c r="D573" i="1"/>
  <c r="C526" i="1"/>
  <c r="D575" i="1"/>
  <c r="C528" i="1"/>
  <c r="C530" i="1"/>
  <c r="D579" i="1"/>
  <c r="C532" i="1"/>
  <c r="C534" i="1"/>
  <c r="D583" i="1"/>
  <c r="C536" i="1"/>
  <c r="D585" i="1"/>
  <c r="C538" i="1"/>
  <c r="D587" i="1"/>
  <c r="C540" i="1"/>
  <c r="D589" i="1"/>
  <c r="C542" i="1"/>
  <c r="D591" i="1"/>
  <c r="C544" i="1"/>
  <c r="C546" i="1"/>
  <c r="D595" i="1"/>
  <c r="C548" i="1"/>
  <c r="C550" i="1"/>
  <c r="D599" i="1"/>
  <c r="C552" i="1"/>
  <c r="D601" i="1"/>
  <c r="C554" i="1"/>
  <c r="D603" i="1"/>
  <c r="C556" i="1"/>
  <c r="D605" i="1"/>
  <c r="C558" i="1"/>
  <c r="D607" i="1"/>
  <c r="C560" i="1"/>
  <c r="C562" i="1"/>
  <c r="D611" i="1"/>
  <c r="C564" i="1"/>
  <c r="C566" i="1"/>
  <c r="D615" i="1"/>
  <c r="C568" i="1"/>
  <c r="D617" i="1"/>
  <c r="C570" i="1"/>
  <c r="D619" i="1"/>
  <c r="C572" i="1"/>
  <c r="D621" i="1"/>
  <c r="C574" i="1"/>
  <c r="D623" i="1"/>
  <c r="C576" i="1"/>
  <c r="C578" i="1"/>
  <c r="D627" i="1"/>
  <c r="C580" i="1"/>
  <c r="C582" i="1"/>
  <c r="D631" i="1"/>
  <c r="C584" i="1"/>
  <c r="C586" i="1"/>
  <c r="D635" i="1"/>
  <c r="C588" i="1"/>
  <c r="C590" i="1"/>
  <c r="D639" i="1"/>
  <c r="C592" i="1"/>
  <c r="C594" i="1"/>
  <c r="D643" i="1"/>
  <c r="C596" i="1"/>
  <c r="C598" i="1"/>
  <c r="D647" i="1"/>
  <c r="C600" i="1"/>
  <c r="C602" i="1"/>
  <c r="D651" i="1"/>
  <c r="C604" i="1"/>
  <c r="C606" i="1"/>
  <c r="D655" i="1"/>
  <c r="C608" i="1"/>
  <c r="C610" i="1"/>
  <c r="D659" i="1"/>
  <c r="C612" i="1"/>
  <c r="C614" i="1"/>
  <c r="D663" i="1"/>
  <c r="C616" i="1"/>
  <c r="C618" i="1"/>
  <c r="D667" i="1"/>
  <c r="C620" i="1"/>
  <c r="C622" i="1"/>
  <c r="D671" i="1"/>
  <c r="C624" i="1"/>
  <c r="C626" i="1"/>
  <c r="D675" i="1"/>
  <c r="C628" i="1"/>
  <c r="C630" i="1"/>
  <c r="D679" i="1"/>
  <c r="C632" i="1"/>
  <c r="C634" i="1"/>
  <c r="D683" i="1"/>
  <c r="C636" i="1"/>
  <c r="C638" i="1"/>
  <c r="D687" i="1"/>
  <c r="C640" i="1"/>
  <c r="C642" i="1"/>
  <c r="D691" i="1"/>
  <c r="C644" i="1"/>
  <c r="C646" i="1"/>
  <c r="D695" i="1"/>
  <c r="C648" i="1"/>
  <c r="C650" i="1"/>
  <c r="D699" i="1"/>
  <c r="C652" i="1"/>
  <c r="C654" i="1"/>
  <c r="D703" i="1"/>
  <c r="C656" i="1"/>
  <c r="C658" i="1"/>
  <c r="D707" i="1"/>
  <c r="C660" i="1"/>
  <c r="C662" i="1"/>
  <c r="D711" i="1"/>
  <c r="C664" i="1"/>
  <c r="C666" i="1"/>
  <c r="D715" i="1"/>
  <c r="C668" i="1"/>
  <c r="C670" i="1"/>
  <c r="D719" i="1"/>
  <c r="C672" i="1"/>
  <c r="C674" i="1"/>
  <c r="D723" i="1"/>
  <c r="C676" i="1"/>
  <c r="C678" i="1"/>
  <c r="D727" i="1"/>
  <c r="C680" i="1"/>
  <c r="C682" i="1"/>
  <c r="D731" i="1"/>
  <c r="C684" i="1"/>
  <c r="C686" i="1"/>
  <c r="D735" i="1"/>
  <c r="C688" i="1"/>
  <c r="C690" i="1"/>
  <c r="D739" i="1"/>
  <c r="C692" i="1"/>
  <c r="C694" i="1"/>
  <c r="D743" i="1"/>
  <c r="C696" i="1"/>
  <c r="C698" i="1"/>
  <c r="D747" i="1"/>
  <c r="C700" i="1"/>
  <c r="C702" i="1"/>
  <c r="D751" i="1"/>
  <c r="C704" i="1"/>
  <c r="C706" i="1"/>
  <c r="D755" i="1"/>
  <c r="C708" i="1"/>
  <c r="C710" i="1"/>
  <c r="D759" i="1"/>
  <c r="C712" i="1"/>
  <c r="C714" i="1"/>
  <c r="D763" i="1"/>
  <c r="C716" i="1"/>
  <c r="C718" i="1"/>
  <c r="D767" i="1"/>
  <c r="C720" i="1"/>
  <c r="C722" i="1"/>
  <c r="D771" i="1"/>
  <c r="C724" i="1"/>
  <c r="C726" i="1"/>
  <c r="D775" i="1"/>
  <c r="C728" i="1"/>
  <c r="C730" i="1"/>
  <c r="D779" i="1"/>
  <c r="C732" i="1"/>
  <c r="C734" i="1"/>
  <c r="D783" i="1"/>
  <c r="C736" i="1"/>
  <c r="C738" i="1"/>
  <c r="D787" i="1"/>
  <c r="C740" i="1"/>
  <c r="C742" i="1"/>
  <c r="D791" i="1"/>
  <c r="C744" i="1"/>
  <c r="C746" i="1"/>
  <c r="D795" i="1"/>
  <c r="C748" i="1"/>
  <c r="C750" i="1"/>
  <c r="D799" i="1"/>
  <c r="C752" i="1"/>
  <c r="C754" i="1"/>
  <c r="D803" i="1"/>
  <c r="C756" i="1"/>
  <c r="C758" i="1"/>
  <c r="D807" i="1"/>
  <c r="C760" i="1"/>
  <c r="C762" i="1"/>
  <c r="D811" i="1"/>
  <c r="C764" i="1"/>
  <c r="C766" i="1"/>
  <c r="D815" i="1"/>
  <c r="C768" i="1"/>
  <c r="C770" i="1"/>
  <c r="D819" i="1"/>
  <c r="C772" i="1"/>
  <c r="C774" i="1"/>
  <c r="D823" i="1"/>
  <c r="C776" i="1"/>
  <c r="C778" i="1"/>
  <c r="D827" i="1"/>
  <c r="C780" i="1"/>
  <c r="C782" i="1"/>
  <c r="D831" i="1"/>
  <c r="C784" i="1"/>
  <c r="C786" i="1"/>
  <c r="D835" i="1"/>
  <c r="C788" i="1"/>
  <c r="C790" i="1"/>
  <c r="D839" i="1"/>
  <c r="C792" i="1"/>
  <c r="C794" i="1"/>
  <c r="D843" i="1"/>
  <c r="C796" i="1"/>
  <c r="C798" i="1"/>
  <c r="D847" i="1"/>
  <c r="C800" i="1"/>
  <c r="C802" i="1"/>
  <c r="D851" i="1"/>
  <c r="C804" i="1"/>
  <c r="C806" i="1"/>
  <c r="D855" i="1"/>
  <c r="C808" i="1"/>
  <c r="C810" i="1"/>
  <c r="D859" i="1"/>
  <c r="C812" i="1"/>
  <c r="C814" i="1"/>
  <c r="D863" i="1"/>
  <c r="C816" i="1"/>
  <c r="C818" i="1"/>
  <c r="D867" i="1"/>
  <c r="D871" i="1"/>
  <c r="D875" i="1"/>
  <c r="D879" i="1"/>
  <c r="D883" i="1"/>
  <c r="D887" i="1"/>
  <c r="D891" i="1"/>
  <c r="D895" i="1"/>
  <c r="D899" i="1"/>
  <c r="D903" i="1"/>
  <c r="D907" i="1"/>
  <c r="D911" i="1"/>
  <c r="D915" i="1"/>
  <c r="D919" i="1"/>
  <c r="D923" i="1"/>
  <c r="D927" i="1"/>
  <c r="D931" i="1"/>
  <c r="D935" i="1"/>
  <c r="D939" i="1"/>
  <c r="D943" i="1"/>
  <c r="D947" i="1"/>
  <c r="D951" i="1"/>
  <c r="D955" i="1"/>
  <c r="D959" i="1"/>
  <c r="D963" i="1"/>
  <c r="D967" i="1"/>
  <c r="D971" i="1"/>
  <c r="D975" i="1"/>
  <c r="D979" i="1"/>
  <c r="D983" i="1"/>
  <c r="D987" i="1"/>
  <c r="D991" i="1"/>
  <c r="D995" i="1"/>
  <c r="D999" i="1"/>
  <c r="D1003" i="1"/>
  <c r="D1007" i="1"/>
  <c r="D1011" i="1"/>
  <c r="D1015" i="1"/>
  <c r="D1019" i="1"/>
  <c r="D1023" i="1"/>
  <c r="D1027" i="1"/>
  <c r="D1031" i="1"/>
  <c r="D1035" i="1"/>
  <c r="D1039" i="1"/>
  <c r="D1043" i="1"/>
  <c r="D1047" i="1"/>
  <c r="D1051" i="1"/>
  <c r="D1055" i="1"/>
  <c r="D1059" i="1"/>
  <c r="D1063" i="1"/>
  <c r="D1067" i="1"/>
  <c r="D1071" i="1"/>
  <c r="D1075" i="1"/>
  <c r="D1079" i="1"/>
  <c r="D1083" i="1"/>
  <c r="D865" i="1"/>
  <c r="D857" i="1"/>
  <c r="D849" i="1"/>
  <c r="D841" i="1"/>
  <c r="D833" i="1"/>
  <c r="D825" i="1"/>
  <c r="D817" i="1"/>
  <c r="D809" i="1"/>
  <c r="D801" i="1"/>
  <c r="D793" i="1"/>
  <c r="D785" i="1"/>
  <c r="D777" i="1"/>
  <c r="D769" i="1"/>
  <c r="D761" i="1"/>
  <c r="D753" i="1"/>
  <c r="D745" i="1"/>
  <c r="D737" i="1"/>
  <c r="D729" i="1"/>
  <c r="D721" i="1"/>
  <c r="D713" i="1"/>
  <c r="D705" i="1"/>
  <c r="D697" i="1"/>
  <c r="D689" i="1"/>
  <c r="D681" i="1"/>
  <c r="D673" i="1"/>
  <c r="D665" i="1"/>
  <c r="D657" i="1"/>
  <c r="D649" i="1"/>
  <c r="D641" i="1"/>
  <c r="D633" i="1"/>
  <c r="D613" i="1"/>
  <c r="D581" i="1"/>
  <c r="D545" i="1"/>
  <c r="D529" i="1"/>
  <c r="D513" i="1"/>
  <c r="D497" i="1"/>
  <c r="D481" i="1"/>
  <c r="D465" i="1"/>
  <c r="D449" i="1"/>
  <c r="D433" i="1"/>
  <c r="D417" i="1"/>
  <c r="D401" i="1"/>
  <c r="D383" i="1"/>
  <c r="C820" i="1"/>
  <c r="C822" i="1"/>
  <c r="C824" i="1"/>
  <c r="C826" i="1"/>
  <c r="C828" i="1"/>
  <c r="C830" i="1"/>
  <c r="C832" i="1"/>
  <c r="C834" i="1"/>
  <c r="C836" i="1"/>
  <c r="C838" i="1"/>
  <c r="C840" i="1"/>
  <c r="C842" i="1"/>
  <c r="C844" i="1"/>
  <c r="C846" i="1"/>
  <c r="C848" i="1"/>
  <c r="C850" i="1"/>
  <c r="C852" i="1"/>
  <c r="C854" i="1"/>
  <c r="C856" i="1"/>
  <c r="C858" i="1"/>
  <c r="C860" i="1"/>
  <c r="C862" i="1"/>
  <c r="C864" i="1"/>
  <c r="C866" i="1"/>
  <c r="C868" i="1"/>
  <c r="C870" i="1"/>
  <c r="C872" i="1"/>
  <c r="C874" i="1"/>
  <c r="C876" i="1"/>
  <c r="C878" i="1"/>
  <c r="C880" i="1"/>
  <c r="C882" i="1"/>
  <c r="C884" i="1"/>
  <c r="C886" i="1"/>
  <c r="C888" i="1"/>
  <c r="C890" i="1"/>
  <c r="C892" i="1"/>
  <c r="C894" i="1"/>
  <c r="C896" i="1"/>
  <c r="C898" i="1"/>
  <c r="C900" i="1"/>
  <c r="C902" i="1"/>
  <c r="C904" i="1"/>
  <c r="C906" i="1"/>
  <c r="C908" i="1"/>
  <c r="C910" i="1"/>
  <c r="C912" i="1"/>
  <c r="C914" i="1"/>
  <c r="C916" i="1"/>
  <c r="C918" i="1"/>
  <c r="C920" i="1"/>
  <c r="C922" i="1"/>
  <c r="C924" i="1"/>
  <c r="C926" i="1"/>
  <c r="C928" i="1"/>
  <c r="C930" i="1"/>
  <c r="C932" i="1"/>
  <c r="C934" i="1"/>
  <c r="C936" i="1"/>
  <c r="C938" i="1"/>
  <c r="C940" i="1"/>
  <c r="C942" i="1"/>
  <c r="C946" i="1"/>
  <c r="C950" i="1"/>
  <c r="C952" i="1"/>
  <c r="C954" i="1"/>
  <c r="C956" i="1"/>
  <c r="C958" i="1"/>
  <c r="C962" i="1"/>
  <c r="C966" i="1"/>
  <c r="C968" i="1"/>
  <c r="C970" i="1"/>
  <c r="C972" i="1"/>
  <c r="C974" i="1"/>
  <c r="C978" i="1"/>
  <c r="C982" i="1"/>
  <c r="C984" i="1"/>
  <c r="C986" i="1"/>
  <c r="C988" i="1"/>
  <c r="C990" i="1"/>
  <c r="C994" i="1"/>
  <c r="C998" i="1"/>
  <c r="C1000" i="1"/>
  <c r="C1002" i="1"/>
  <c r="C1004" i="1"/>
  <c r="C1006" i="1"/>
  <c r="C1010" i="1"/>
  <c r="C1014" i="1"/>
  <c r="C1016" i="1"/>
  <c r="C1018" i="1"/>
  <c r="C1020" i="1"/>
  <c r="C1022" i="1"/>
  <c r="C1026" i="1"/>
  <c r="C1030" i="1"/>
  <c r="C1032" i="1"/>
  <c r="C1034" i="1"/>
  <c r="C1036" i="1"/>
  <c r="C1038" i="1"/>
  <c r="C1042" i="1"/>
  <c r="C1046" i="1"/>
  <c r="C1048" i="1"/>
  <c r="C1050" i="1"/>
  <c r="C1052" i="1"/>
  <c r="C1054" i="1"/>
  <c r="C1058" i="1"/>
  <c r="C1062" i="1"/>
  <c r="C1064" i="1"/>
  <c r="C1066" i="1"/>
  <c r="C1068" i="1"/>
  <c r="C1070" i="1"/>
  <c r="C1074" i="1"/>
  <c r="C1078" i="1"/>
  <c r="C1080" i="1"/>
  <c r="C1082" i="1"/>
  <c r="C1084" i="1"/>
  <c r="C1086" i="1"/>
  <c r="C1090" i="1"/>
  <c r="C1094" i="1"/>
  <c r="C1096" i="1"/>
  <c r="C1098" i="1"/>
  <c r="C1100" i="1"/>
  <c r="C1102" i="1"/>
  <c r="C1106" i="1"/>
  <c r="C1110" i="1"/>
  <c r="C1112" i="1"/>
  <c r="C1114" i="1"/>
  <c r="C1116" i="1"/>
  <c r="C1118" i="1"/>
  <c r="C1122" i="1"/>
  <c r="C1126" i="1"/>
  <c r="C1128" i="1"/>
  <c r="C1130" i="1"/>
  <c r="C1132" i="1"/>
  <c r="C1134" i="1"/>
  <c r="C1138" i="1"/>
  <c r="C1142" i="1"/>
  <c r="C1144" i="1"/>
  <c r="C1146" i="1"/>
  <c r="C1148" i="1"/>
  <c r="C1150" i="1"/>
  <c r="C1154" i="1"/>
  <c r="C1158" i="1"/>
  <c r="C1160" i="1"/>
  <c r="C1162" i="1"/>
  <c r="C1164" i="1"/>
  <c r="C1166" i="1"/>
  <c r="C1170" i="1"/>
  <c r="C1174" i="1"/>
  <c r="C1176" i="1"/>
  <c r="C1178" i="1"/>
  <c r="C1180" i="1"/>
  <c r="C1182" i="1"/>
  <c r="C1186" i="1"/>
  <c r="C1190" i="1"/>
  <c r="C1192" i="1"/>
  <c r="C1194" i="1"/>
  <c r="C1196" i="1"/>
  <c r="C1198" i="1"/>
  <c r="C1202" i="1"/>
  <c r="C1206" i="1"/>
  <c r="C1208" i="1"/>
  <c r="C1210" i="1"/>
  <c r="C1212" i="1"/>
  <c r="C1214" i="1"/>
  <c r="C1218" i="1"/>
  <c r="C1222" i="1"/>
  <c r="C1224" i="1"/>
  <c r="C1226" i="1"/>
  <c r="C1228" i="1"/>
  <c r="C1230" i="1"/>
  <c r="C195" i="1"/>
  <c r="C259" i="1"/>
  <c r="C960" i="1"/>
  <c r="C961" i="1"/>
  <c r="C964" i="1"/>
  <c r="C965" i="1"/>
  <c r="C1008" i="1"/>
  <c r="C1009" i="1"/>
  <c r="C1044" i="1"/>
  <c r="C1045" i="1"/>
  <c r="C1088" i="1"/>
  <c r="C1089" i="1"/>
  <c r="C1152" i="1"/>
  <c r="C1153" i="1"/>
  <c r="C1156" i="1"/>
  <c r="C1157" i="1"/>
  <c r="C1188" i="1"/>
  <c r="C1189" i="1"/>
  <c r="C1220" i="1"/>
  <c r="C1221" i="1"/>
  <c r="C1149" i="1"/>
  <c r="C1085" i="1"/>
  <c r="C1021" i="1"/>
  <c r="C5" i="1"/>
  <c r="C7" i="1"/>
  <c r="C9" i="1"/>
  <c r="C11" i="1"/>
  <c r="C13" i="1"/>
  <c r="C17" i="1"/>
  <c r="C19" i="1"/>
  <c r="C21" i="1"/>
  <c r="C23" i="1"/>
  <c r="C25" i="1"/>
  <c r="C27" i="1"/>
  <c r="C29" i="1"/>
  <c r="C31" i="1"/>
  <c r="C33" i="1"/>
  <c r="C35" i="1"/>
  <c r="C37" i="1"/>
  <c r="C39" i="1"/>
  <c r="C41" i="1"/>
  <c r="C43" i="1"/>
  <c r="C45" i="1"/>
  <c r="C47" i="1"/>
  <c r="C49" i="1"/>
  <c r="C51" i="1"/>
  <c r="C53" i="1"/>
  <c r="C55" i="1"/>
  <c r="C57" i="1"/>
  <c r="C59" i="1"/>
  <c r="C61" i="1"/>
  <c r="C63" i="1"/>
  <c r="C65" i="1"/>
  <c r="C67" i="1"/>
  <c r="C69" i="1"/>
  <c r="C71" i="1"/>
  <c r="C73" i="1"/>
  <c r="C75" i="1"/>
  <c r="C77" i="1"/>
  <c r="C79" i="1"/>
  <c r="C81" i="1"/>
  <c r="C83" i="1"/>
  <c r="C85" i="1"/>
  <c r="C87" i="1"/>
  <c r="C89" i="1"/>
  <c r="C91" i="1"/>
  <c r="C93" i="1"/>
  <c r="C95" i="1"/>
  <c r="C97" i="1"/>
  <c r="C99" i="1"/>
  <c r="C101" i="1"/>
  <c r="C103" i="1"/>
  <c r="C105" i="1"/>
  <c r="C107" i="1"/>
  <c r="C109" i="1"/>
  <c r="C111" i="1"/>
  <c r="C113" i="1"/>
  <c r="C115" i="1"/>
  <c r="C117" i="1"/>
  <c r="C119" i="1"/>
  <c r="C121" i="1"/>
  <c r="C123" i="1"/>
  <c r="C125" i="1"/>
  <c r="C127" i="1"/>
  <c r="C129" i="1"/>
  <c r="C131" i="1"/>
  <c r="C133" i="1"/>
  <c r="C135" i="1"/>
  <c r="C137" i="1"/>
  <c r="C139" i="1"/>
  <c r="C141" i="1"/>
  <c r="C143" i="1"/>
  <c r="C145" i="1"/>
  <c r="C147" i="1"/>
  <c r="C149" i="1"/>
  <c r="C151" i="1"/>
  <c r="C153" i="1"/>
  <c r="C155" i="1"/>
  <c r="C157" i="1"/>
  <c r="C159" i="1"/>
  <c r="C161" i="1"/>
  <c r="C163" i="1"/>
  <c r="C165" i="1"/>
  <c r="C167" i="1"/>
  <c r="C169" i="1"/>
  <c r="C171" i="1"/>
  <c r="C173" i="1"/>
  <c r="C175" i="1"/>
  <c r="C177" i="1"/>
  <c r="C181" i="1"/>
  <c r="C185" i="1"/>
  <c r="C187" i="1"/>
  <c r="C191" i="1"/>
  <c r="C199" i="1"/>
  <c r="C201" i="1"/>
  <c r="C205" i="1"/>
  <c r="C209" i="1"/>
  <c r="C213" i="1"/>
  <c r="C215" i="1"/>
  <c r="C219" i="1"/>
  <c r="C223" i="1"/>
  <c r="C227" i="1"/>
  <c r="C231" i="1"/>
  <c r="C235" i="1"/>
  <c r="C237" i="1"/>
  <c r="C241" i="1"/>
  <c r="C245" i="1"/>
  <c r="C249" i="1"/>
  <c r="C253" i="1"/>
  <c r="C257" i="1"/>
  <c r="C263" i="1"/>
  <c r="C267" i="1"/>
  <c r="C271" i="1"/>
  <c r="C275" i="1"/>
  <c r="C277" i="1"/>
  <c r="C281" i="1"/>
  <c r="C283" i="1"/>
  <c r="C285" i="1"/>
  <c r="C287" i="1"/>
  <c r="C289" i="1"/>
  <c r="C291" i="1"/>
  <c r="C293" i="1"/>
  <c r="C295" i="1"/>
  <c r="C297" i="1"/>
  <c r="C299" i="1"/>
  <c r="C301" i="1"/>
  <c r="C303" i="1"/>
  <c r="C305" i="1"/>
  <c r="C307" i="1"/>
  <c r="C309" i="1"/>
  <c r="C311" i="1"/>
  <c r="C313" i="1"/>
  <c r="C315" i="1"/>
  <c r="C317" i="1"/>
  <c r="C319" i="1"/>
  <c r="C321" i="1"/>
  <c r="C325" i="1"/>
  <c r="C327" i="1"/>
  <c r="C329" i="1"/>
  <c r="C331" i="1"/>
  <c r="C333" i="1"/>
  <c r="C335" i="1"/>
  <c r="C337" i="1"/>
  <c r="C339" i="1"/>
  <c r="C341" i="1"/>
  <c r="C343" i="1"/>
  <c r="C345" i="1"/>
  <c r="C347" i="1"/>
  <c r="C349" i="1"/>
  <c r="C1209" i="1"/>
  <c r="C1177" i="1"/>
  <c r="C1145" i="1"/>
  <c r="C1113" i="1"/>
  <c r="C1081" i="1"/>
  <c r="C1049" i="1"/>
  <c r="C1017" i="1"/>
  <c r="C985" i="1"/>
  <c r="C953" i="1"/>
  <c r="C944" i="1"/>
  <c r="C945" i="1"/>
  <c r="C976" i="1"/>
  <c r="C977" i="1"/>
  <c r="C980" i="1"/>
  <c r="C981" i="1"/>
  <c r="C1012" i="1"/>
  <c r="C1013" i="1"/>
  <c r="C1040" i="1"/>
  <c r="C1041" i="1"/>
  <c r="C1056" i="1"/>
  <c r="C1057" i="1"/>
  <c r="C1060" i="1"/>
  <c r="C1061" i="1"/>
  <c r="C1104" i="1"/>
  <c r="C1105" i="1"/>
  <c r="C1108" i="1"/>
  <c r="C1109" i="1"/>
  <c r="C1120" i="1"/>
  <c r="C1121" i="1"/>
  <c r="C1124" i="1"/>
  <c r="C1125" i="1"/>
  <c r="C1140" i="1"/>
  <c r="C1141" i="1"/>
  <c r="C1184" i="1"/>
  <c r="C1185" i="1"/>
  <c r="C1200" i="1"/>
  <c r="C1201" i="1"/>
  <c r="C1204" i="1"/>
  <c r="C1205" i="1"/>
  <c r="C1213" i="1"/>
  <c r="C1181" i="1"/>
  <c r="C1117" i="1"/>
  <c r="C1053" i="1"/>
  <c r="C989" i="1"/>
  <c r="C957" i="1"/>
  <c r="C3" i="1"/>
  <c r="C15" i="1"/>
  <c r="C179" i="1"/>
  <c r="C183" i="1"/>
  <c r="C189" i="1"/>
  <c r="C193" i="1"/>
  <c r="C197" i="1"/>
  <c r="C203" i="1"/>
  <c r="C207" i="1"/>
  <c r="C211" i="1"/>
  <c r="C217" i="1"/>
  <c r="C221" i="1"/>
  <c r="C225" i="1"/>
  <c r="C229" i="1"/>
  <c r="C233" i="1"/>
  <c r="C239" i="1"/>
  <c r="C243" i="1"/>
  <c r="C247" i="1"/>
  <c r="C251" i="1"/>
  <c r="C255" i="1"/>
  <c r="C261" i="1"/>
  <c r="C265" i="1"/>
  <c r="C269" i="1"/>
  <c r="C273" i="1"/>
  <c r="C279" i="1"/>
  <c r="C323" i="1"/>
  <c r="C1229" i="1"/>
  <c r="C1197" i="1"/>
  <c r="C1165" i="1"/>
  <c r="C1133" i="1"/>
  <c r="C1101" i="1"/>
  <c r="C1069" i="1"/>
  <c r="C1037" i="1"/>
  <c r="C1005" i="1"/>
  <c r="C973" i="1"/>
  <c r="C941" i="1"/>
  <c r="C948" i="1"/>
  <c r="C949" i="1"/>
  <c r="C992" i="1"/>
  <c r="C993" i="1"/>
  <c r="C996" i="1"/>
  <c r="C997" i="1"/>
  <c r="C1024" i="1"/>
  <c r="C1025" i="1"/>
  <c r="C1028" i="1"/>
  <c r="C1029" i="1"/>
  <c r="C1072" i="1"/>
  <c r="C1073" i="1"/>
  <c r="C1076" i="1"/>
  <c r="C1077" i="1"/>
  <c r="C1092" i="1"/>
  <c r="C1093" i="1"/>
  <c r="C1136" i="1"/>
  <c r="C1137" i="1"/>
  <c r="C1168" i="1"/>
  <c r="C1169" i="1"/>
  <c r="C1172" i="1"/>
  <c r="C1173" i="1"/>
  <c r="C1216" i="1"/>
  <c r="C1217" i="1"/>
  <c r="C1225" i="1"/>
  <c r="C1193" i="1"/>
  <c r="C1161" i="1"/>
  <c r="C1129" i="1"/>
  <c r="C1097" i="1"/>
  <c r="C1065" i="1"/>
  <c r="C1033" i="1"/>
  <c r="C1001" i="1"/>
  <c r="C969" i="1"/>
  <c r="C937" i="1"/>
  <c r="C351" i="1"/>
  <c r="C353" i="1"/>
  <c r="C355" i="1"/>
  <c r="C357" i="1"/>
  <c r="C359" i="1"/>
  <c r="C361" i="1"/>
  <c r="C363" i="1"/>
  <c r="C365" i="1"/>
  <c r="C367" i="1"/>
  <c r="C369" i="1"/>
  <c r="C371" i="1"/>
  <c r="C373" i="1"/>
  <c r="C375" i="1"/>
  <c r="C377" i="1"/>
  <c r="C379" i="1"/>
  <c r="C381" i="1"/>
  <c r="C383" i="1"/>
  <c r="C385" i="1"/>
  <c r="C387" i="1"/>
  <c r="C389" i="1"/>
  <c r="C391" i="1"/>
  <c r="C393" i="1"/>
  <c r="C395" i="1"/>
  <c r="C397" i="1"/>
  <c r="C399" i="1"/>
  <c r="C401" i="1"/>
  <c r="C403" i="1"/>
  <c r="C405" i="1"/>
  <c r="C407" i="1"/>
  <c r="C409" i="1"/>
  <c r="C411" i="1"/>
  <c r="C413" i="1"/>
  <c r="C415" i="1"/>
  <c r="C417" i="1"/>
  <c r="C419" i="1"/>
  <c r="C421" i="1"/>
  <c r="C423" i="1"/>
  <c r="C425" i="1"/>
  <c r="C427" i="1"/>
  <c r="C429" i="1"/>
  <c r="C431" i="1"/>
  <c r="C433" i="1"/>
  <c r="C435" i="1"/>
  <c r="C437" i="1"/>
  <c r="C439" i="1"/>
  <c r="C441" i="1"/>
  <c r="C443" i="1"/>
  <c r="C445" i="1"/>
  <c r="C447" i="1"/>
  <c r="C449" i="1"/>
  <c r="C451" i="1"/>
  <c r="C453" i="1"/>
  <c r="C455" i="1"/>
  <c r="C457" i="1"/>
  <c r="C459" i="1"/>
  <c r="C461" i="1"/>
  <c r="C463" i="1"/>
  <c r="C465" i="1"/>
  <c r="C467" i="1"/>
  <c r="C469" i="1"/>
  <c r="C471" i="1"/>
  <c r="C473" i="1"/>
  <c r="C475" i="1"/>
  <c r="C477" i="1"/>
  <c r="C479" i="1"/>
  <c r="C481" i="1"/>
  <c r="C933" i="1"/>
  <c r="C935" i="1"/>
  <c r="C939" i="1"/>
  <c r="C943" i="1"/>
  <c r="C947" i="1"/>
  <c r="C951" i="1"/>
  <c r="C955" i="1"/>
  <c r="C959" i="1"/>
  <c r="C963" i="1"/>
  <c r="C967" i="1"/>
  <c r="C971" i="1"/>
  <c r="C975" i="1"/>
  <c r="C979" i="1"/>
  <c r="C983" i="1"/>
  <c r="C987" i="1"/>
  <c r="C991" i="1"/>
  <c r="C995" i="1"/>
  <c r="C999" i="1"/>
  <c r="C1003" i="1"/>
  <c r="C1007" i="1"/>
  <c r="C1011" i="1"/>
  <c r="C1015" i="1"/>
  <c r="C1019" i="1"/>
  <c r="C1023" i="1"/>
  <c r="C1027" i="1"/>
  <c r="C1031" i="1"/>
  <c r="C1035" i="1"/>
  <c r="C1039" i="1"/>
  <c r="C1043" i="1"/>
  <c r="C1047" i="1"/>
  <c r="C1051" i="1"/>
  <c r="C1055" i="1"/>
  <c r="C1059" i="1"/>
  <c r="C1063" i="1"/>
  <c r="C1067" i="1"/>
  <c r="C1071" i="1"/>
  <c r="C1075" i="1"/>
  <c r="C1079" i="1"/>
  <c r="C1083" i="1"/>
  <c r="C1087" i="1"/>
  <c r="C1091" i="1"/>
  <c r="C1095" i="1"/>
  <c r="C1099" i="1"/>
  <c r="C1103" i="1"/>
  <c r="C1107" i="1"/>
  <c r="C1111" i="1"/>
  <c r="C1115" i="1"/>
  <c r="C1119" i="1"/>
  <c r="C1123" i="1"/>
  <c r="C1127" i="1"/>
  <c r="C1131" i="1"/>
  <c r="C1135" i="1"/>
  <c r="C1139" i="1"/>
  <c r="C1143" i="1"/>
  <c r="C1147" i="1"/>
  <c r="C1151" i="1"/>
  <c r="C1155" i="1"/>
  <c r="C1159" i="1"/>
  <c r="C1163" i="1"/>
  <c r="C1167" i="1"/>
  <c r="C1171" i="1"/>
  <c r="C1175" i="1"/>
  <c r="C1179" i="1"/>
  <c r="C1183" i="1"/>
  <c r="C1187" i="1"/>
  <c r="C1191" i="1"/>
  <c r="C1195" i="1"/>
  <c r="C1199" i="1"/>
  <c r="C1203" i="1"/>
  <c r="C1207" i="1"/>
  <c r="C1211" i="1"/>
  <c r="C1215" i="1"/>
  <c r="C1219" i="1"/>
  <c r="C1223" i="1"/>
  <c r="C1227" i="1"/>
  <c r="C483" i="1"/>
  <c r="C485" i="1"/>
  <c r="C487" i="1"/>
  <c r="C489" i="1"/>
  <c r="C491" i="1"/>
  <c r="C493" i="1"/>
  <c r="C495" i="1"/>
  <c r="C497" i="1"/>
  <c r="C499" i="1"/>
  <c r="C501" i="1"/>
  <c r="C503" i="1"/>
  <c r="C505" i="1"/>
  <c r="C507" i="1"/>
  <c r="C509" i="1"/>
  <c r="C511" i="1"/>
  <c r="C513" i="1"/>
  <c r="C515" i="1"/>
  <c r="C517" i="1"/>
  <c r="C519" i="1"/>
  <c r="C521" i="1"/>
  <c r="C523" i="1"/>
  <c r="C525" i="1"/>
  <c r="C527" i="1"/>
  <c r="C529" i="1"/>
  <c r="C531" i="1"/>
  <c r="C533" i="1"/>
  <c r="C535" i="1"/>
  <c r="C537" i="1"/>
  <c r="C539" i="1"/>
  <c r="C541" i="1"/>
  <c r="C543" i="1"/>
  <c r="C545" i="1"/>
  <c r="C547" i="1"/>
  <c r="C549" i="1"/>
  <c r="C551" i="1"/>
  <c r="C553" i="1"/>
  <c r="C555" i="1"/>
  <c r="C557" i="1"/>
  <c r="C559" i="1"/>
  <c r="C561" i="1"/>
  <c r="C563" i="1"/>
  <c r="C565" i="1"/>
  <c r="C567" i="1"/>
  <c r="C569" i="1"/>
  <c r="C571" i="1"/>
  <c r="C573" i="1"/>
  <c r="C575" i="1"/>
  <c r="C577" i="1"/>
  <c r="C579" i="1"/>
  <c r="C581" i="1"/>
  <c r="C583" i="1"/>
  <c r="C585" i="1"/>
  <c r="C587" i="1"/>
  <c r="C589" i="1"/>
  <c r="C591" i="1"/>
  <c r="C593" i="1"/>
  <c r="C595" i="1"/>
  <c r="C597" i="1"/>
  <c r="C599" i="1"/>
  <c r="C601" i="1"/>
  <c r="C603" i="1"/>
  <c r="C605" i="1"/>
  <c r="C607" i="1"/>
  <c r="C609" i="1"/>
  <c r="C611" i="1"/>
  <c r="C613" i="1"/>
  <c r="C615" i="1"/>
  <c r="C617" i="1"/>
  <c r="C619" i="1"/>
  <c r="C621" i="1"/>
  <c r="C623" i="1"/>
  <c r="C625" i="1"/>
  <c r="C627" i="1"/>
  <c r="C629" i="1"/>
  <c r="C631" i="1"/>
  <c r="C633" i="1"/>
  <c r="C635" i="1"/>
  <c r="C637" i="1"/>
  <c r="C639" i="1"/>
  <c r="C641" i="1"/>
  <c r="C643" i="1"/>
  <c r="C645" i="1"/>
  <c r="C647" i="1"/>
  <c r="C649" i="1"/>
  <c r="C651" i="1"/>
  <c r="C653" i="1"/>
  <c r="C655" i="1"/>
  <c r="C657" i="1"/>
  <c r="C659" i="1"/>
  <c r="C661" i="1"/>
  <c r="C663" i="1"/>
  <c r="C665" i="1"/>
  <c r="C667" i="1"/>
  <c r="C669" i="1"/>
  <c r="C671" i="1"/>
  <c r="C673" i="1"/>
  <c r="C675" i="1"/>
  <c r="C677" i="1"/>
  <c r="C679" i="1"/>
  <c r="C681" i="1"/>
  <c r="C683" i="1"/>
  <c r="C685" i="1"/>
  <c r="C687" i="1"/>
  <c r="C689" i="1"/>
  <c r="C691" i="1"/>
  <c r="C693" i="1"/>
  <c r="C695" i="1"/>
  <c r="C697" i="1"/>
  <c r="C699" i="1"/>
  <c r="C701" i="1"/>
  <c r="C703" i="1"/>
  <c r="C705" i="1"/>
  <c r="C707" i="1"/>
  <c r="C709" i="1"/>
  <c r="C711" i="1"/>
  <c r="C713" i="1"/>
  <c r="C715" i="1"/>
  <c r="C717" i="1"/>
  <c r="C719" i="1"/>
  <c r="C721" i="1"/>
  <c r="C723" i="1"/>
  <c r="C725" i="1"/>
  <c r="C727" i="1"/>
  <c r="C729" i="1"/>
  <c r="C731" i="1"/>
  <c r="C733" i="1"/>
  <c r="C735" i="1"/>
  <c r="C737" i="1"/>
  <c r="C739" i="1"/>
  <c r="C741" i="1"/>
  <c r="C743" i="1"/>
  <c r="C745" i="1"/>
  <c r="C747" i="1"/>
  <c r="C749" i="1"/>
  <c r="C751" i="1"/>
  <c r="C753" i="1"/>
  <c r="C755" i="1"/>
  <c r="C757" i="1"/>
  <c r="C759" i="1"/>
  <c r="C761" i="1"/>
  <c r="C763" i="1"/>
  <c r="C765" i="1"/>
  <c r="C767" i="1"/>
  <c r="C769" i="1"/>
  <c r="C771" i="1"/>
  <c r="C773" i="1"/>
  <c r="C775" i="1"/>
  <c r="C777" i="1"/>
  <c r="C779" i="1"/>
  <c r="C781" i="1"/>
  <c r="C783" i="1"/>
  <c r="C785" i="1"/>
  <c r="C787" i="1"/>
  <c r="C789" i="1"/>
  <c r="C791" i="1"/>
  <c r="C793" i="1"/>
  <c r="C795" i="1"/>
  <c r="C797" i="1"/>
  <c r="C799" i="1"/>
  <c r="C801" i="1"/>
  <c r="C803" i="1"/>
  <c r="C805" i="1"/>
  <c r="C807" i="1"/>
  <c r="C809" i="1"/>
  <c r="C811" i="1"/>
  <c r="C813" i="1"/>
  <c r="C815" i="1"/>
  <c r="C817" i="1"/>
  <c r="C819" i="1"/>
  <c r="C821" i="1"/>
  <c r="C823" i="1"/>
  <c r="C825" i="1"/>
  <c r="C827" i="1"/>
  <c r="C829" i="1"/>
  <c r="C831" i="1"/>
  <c r="C833" i="1"/>
  <c r="C835" i="1"/>
  <c r="C837" i="1"/>
  <c r="C839" i="1"/>
  <c r="C841" i="1"/>
  <c r="C843" i="1"/>
  <c r="C845" i="1"/>
  <c r="C847" i="1"/>
  <c r="C849" i="1"/>
  <c r="C851" i="1"/>
  <c r="C853" i="1"/>
  <c r="C855" i="1"/>
  <c r="C857" i="1"/>
  <c r="C859" i="1"/>
  <c r="C861" i="1"/>
  <c r="C863" i="1"/>
  <c r="C865" i="1"/>
  <c r="C867" i="1"/>
  <c r="C869" i="1"/>
  <c r="C871" i="1"/>
  <c r="C873" i="1"/>
  <c r="C875" i="1"/>
  <c r="C877" i="1"/>
  <c r="C879" i="1"/>
  <c r="C881" i="1"/>
  <c r="C883" i="1"/>
  <c r="C885" i="1"/>
  <c r="C887" i="1"/>
  <c r="C889" i="1"/>
  <c r="C891" i="1"/>
  <c r="C893" i="1"/>
  <c r="C895" i="1"/>
  <c r="C897" i="1"/>
  <c r="C899" i="1"/>
  <c r="C901" i="1"/>
  <c r="C903" i="1"/>
  <c r="C905" i="1"/>
  <c r="C907" i="1"/>
  <c r="C909" i="1"/>
  <c r="C911" i="1"/>
  <c r="C913" i="1"/>
  <c r="C915" i="1"/>
  <c r="C917" i="1"/>
  <c r="C919" i="1"/>
  <c r="C921" i="1"/>
  <c r="C923" i="1"/>
  <c r="C925" i="1"/>
  <c r="C927" i="1"/>
  <c r="C929" i="1"/>
  <c r="C931" i="1"/>
  <c r="F2" i="4" l="1"/>
  <c r="B5" i="5" s="1"/>
  <c r="F2" i="3"/>
  <c r="B4" i="5" s="1"/>
  <c r="F2" i="2"/>
  <c r="B3" i="5" s="1"/>
  <c r="F2" i="1"/>
  <c r="E2" i="4"/>
  <c r="C5" i="5" s="1"/>
  <c r="E2" i="3"/>
  <c r="C4" i="5" s="1"/>
  <c r="E2" i="2"/>
  <c r="C3" i="5" s="1"/>
  <c r="E2" i="1"/>
  <c r="C2" i="5" s="1"/>
  <c r="B2" i="5" l="1"/>
</calcChain>
</file>

<file path=xl/sharedStrings.xml><?xml version="1.0" encoding="utf-8"?>
<sst xmlns="http://schemas.openxmlformats.org/spreadsheetml/2006/main" count="24" uniqueCount="11">
  <si>
    <t>Daily Return %</t>
  </si>
  <si>
    <t>50-Day Moving Average (SMA)</t>
  </si>
  <si>
    <t>Annualized Volatility (Risk)</t>
  </si>
  <si>
    <t>Average Annual Return</t>
  </si>
  <si>
    <t>Stock Name</t>
  </si>
  <si>
    <t>TCS</t>
  </si>
  <si>
    <t>INFOSYS</t>
  </si>
  <si>
    <t>HDFC</t>
  </si>
  <si>
    <t>ICICI</t>
  </si>
  <si>
    <t>Annualized Volatility</t>
  </si>
  <si>
    <t>5 Year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</si>
</sst>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3" fillId="2" borderId="1" xfId="0" applyFont="1" applyFill="1" applyBorder="1"/>
    <xf numFmtId="9" fontId="3" fillId="2" borderId="1" xfId="1" applyFont="1" applyFill="1" applyBorder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Risk vs. Return Profile (5-Year)</a:t>
            </a:r>
            <a:endParaRPr lang="en-US"/>
          </a:p>
        </c:rich>
      </c:tx>
      <c:layout>
        <c:manualLayout>
          <c:xMode val="edge"/>
          <c:yMode val="edge"/>
          <c:x val="0.2769707408732999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2506999125109361E-2"/>
          <c:y val="0.15787037037037038"/>
          <c:w val="0.88470144356955382"/>
          <c:h val="0.7311111111111111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D874B27-7789-4538-9475-A8000D1AF0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94C-4542-9D84-356B6A7FCAA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62095C8-8E1E-4837-8806-48A10D72EE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94C-4542-9D84-356B6A7FCAA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A80DEE-280B-4F2D-ABCD-FFC2EB378C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94C-4542-9D84-356B6A7FCAA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E9B77CD-DE56-4717-9291-B2D099D9E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94C-4542-9D84-356B6A7FCAA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'Executive Dashboard'!$C$2:$C$5</c:f>
              <c:numCache>
                <c:formatCode>0%</c:formatCode>
                <c:ptCount val="4"/>
                <c:pt idx="0">
                  <c:v>0.21880102996664563</c:v>
                </c:pt>
                <c:pt idx="1">
                  <c:v>0.25480536098175299</c:v>
                </c:pt>
                <c:pt idx="2">
                  <c:v>0.20937814823930589</c:v>
                </c:pt>
                <c:pt idx="3">
                  <c:v>0.20404636856640815</c:v>
                </c:pt>
              </c:numCache>
            </c:numRef>
          </c:xVal>
          <c:yVal>
            <c:numRef>
              <c:f>'Executive Dashboard'!$B$2:$B$5</c:f>
              <c:numCache>
                <c:formatCode>0%</c:formatCode>
                <c:ptCount val="4"/>
                <c:pt idx="0">
                  <c:v>-7.01532316811391E-2</c:v>
                </c:pt>
                <c:pt idx="1">
                  <c:v>-4.8925878084917662E-2</c:v>
                </c:pt>
                <c:pt idx="2">
                  <c:v>3.2279812847089362E-2</c:v>
                </c:pt>
                <c:pt idx="3">
                  <c:v>0.17423500242479087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'Executive Dashboard'!$A$2:$A$5</c15:f>
                <c15:dlblRangeCache>
                  <c:ptCount val="4"/>
                  <c:pt idx="0">
                    <c:v>TCS</c:v>
                  </c:pt>
                  <c:pt idx="1">
                    <c:v>INFOSYS</c:v>
                  </c:pt>
                  <c:pt idx="2">
                    <c:v>HDFC</c:v>
                  </c:pt>
                  <c:pt idx="3">
                    <c:v>ICICI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94C-4542-9D84-356B6A7FC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353872"/>
        <c:axId val="899326032"/>
      </c:scatterChart>
      <c:valAx>
        <c:axId val="89935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326032"/>
        <c:crosses val="autoZero"/>
        <c:crossBetween val="midCat"/>
      </c:valAx>
      <c:valAx>
        <c:axId val="89932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35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ICICI Daily</a:t>
            </a:r>
            <a:r>
              <a:rPr lang="en-US" baseline="0"/>
              <a:t> Close vs 50 Day Moving Average</a:t>
            </a:r>
          </a:p>
        </c:rich>
      </c:tx>
      <c:layout>
        <c:manualLayout>
          <c:xMode val="edge"/>
          <c:yMode val="edge"/>
          <c:x val="0.23945781397471633"/>
          <c:y val="2.65929812326497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ICICI!$B$51:$B$1230</c:f>
              <c:numCache>
                <c:formatCode>General</c:formatCode>
                <c:ptCount val="1180"/>
                <c:pt idx="0">
                  <c:v>716.9</c:v>
                </c:pt>
                <c:pt idx="1">
                  <c:v>720.95</c:v>
                </c:pt>
                <c:pt idx="2">
                  <c:v>720.25</c:v>
                </c:pt>
                <c:pt idx="3">
                  <c:v>707.4</c:v>
                </c:pt>
                <c:pt idx="4">
                  <c:v>707.45</c:v>
                </c:pt>
                <c:pt idx="5">
                  <c:v>714.35</c:v>
                </c:pt>
                <c:pt idx="6">
                  <c:v>727.2</c:v>
                </c:pt>
                <c:pt idx="7">
                  <c:v>720.15</c:v>
                </c:pt>
                <c:pt idx="8">
                  <c:v>710</c:v>
                </c:pt>
                <c:pt idx="9">
                  <c:v>711.85</c:v>
                </c:pt>
                <c:pt idx="10">
                  <c:v>703.35</c:v>
                </c:pt>
                <c:pt idx="11">
                  <c:v>717</c:v>
                </c:pt>
                <c:pt idx="12">
                  <c:v>722.95</c:v>
                </c:pt>
                <c:pt idx="13">
                  <c:v>730</c:v>
                </c:pt>
                <c:pt idx="14">
                  <c:v>717.15</c:v>
                </c:pt>
                <c:pt idx="15">
                  <c:v>709.5</c:v>
                </c:pt>
                <c:pt idx="16">
                  <c:v>700.85</c:v>
                </c:pt>
                <c:pt idx="17">
                  <c:v>692.35</c:v>
                </c:pt>
                <c:pt idx="18">
                  <c:v>700.2</c:v>
                </c:pt>
                <c:pt idx="19">
                  <c:v>697.1</c:v>
                </c:pt>
                <c:pt idx="20">
                  <c:v>689.5</c:v>
                </c:pt>
                <c:pt idx="21">
                  <c:v>702.2</c:v>
                </c:pt>
                <c:pt idx="22">
                  <c:v>703.4</c:v>
                </c:pt>
                <c:pt idx="23">
                  <c:v>713.3</c:v>
                </c:pt>
                <c:pt idx="24">
                  <c:v>708.6</c:v>
                </c:pt>
                <c:pt idx="25">
                  <c:v>709.95</c:v>
                </c:pt>
                <c:pt idx="26">
                  <c:v>727.3</c:v>
                </c:pt>
                <c:pt idx="27">
                  <c:v>745.45</c:v>
                </c:pt>
                <c:pt idx="28">
                  <c:v>747.45</c:v>
                </c:pt>
                <c:pt idx="29">
                  <c:v>745.85</c:v>
                </c:pt>
                <c:pt idx="30">
                  <c:v>755.5</c:v>
                </c:pt>
                <c:pt idx="31">
                  <c:v>759.3</c:v>
                </c:pt>
                <c:pt idx="32">
                  <c:v>841.7</c:v>
                </c:pt>
                <c:pt idx="33">
                  <c:v>829.4</c:v>
                </c:pt>
                <c:pt idx="34">
                  <c:v>835</c:v>
                </c:pt>
                <c:pt idx="35">
                  <c:v>798.7</c:v>
                </c:pt>
                <c:pt idx="36">
                  <c:v>802.05</c:v>
                </c:pt>
                <c:pt idx="37">
                  <c:v>803.9</c:v>
                </c:pt>
                <c:pt idx="38">
                  <c:v>800.95</c:v>
                </c:pt>
                <c:pt idx="39">
                  <c:v>785.95</c:v>
                </c:pt>
                <c:pt idx="40">
                  <c:v>782.1</c:v>
                </c:pt>
                <c:pt idx="41">
                  <c:v>780.15</c:v>
                </c:pt>
                <c:pt idx="42">
                  <c:v>786.55</c:v>
                </c:pt>
                <c:pt idx="43">
                  <c:v>780.9</c:v>
                </c:pt>
                <c:pt idx="44">
                  <c:v>771.45</c:v>
                </c:pt>
                <c:pt idx="45">
                  <c:v>776.6</c:v>
                </c:pt>
                <c:pt idx="46">
                  <c:v>773.3</c:v>
                </c:pt>
                <c:pt idx="47">
                  <c:v>764.05</c:v>
                </c:pt>
                <c:pt idx="48">
                  <c:v>761.3</c:v>
                </c:pt>
                <c:pt idx="49">
                  <c:v>762.9</c:v>
                </c:pt>
                <c:pt idx="50">
                  <c:v>752</c:v>
                </c:pt>
                <c:pt idx="51">
                  <c:v>751.85</c:v>
                </c:pt>
                <c:pt idx="52">
                  <c:v>760.2</c:v>
                </c:pt>
                <c:pt idx="53">
                  <c:v>751.05</c:v>
                </c:pt>
                <c:pt idx="54">
                  <c:v>722.2</c:v>
                </c:pt>
                <c:pt idx="55">
                  <c:v>718.4</c:v>
                </c:pt>
                <c:pt idx="56">
                  <c:v>714.35</c:v>
                </c:pt>
                <c:pt idx="57">
                  <c:v>727.7</c:v>
                </c:pt>
                <c:pt idx="58">
                  <c:v>722.4</c:v>
                </c:pt>
                <c:pt idx="59">
                  <c:v>716.3</c:v>
                </c:pt>
                <c:pt idx="60">
                  <c:v>709.55</c:v>
                </c:pt>
                <c:pt idx="61">
                  <c:v>734.65</c:v>
                </c:pt>
                <c:pt idx="62">
                  <c:v>753.4</c:v>
                </c:pt>
                <c:pt idx="63">
                  <c:v>755</c:v>
                </c:pt>
                <c:pt idx="64">
                  <c:v>758</c:v>
                </c:pt>
                <c:pt idx="65">
                  <c:v>754</c:v>
                </c:pt>
                <c:pt idx="66">
                  <c:v>758.65</c:v>
                </c:pt>
                <c:pt idx="67">
                  <c:v>752.25</c:v>
                </c:pt>
                <c:pt idx="68">
                  <c:v>741.15</c:v>
                </c:pt>
                <c:pt idx="69">
                  <c:v>728.3</c:v>
                </c:pt>
                <c:pt idx="70">
                  <c:v>709.95</c:v>
                </c:pt>
                <c:pt idx="71">
                  <c:v>720.35</c:v>
                </c:pt>
                <c:pt idx="72">
                  <c:v>732.8</c:v>
                </c:pt>
                <c:pt idx="73">
                  <c:v>731.3</c:v>
                </c:pt>
                <c:pt idx="74">
                  <c:v>727.1</c:v>
                </c:pt>
                <c:pt idx="75">
                  <c:v>736</c:v>
                </c:pt>
                <c:pt idx="76">
                  <c:v>735.8</c:v>
                </c:pt>
                <c:pt idx="77">
                  <c:v>735.7</c:v>
                </c:pt>
                <c:pt idx="78">
                  <c:v>735.7</c:v>
                </c:pt>
                <c:pt idx="79">
                  <c:v>740.15</c:v>
                </c:pt>
                <c:pt idx="80">
                  <c:v>764.7</c:v>
                </c:pt>
                <c:pt idx="81">
                  <c:v>772.85</c:v>
                </c:pt>
                <c:pt idx="82">
                  <c:v>788.05</c:v>
                </c:pt>
                <c:pt idx="83">
                  <c:v>785.05</c:v>
                </c:pt>
                <c:pt idx="84">
                  <c:v>793.25</c:v>
                </c:pt>
                <c:pt idx="85">
                  <c:v>810.75</c:v>
                </c:pt>
                <c:pt idx="86">
                  <c:v>810.65</c:v>
                </c:pt>
                <c:pt idx="87">
                  <c:v>823.75</c:v>
                </c:pt>
                <c:pt idx="88">
                  <c:v>824.7</c:v>
                </c:pt>
                <c:pt idx="89">
                  <c:v>820</c:v>
                </c:pt>
                <c:pt idx="90">
                  <c:v>819.3</c:v>
                </c:pt>
                <c:pt idx="91">
                  <c:v>823.1</c:v>
                </c:pt>
                <c:pt idx="92">
                  <c:v>808.6</c:v>
                </c:pt>
                <c:pt idx="93">
                  <c:v>810.25</c:v>
                </c:pt>
                <c:pt idx="94">
                  <c:v>804.5</c:v>
                </c:pt>
                <c:pt idx="95">
                  <c:v>798.45</c:v>
                </c:pt>
                <c:pt idx="96">
                  <c:v>801.65</c:v>
                </c:pt>
                <c:pt idx="97">
                  <c:v>794.65</c:v>
                </c:pt>
                <c:pt idx="98">
                  <c:v>781.15</c:v>
                </c:pt>
                <c:pt idx="99">
                  <c:v>788.8</c:v>
                </c:pt>
                <c:pt idx="100">
                  <c:v>810.3</c:v>
                </c:pt>
                <c:pt idx="101">
                  <c:v>813.75</c:v>
                </c:pt>
                <c:pt idx="102">
                  <c:v>808.95</c:v>
                </c:pt>
                <c:pt idx="103">
                  <c:v>805.05</c:v>
                </c:pt>
                <c:pt idx="104">
                  <c:v>786.4</c:v>
                </c:pt>
                <c:pt idx="105">
                  <c:v>792.5</c:v>
                </c:pt>
                <c:pt idx="106">
                  <c:v>802.8</c:v>
                </c:pt>
                <c:pt idx="107">
                  <c:v>805.5</c:v>
                </c:pt>
                <c:pt idx="108">
                  <c:v>790.8</c:v>
                </c:pt>
                <c:pt idx="109">
                  <c:v>753.7</c:v>
                </c:pt>
                <c:pt idx="110">
                  <c:v>776.05</c:v>
                </c:pt>
                <c:pt idx="111">
                  <c:v>764.05</c:v>
                </c:pt>
                <c:pt idx="112">
                  <c:v>750.35</c:v>
                </c:pt>
                <c:pt idx="113">
                  <c:v>748.9</c:v>
                </c:pt>
                <c:pt idx="114">
                  <c:v>754.45</c:v>
                </c:pt>
                <c:pt idx="115">
                  <c:v>751.3</c:v>
                </c:pt>
                <c:pt idx="116">
                  <c:v>744.6</c:v>
                </c:pt>
                <c:pt idx="117">
                  <c:v>707.4</c:v>
                </c:pt>
                <c:pt idx="118">
                  <c:v>730.05</c:v>
                </c:pt>
                <c:pt idx="119">
                  <c:v>742.7</c:v>
                </c:pt>
                <c:pt idx="120">
                  <c:v>714.85</c:v>
                </c:pt>
                <c:pt idx="121">
                  <c:v>698.3</c:v>
                </c:pt>
                <c:pt idx="122">
                  <c:v>688.05</c:v>
                </c:pt>
                <c:pt idx="123">
                  <c:v>653.75</c:v>
                </c:pt>
                <c:pt idx="124">
                  <c:v>665</c:v>
                </c:pt>
                <c:pt idx="125">
                  <c:v>667.45</c:v>
                </c:pt>
                <c:pt idx="126">
                  <c:v>676.6</c:v>
                </c:pt>
                <c:pt idx="127">
                  <c:v>677.9</c:v>
                </c:pt>
                <c:pt idx="128">
                  <c:v>696.15</c:v>
                </c:pt>
                <c:pt idx="129">
                  <c:v>697.35</c:v>
                </c:pt>
                <c:pt idx="130">
                  <c:v>708</c:v>
                </c:pt>
                <c:pt idx="131">
                  <c:v>720.1</c:v>
                </c:pt>
                <c:pt idx="132">
                  <c:v>710.75</c:v>
                </c:pt>
                <c:pt idx="133">
                  <c:v>718.2</c:v>
                </c:pt>
                <c:pt idx="134">
                  <c:v>718.3</c:v>
                </c:pt>
                <c:pt idx="135">
                  <c:v>704.2</c:v>
                </c:pt>
                <c:pt idx="136">
                  <c:v>699.25</c:v>
                </c:pt>
                <c:pt idx="137">
                  <c:v>710.35</c:v>
                </c:pt>
                <c:pt idx="138">
                  <c:v>715.3</c:v>
                </c:pt>
                <c:pt idx="139">
                  <c:v>730.9</c:v>
                </c:pt>
                <c:pt idx="140">
                  <c:v>730.3</c:v>
                </c:pt>
                <c:pt idx="141">
                  <c:v>736.25</c:v>
                </c:pt>
                <c:pt idx="142">
                  <c:v>746.6</c:v>
                </c:pt>
                <c:pt idx="143">
                  <c:v>741.8</c:v>
                </c:pt>
                <c:pt idx="144">
                  <c:v>741.6</c:v>
                </c:pt>
                <c:pt idx="145">
                  <c:v>748.55</c:v>
                </c:pt>
                <c:pt idx="146">
                  <c:v>754.3</c:v>
                </c:pt>
                <c:pt idx="147">
                  <c:v>759.6</c:v>
                </c:pt>
                <c:pt idx="148">
                  <c:v>763.85</c:v>
                </c:pt>
                <c:pt idx="149">
                  <c:v>762.25</c:v>
                </c:pt>
                <c:pt idx="150">
                  <c:v>757.8</c:v>
                </c:pt>
                <c:pt idx="151">
                  <c:v>766.3</c:v>
                </c:pt>
                <c:pt idx="152">
                  <c:v>755.55</c:v>
                </c:pt>
                <c:pt idx="153">
                  <c:v>762.35</c:v>
                </c:pt>
                <c:pt idx="154">
                  <c:v>747.65</c:v>
                </c:pt>
                <c:pt idx="155">
                  <c:v>752.2</c:v>
                </c:pt>
                <c:pt idx="156">
                  <c:v>753.75</c:v>
                </c:pt>
                <c:pt idx="157">
                  <c:v>736.7</c:v>
                </c:pt>
                <c:pt idx="158">
                  <c:v>747.15</c:v>
                </c:pt>
                <c:pt idx="159">
                  <c:v>743.3</c:v>
                </c:pt>
                <c:pt idx="160">
                  <c:v>741</c:v>
                </c:pt>
                <c:pt idx="161">
                  <c:v>724.25</c:v>
                </c:pt>
                <c:pt idx="162">
                  <c:v>728.8</c:v>
                </c:pt>
                <c:pt idx="163">
                  <c:v>719.25</c:v>
                </c:pt>
                <c:pt idx="164">
                  <c:v>710.35</c:v>
                </c:pt>
                <c:pt idx="165">
                  <c:v>711.3</c:v>
                </c:pt>
                <c:pt idx="166">
                  <c:v>714.2</c:v>
                </c:pt>
                <c:pt idx="167">
                  <c:v>695.8</c:v>
                </c:pt>
                <c:pt idx="168">
                  <c:v>677.35</c:v>
                </c:pt>
                <c:pt idx="169">
                  <c:v>683</c:v>
                </c:pt>
                <c:pt idx="170">
                  <c:v>710</c:v>
                </c:pt>
                <c:pt idx="171">
                  <c:v>707.35</c:v>
                </c:pt>
                <c:pt idx="172">
                  <c:v>690.3</c:v>
                </c:pt>
                <c:pt idx="173">
                  <c:v>709.55</c:v>
                </c:pt>
                <c:pt idx="174">
                  <c:v>711.05</c:v>
                </c:pt>
                <c:pt idx="175">
                  <c:v>708.15</c:v>
                </c:pt>
                <c:pt idx="176">
                  <c:v>713.35</c:v>
                </c:pt>
                <c:pt idx="177">
                  <c:v>728.5</c:v>
                </c:pt>
                <c:pt idx="178">
                  <c:v>739.8</c:v>
                </c:pt>
                <c:pt idx="179">
                  <c:v>748.5</c:v>
                </c:pt>
                <c:pt idx="180">
                  <c:v>752.85</c:v>
                </c:pt>
                <c:pt idx="181">
                  <c:v>752.65</c:v>
                </c:pt>
                <c:pt idx="182">
                  <c:v>749.75</c:v>
                </c:pt>
                <c:pt idx="183">
                  <c:v>744.3</c:v>
                </c:pt>
                <c:pt idx="184">
                  <c:v>746.75</c:v>
                </c:pt>
                <c:pt idx="185">
                  <c:v>735.25</c:v>
                </c:pt>
                <c:pt idx="186">
                  <c:v>729.5</c:v>
                </c:pt>
                <c:pt idx="187">
                  <c:v>732.75</c:v>
                </c:pt>
                <c:pt idx="188">
                  <c:v>720</c:v>
                </c:pt>
                <c:pt idx="189">
                  <c:v>688</c:v>
                </c:pt>
                <c:pt idx="190">
                  <c:v>685.5</c:v>
                </c:pt>
                <c:pt idx="191">
                  <c:v>687.25</c:v>
                </c:pt>
                <c:pt idx="192">
                  <c:v>678.5</c:v>
                </c:pt>
                <c:pt idx="193">
                  <c:v>686.85</c:v>
                </c:pt>
                <c:pt idx="194">
                  <c:v>685.95</c:v>
                </c:pt>
                <c:pt idx="195">
                  <c:v>696.1</c:v>
                </c:pt>
                <c:pt idx="196">
                  <c:v>686.6</c:v>
                </c:pt>
                <c:pt idx="197">
                  <c:v>699.15</c:v>
                </c:pt>
                <c:pt idx="198">
                  <c:v>713.45</c:v>
                </c:pt>
                <c:pt idx="199">
                  <c:v>717.35</c:v>
                </c:pt>
                <c:pt idx="200">
                  <c:v>710.3</c:v>
                </c:pt>
                <c:pt idx="201">
                  <c:v>702.75</c:v>
                </c:pt>
                <c:pt idx="202">
                  <c:v>707.2</c:v>
                </c:pt>
                <c:pt idx="203">
                  <c:v>703.9</c:v>
                </c:pt>
                <c:pt idx="204">
                  <c:v>720.1</c:v>
                </c:pt>
                <c:pt idx="205">
                  <c:v>719.45</c:v>
                </c:pt>
                <c:pt idx="206">
                  <c:v>725.95</c:v>
                </c:pt>
                <c:pt idx="207">
                  <c:v>742</c:v>
                </c:pt>
                <c:pt idx="208">
                  <c:v>755.7</c:v>
                </c:pt>
                <c:pt idx="209">
                  <c:v>769.5</c:v>
                </c:pt>
                <c:pt idx="210">
                  <c:v>759.9</c:v>
                </c:pt>
                <c:pt idx="211">
                  <c:v>753.2</c:v>
                </c:pt>
                <c:pt idx="212">
                  <c:v>752.4</c:v>
                </c:pt>
                <c:pt idx="213">
                  <c:v>751.2</c:v>
                </c:pt>
                <c:pt idx="214">
                  <c:v>772</c:v>
                </c:pt>
                <c:pt idx="215">
                  <c:v>780.65</c:v>
                </c:pt>
                <c:pt idx="216">
                  <c:v>783.1</c:v>
                </c:pt>
                <c:pt idx="217">
                  <c:v>786</c:v>
                </c:pt>
                <c:pt idx="218">
                  <c:v>800.05</c:v>
                </c:pt>
                <c:pt idx="219">
                  <c:v>800.9</c:v>
                </c:pt>
                <c:pt idx="220">
                  <c:v>796.3</c:v>
                </c:pt>
                <c:pt idx="221">
                  <c:v>800.5</c:v>
                </c:pt>
                <c:pt idx="222">
                  <c:v>814.6</c:v>
                </c:pt>
                <c:pt idx="223">
                  <c:v>818.6</c:v>
                </c:pt>
                <c:pt idx="224">
                  <c:v>823.4</c:v>
                </c:pt>
                <c:pt idx="225">
                  <c:v>817.75</c:v>
                </c:pt>
                <c:pt idx="226">
                  <c:v>824.8</c:v>
                </c:pt>
                <c:pt idx="227">
                  <c:v>820.25</c:v>
                </c:pt>
                <c:pt idx="228">
                  <c:v>838.2</c:v>
                </c:pt>
                <c:pt idx="229">
                  <c:v>836.95</c:v>
                </c:pt>
                <c:pt idx="230">
                  <c:v>848.75</c:v>
                </c:pt>
                <c:pt idx="231">
                  <c:v>859.7</c:v>
                </c:pt>
                <c:pt idx="232">
                  <c:v>874.4</c:v>
                </c:pt>
                <c:pt idx="233">
                  <c:v>879.25</c:v>
                </c:pt>
                <c:pt idx="234">
                  <c:v>883.25</c:v>
                </c:pt>
                <c:pt idx="235">
                  <c:v>885.1</c:v>
                </c:pt>
                <c:pt idx="236">
                  <c:v>870.4</c:v>
                </c:pt>
                <c:pt idx="237">
                  <c:v>852.25</c:v>
                </c:pt>
                <c:pt idx="238">
                  <c:v>863.9</c:v>
                </c:pt>
                <c:pt idx="239">
                  <c:v>873.3</c:v>
                </c:pt>
                <c:pt idx="240">
                  <c:v>872.35</c:v>
                </c:pt>
                <c:pt idx="241">
                  <c:v>870.85</c:v>
                </c:pt>
                <c:pt idx="242">
                  <c:v>855.85</c:v>
                </c:pt>
                <c:pt idx="243">
                  <c:v>887.3</c:v>
                </c:pt>
                <c:pt idx="244">
                  <c:v>874.35</c:v>
                </c:pt>
                <c:pt idx="245">
                  <c:v>872.4</c:v>
                </c:pt>
                <c:pt idx="246">
                  <c:v>882.45</c:v>
                </c:pt>
                <c:pt idx="247">
                  <c:v>883.65</c:v>
                </c:pt>
                <c:pt idx="248">
                  <c:v>876.2</c:v>
                </c:pt>
                <c:pt idx="249">
                  <c:v>898.8</c:v>
                </c:pt>
                <c:pt idx="250">
                  <c:v>901.25</c:v>
                </c:pt>
                <c:pt idx="251">
                  <c:v>910</c:v>
                </c:pt>
                <c:pt idx="252">
                  <c:v>918.1</c:v>
                </c:pt>
                <c:pt idx="253">
                  <c:v>917.6</c:v>
                </c:pt>
                <c:pt idx="254">
                  <c:v>909.1</c:v>
                </c:pt>
                <c:pt idx="255">
                  <c:v>899.2</c:v>
                </c:pt>
                <c:pt idx="256">
                  <c:v>916.75</c:v>
                </c:pt>
                <c:pt idx="257">
                  <c:v>915.25</c:v>
                </c:pt>
                <c:pt idx="258">
                  <c:v>903.4</c:v>
                </c:pt>
                <c:pt idx="259">
                  <c:v>882.25</c:v>
                </c:pt>
                <c:pt idx="260">
                  <c:v>861.05</c:v>
                </c:pt>
                <c:pt idx="261">
                  <c:v>852.55</c:v>
                </c:pt>
                <c:pt idx="262">
                  <c:v>849.5</c:v>
                </c:pt>
                <c:pt idx="263">
                  <c:v>843.9</c:v>
                </c:pt>
                <c:pt idx="264">
                  <c:v>862</c:v>
                </c:pt>
                <c:pt idx="265">
                  <c:v>848.35</c:v>
                </c:pt>
                <c:pt idx="266">
                  <c:v>867.65</c:v>
                </c:pt>
                <c:pt idx="267">
                  <c:v>885.45</c:v>
                </c:pt>
                <c:pt idx="268">
                  <c:v>882.55</c:v>
                </c:pt>
                <c:pt idx="269">
                  <c:v>881.75</c:v>
                </c:pt>
                <c:pt idx="270">
                  <c:v>870.6</c:v>
                </c:pt>
                <c:pt idx="271">
                  <c:v>868.35</c:v>
                </c:pt>
                <c:pt idx="272">
                  <c:v>853.6</c:v>
                </c:pt>
                <c:pt idx="273">
                  <c:v>870.25</c:v>
                </c:pt>
                <c:pt idx="274">
                  <c:v>885.2</c:v>
                </c:pt>
                <c:pt idx="275">
                  <c:v>896.9</c:v>
                </c:pt>
                <c:pt idx="276">
                  <c:v>892.1</c:v>
                </c:pt>
                <c:pt idx="277">
                  <c:v>888.65</c:v>
                </c:pt>
                <c:pt idx="278">
                  <c:v>907.15</c:v>
                </c:pt>
                <c:pt idx="279">
                  <c:v>925.05</c:v>
                </c:pt>
                <c:pt idx="280">
                  <c:v>924.4</c:v>
                </c:pt>
                <c:pt idx="281">
                  <c:v>907.85</c:v>
                </c:pt>
                <c:pt idx="282">
                  <c:v>908.7</c:v>
                </c:pt>
                <c:pt idx="283">
                  <c:v>908.6</c:v>
                </c:pt>
                <c:pt idx="284">
                  <c:v>904.7</c:v>
                </c:pt>
                <c:pt idx="285">
                  <c:v>908.65</c:v>
                </c:pt>
                <c:pt idx="286">
                  <c:v>905.3</c:v>
                </c:pt>
                <c:pt idx="287">
                  <c:v>917.5</c:v>
                </c:pt>
                <c:pt idx="288">
                  <c:v>910.5</c:v>
                </c:pt>
                <c:pt idx="289">
                  <c:v>910.7</c:v>
                </c:pt>
                <c:pt idx="290">
                  <c:v>906.55</c:v>
                </c:pt>
                <c:pt idx="291">
                  <c:v>894.95</c:v>
                </c:pt>
                <c:pt idx="292">
                  <c:v>911.7</c:v>
                </c:pt>
                <c:pt idx="293">
                  <c:v>913.6</c:v>
                </c:pt>
                <c:pt idx="294">
                  <c:v>919.8</c:v>
                </c:pt>
                <c:pt idx="295">
                  <c:v>920.35</c:v>
                </c:pt>
                <c:pt idx="296">
                  <c:v>921.4</c:v>
                </c:pt>
                <c:pt idx="297">
                  <c:v>923.7</c:v>
                </c:pt>
                <c:pt idx="298">
                  <c:v>927.45</c:v>
                </c:pt>
                <c:pt idx="299">
                  <c:v>938.85</c:v>
                </c:pt>
                <c:pt idx="300">
                  <c:v>930.3</c:v>
                </c:pt>
                <c:pt idx="301">
                  <c:v>937.4</c:v>
                </c:pt>
                <c:pt idx="302">
                  <c:v>946.75</c:v>
                </c:pt>
                <c:pt idx="303">
                  <c:v>952.9</c:v>
                </c:pt>
                <c:pt idx="304">
                  <c:v>940.2</c:v>
                </c:pt>
                <c:pt idx="305">
                  <c:v>930.6</c:v>
                </c:pt>
                <c:pt idx="306">
                  <c:v>933.6</c:v>
                </c:pt>
                <c:pt idx="307">
                  <c:v>922.65</c:v>
                </c:pt>
                <c:pt idx="308">
                  <c:v>922.15</c:v>
                </c:pt>
                <c:pt idx="309">
                  <c:v>931.9</c:v>
                </c:pt>
                <c:pt idx="310">
                  <c:v>929.9</c:v>
                </c:pt>
                <c:pt idx="311">
                  <c:v>930.3</c:v>
                </c:pt>
                <c:pt idx="312">
                  <c:v>932.95</c:v>
                </c:pt>
                <c:pt idx="313">
                  <c:v>921.75</c:v>
                </c:pt>
                <c:pt idx="314">
                  <c:v>908.8</c:v>
                </c:pt>
                <c:pt idx="315">
                  <c:v>902</c:v>
                </c:pt>
                <c:pt idx="316">
                  <c:v>906.45</c:v>
                </c:pt>
                <c:pt idx="317">
                  <c:v>909.7</c:v>
                </c:pt>
                <c:pt idx="318">
                  <c:v>892.25</c:v>
                </c:pt>
                <c:pt idx="319">
                  <c:v>890.65</c:v>
                </c:pt>
                <c:pt idx="320">
                  <c:v>878.9</c:v>
                </c:pt>
                <c:pt idx="321">
                  <c:v>893.2</c:v>
                </c:pt>
                <c:pt idx="322">
                  <c:v>900.65</c:v>
                </c:pt>
                <c:pt idx="323">
                  <c:v>898.95</c:v>
                </c:pt>
                <c:pt idx="324">
                  <c:v>908.05</c:v>
                </c:pt>
                <c:pt idx="325">
                  <c:v>890.85</c:v>
                </c:pt>
                <c:pt idx="326">
                  <c:v>902.45</c:v>
                </c:pt>
                <c:pt idx="327">
                  <c:v>901.35</c:v>
                </c:pt>
                <c:pt idx="328">
                  <c:v>899.1</c:v>
                </c:pt>
                <c:pt idx="329">
                  <c:v>879.15</c:v>
                </c:pt>
                <c:pt idx="330">
                  <c:v>870.1</c:v>
                </c:pt>
                <c:pt idx="331">
                  <c:v>873.35</c:v>
                </c:pt>
                <c:pt idx="332">
                  <c:v>861.35</c:v>
                </c:pt>
                <c:pt idx="333">
                  <c:v>866.3</c:v>
                </c:pt>
                <c:pt idx="334">
                  <c:v>860.65</c:v>
                </c:pt>
                <c:pt idx="335">
                  <c:v>873.45</c:v>
                </c:pt>
                <c:pt idx="336">
                  <c:v>865.25</c:v>
                </c:pt>
                <c:pt idx="337">
                  <c:v>865.15</c:v>
                </c:pt>
                <c:pt idx="338">
                  <c:v>869.5</c:v>
                </c:pt>
                <c:pt idx="339">
                  <c:v>866.15</c:v>
                </c:pt>
                <c:pt idx="340">
                  <c:v>870.35</c:v>
                </c:pt>
                <c:pt idx="341">
                  <c:v>871.7</c:v>
                </c:pt>
                <c:pt idx="342">
                  <c:v>870.75</c:v>
                </c:pt>
                <c:pt idx="343">
                  <c:v>855.3</c:v>
                </c:pt>
                <c:pt idx="344">
                  <c:v>817.2</c:v>
                </c:pt>
                <c:pt idx="345">
                  <c:v>823.5</c:v>
                </c:pt>
                <c:pt idx="346">
                  <c:v>831.9</c:v>
                </c:pt>
                <c:pt idx="347">
                  <c:v>847.95</c:v>
                </c:pt>
                <c:pt idx="348">
                  <c:v>857.9</c:v>
                </c:pt>
                <c:pt idx="349">
                  <c:v>863.8</c:v>
                </c:pt>
                <c:pt idx="350">
                  <c:v>853.7</c:v>
                </c:pt>
                <c:pt idx="351">
                  <c:v>852.75</c:v>
                </c:pt>
                <c:pt idx="352">
                  <c:v>859.1</c:v>
                </c:pt>
                <c:pt idx="353">
                  <c:v>860.8</c:v>
                </c:pt>
                <c:pt idx="354">
                  <c:v>853.85</c:v>
                </c:pt>
                <c:pt idx="355">
                  <c:v>850.65</c:v>
                </c:pt>
                <c:pt idx="356">
                  <c:v>865.3</c:v>
                </c:pt>
                <c:pt idx="357">
                  <c:v>870.8</c:v>
                </c:pt>
                <c:pt idx="358">
                  <c:v>869.45</c:v>
                </c:pt>
                <c:pt idx="359">
                  <c:v>862.65</c:v>
                </c:pt>
                <c:pt idx="360">
                  <c:v>852.1</c:v>
                </c:pt>
                <c:pt idx="361">
                  <c:v>854.2</c:v>
                </c:pt>
                <c:pt idx="362">
                  <c:v>839.25</c:v>
                </c:pt>
                <c:pt idx="363">
                  <c:v>839.75</c:v>
                </c:pt>
                <c:pt idx="364">
                  <c:v>839.7</c:v>
                </c:pt>
                <c:pt idx="365">
                  <c:v>856.4</c:v>
                </c:pt>
                <c:pt idx="366">
                  <c:v>854.85</c:v>
                </c:pt>
                <c:pt idx="367">
                  <c:v>856.3</c:v>
                </c:pt>
                <c:pt idx="368">
                  <c:v>854</c:v>
                </c:pt>
                <c:pt idx="369">
                  <c:v>868.55</c:v>
                </c:pt>
                <c:pt idx="370">
                  <c:v>867.75</c:v>
                </c:pt>
                <c:pt idx="371">
                  <c:v>872.1</c:v>
                </c:pt>
                <c:pt idx="372">
                  <c:v>855.95</c:v>
                </c:pt>
                <c:pt idx="373">
                  <c:v>842.65</c:v>
                </c:pt>
                <c:pt idx="374">
                  <c:v>828.4</c:v>
                </c:pt>
                <c:pt idx="375">
                  <c:v>830.35</c:v>
                </c:pt>
                <c:pt idx="376">
                  <c:v>825.9</c:v>
                </c:pt>
                <c:pt idx="377">
                  <c:v>823.9</c:v>
                </c:pt>
                <c:pt idx="378">
                  <c:v>836.25</c:v>
                </c:pt>
                <c:pt idx="379">
                  <c:v>836.45</c:v>
                </c:pt>
                <c:pt idx="380">
                  <c:v>852.4</c:v>
                </c:pt>
                <c:pt idx="381">
                  <c:v>860.2</c:v>
                </c:pt>
                <c:pt idx="382">
                  <c:v>855.45</c:v>
                </c:pt>
                <c:pt idx="383">
                  <c:v>852.4</c:v>
                </c:pt>
                <c:pt idx="384">
                  <c:v>848.7</c:v>
                </c:pt>
                <c:pt idx="385">
                  <c:v>854.75</c:v>
                </c:pt>
                <c:pt idx="386">
                  <c:v>851</c:v>
                </c:pt>
                <c:pt idx="387">
                  <c:v>877.25</c:v>
                </c:pt>
                <c:pt idx="388">
                  <c:v>883.8</c:v>
                </c:pt>
                <c:pt idx="389">
                  <c:v>884.6</c:v>
                </c:pt>
                <c:pt idx="390">
                  <c:v>875</c:v>
                </c:pt>
                <c:pt idx="391">
                  <c:v>868.45</c:v>
                </c:pt>
                <c:pt idx="392">
                  <c:v>881.9</c:v>
                </c:pt>
                <c:pt idx="393">
                  <c:v>890.15</c:v>
                </c:pt>
                <c:pt idx="394">
                  <c:v>899</c:v>
                </c:pt>
                <c:pt idx="395">
                  <c:v>901.3</c:v>
                </c:pt>
                <c:pt idx="396">
                  <c:v>896.85</c:v>
                </c:pt>
                <c:pt idx="397">
                  <c:v>891.9</c:v>
                </c:pt>
                <c:pt idx="398">
                  <c:v>894.4</c:v>
                </c:pt>
                <c:pt idx="399">
                  <c:v>885.65</c:v>
                </c:pt>
                <c:pt idx="400">
                  <c:v>904.75</c:v>
                </c:pt>
                <c:pt idx="401">
                  <c:v>913.45</c:v>
                </c:pt>
                <c:pt idx="402">
                  <c:v>914.95</c:v>
                </c:pt>
                <c:pt idx="403">
                  <c:v>918.35</c:v>
                </c:pt>
                <c:pt idx="404">
                  <c:v>917.65</c:v>
                </c:pt>
                <c:pt idx="405">
                  <c:v>922.1</c:v>
                </c:pt>
                <c:pt idx="406">
                  <c:v>922.85</c:v>
                </c:pt>
                <c:pt idx="407">
                  <c:v>921.7</c:v>
                </c:pt>
                <c:pt idx="408">
                  <c:v>926.95</c:v>
                </c:pt>
                <c:pt idx="409">
                  <c:v>937.9</c:v>
                </c:pt>
                <c:pt idx="410">
                  <c:v>934.4</c:v>
                </c:pt>
                <c:pt idx="411">
                  <c:v>936.05</c:v>
                </c:pt>
                <c:pt idx="412">
                  <c:v>939.2</c:v>
                </c:pt>
                <c:pt idx="413">
                  <c:v>943.9</c:v>
                </c:pt>
                <c:pt idx="414">
                  <c:v>945.75</c:v>
                </c:pt>
                <c:pt idx="415">
                  <c:v>946.35</c:v>
                </c:pt>
                <c:pt idx="416">
                  <c:v>939.35</c:v>
                </c:pt>
                <c:pt idx="417">
                  <c:v>946.5</c:v>
                </c:pt>
                <c:pt idx="418">
                  <c:v>954.3</c:v>
                </c:pt>
                <c:pt idx="419">
                  <c:v>950.35</c:v>
                </c:pt>
                <c:pt idx="420">
                  <c:v>953.4</c:v>
                </c:pt>
                <c:pt idx="421">
                  <c:v>940.65</c:v>
                </c:pt>
                <c:pt idx="422">
                  <c:v>939.85</c:v>
                </c:pt>
                <c:pt idx="423">
                  <c:v>950.7</c:v>
                </c:pt>
                <c:pt idx="424">
                  <c:v>948.15</c:v>
                </c:pt>
                <c:pt idx="425">
                  <c:v>949.95</c:v>
                </c:pt>
                <c:pt idx="426">
                  <c:v>949.15</c:v>
                </c:pt>
                <c:pt idx="427">
                  <c:v>936.1</c:v>
                </c:pt>
                <c:pt idx="428">
                  <c:v>938.15</c:v>
                </c:pt>
                <c:pt idx="429">
                  <c:v>946.75</c:v>
                </c:pt>
                <c:pt idx="430">
                  <c:v>942.1</c:v>
                </c:pt>
                <c:pt idx="431">
                  <c:v>940.2</c:v>
                </c:pt>
                <c:pt idx="432">
                  <c:v>937.9</c:v>
                </c:pt>
                <c:pt idx="433">
                  <c:v>938.05</c:v>
                </c:pt>
                <c:pt idx="434">
                  <c:v>935.95</c:v>
                </c:pt>
                <c:pt idx="435">
                  <c:v>943.55</c:v>
                </c:pt>
                <c:pt idx="436">
                  <c:v>939.8</c:v>
                </c:pt>
                <c:pt idx="437">
                  <c:v>926.6</c:v>
                </c:pt>
                <c:pt idx="438">
                  <c:v>934.2</c:v>
                </c:pt>
                <c:pt idx="439">
                  <c:v>923.15</c:v>
                </c:pt>
                <c:pt idx="440">
                  <c:v>925.55</c:v>
                </c:pt>
                <c:pt idx="441">
                  <c:v>924.7</c:v>
                </c:pt>
                <c:pt idx="442">
                  <c:v>925.75</c:v>
                </c:pt>
                <c:pt idx="443">
                  <c:v>923.5</c:v>
                </c:pt>
                <c:pt idx="444">
                  <c:v>927.45</c:v>
                </c:pt>
                <c:pt idx="445">
                  <c:v>936.1</c:v>
                </c:pt>
                <c:pt idx="446">
                  <c:v>937.45</c:v>
                </c:pt>
                <c:pt idx="447">
                  <c:v>934.6</c:v>
                </c:pt>
                <c:pt idx="448">
                  <c:v>942.55</c:v>
                </c:pt>
                <c:pt idx="449">
                  <c:v>944.7</c:v>
                </c:pt>
                <c:pt idx="450">
                  <c:v>958</c:v>
                </c:pt>
                <c:pt idx="451">
                  <c:v>959.4</c:v>
                </c:pt>
                <c:pt idx="452">
                  <c:v>946.4</c:v>
                </c:pt>
                <c:pt idx="453">
                  <c:v>948.4</c:v>
                </c:pt>
                <c:pt idx="454">
                  <c:v>944.95</c:v>
                </c:pt>
                <c:pt idx="455">
                  <c:v>944.4</c:v>
                </c:pt>
                <c:pt idx="456">
                  <c:v>955.7</c:v>
                </c:pt>
                <c:pt idx="457">
                  <c:v>960.05</c:v>
                </c:pt>
                <c:pt idx="458">
                  <c:v>968.7</c:v>
                </c:pt>
                <c:pt idx="459">
                  <c:v>975.45</c:v>
                </c:pt>
                <c:pt idx="460">
                  <c:v>973.45</c:v>
                </c:pt>
                <c:pt idx="461">
                  <c:v>995.6</c:v>
                </c:pt>
                <c:pt idx="462">
                  <c:v>997</c:v>
                </c:pt>
                <c:pt idx="463">
                  <c:v>992</c:v>
                </c:pt>
                <c:pt idx="464">
                  <c:v>994.7</c:v>
                </c:pt>
                <c:pt idx="465">
                  <c:v>996.45</c:v>
                </c:pt>
                <c:pt idx="466">
                  <c:v>990.25</c:v>
                </c:pt>
                <c:pt idx="467">
                  <c:v>996.2</c:v>
                </c:pt>
                <c:pt idx="468">
                  <c:v>998.3</c:v>
                </c:pt>
                <c:pt idx="469">
                  <c:v>994.55</c:v>
                </c:pt>
                <c:pt idx="470">
                  <c:v>986.95</c:v>
                </c:pt>
                <c:pt idx="471">
                  <c:v>965</c:v>
                </c:pt>
                <c:pt idx="472">
                  <c:v>970.5</c:v>
                </c:pt>
                <c:pt idx="473">
                  <c:v>975.65</c:v>
                </c:pt>
                <c:pt idx="474">
                  <c:v>979.9</c:v>
                </c:pt>
                <c:pt idx="475">
                  <c:v>972.7</c:v>
                </c:pt>
                <c:pt idx="476">
                  <c:v>964.1</c:v>
                </c:pt>
                <c:pt idx="477">
                  <c:v>952.85</c:v>
                </c:pt>
                <c:pt idx="478">
                  <c:v>959.55</c:v>
                </c:pt>
                <c:pt idx="479">
                  <c:v>956.5</c:v>
                </c:pt>
                <c:pt idx="480">
                  <c:v>951.65</c:v>
                </c:pt>
                <c:pt idx="481">
                  <c:v>950.65</c:v>
                </c:pt>
                <c:pt idx="482">
                  <c:v>955.2</c:v>
                </c:pt>
                <c:pt idx="483">
                  <c:v>952</c:v>
                </c:pt>
                <c:pt idx="484">
                  <c:v>966.85</c:v>
                </c:pt>
                <c:pt idx="485">
                  <c:v>968.95</c:v>
                </c:pt>
                <c:pt idx="486">
                  <c:v>970.4</c:v>
                </c:pt>
                <c:pt idx="487">
                  <c:v>970.55</c:v>
                </c:pt>
                <c:pt idx="488">
                  <c:v>967.75</c:v>
                </c:pt>
                <c:pt idx="489">
                  <c:v>958.9</c:v>
                </c:pt>
                <c:pt idx="490">
                  <c:v>958.75</c:v>
                </c:pt>
                <c:pt idx="491">
                  <c:v>968.7</c:v>
                </c:pt>
                <c:pt idx="492">
                  <c:v>967.35</c:v>
                </c:pt>
                <c:pt idx="493">
                  <c:v>968.4</c:v>
                </c:pt>
                <c:pt idx="494">
                  <c:v>957.5</c:v>
                </c:pt>
                <c:pt idx="495">
                  <c:v>965.65</c:v>
                </c:pt>
                <c:pt idx="496">
                  <c:v>970.55</c:v>
                </c:pt>
                <c:pt idx="497">
                  <c:v>978.25</c:v>
                </c:pt>
                <c:pt idx="498">
                  <c:v>990.5</c:v>
                </c:pt>
                <c:pt idx="499">
                  <c:v>989.8</c:v>
                </c:pt>
                <c:pt idx="500">
                  <c:v>987.7</c:v>
                </c:pt>
                <c:pt idx="501">
                  <c:v>992.45</c:v>
                </c:pt>
                <c:pt idx="502">
                  <c:v>990.2</c:v>
                </c:pt>
                <c:pt idx="503">
                  <c:v>987.15</c:v>
                </c:pt>
                <c:pt idx="504">
                  <c:v>959.3</c:v>
                </c:pt>
                <c:pt idx="505">
                  <c:v>950.3</c:v>
                </c:pt>
                <c:pt idx="506">
                  <c:v>956.35</c:v>
                </c:pt>
                <c:pt idx="507">
                  <c:v>948.7</c:v>
                </c:pt>
                <c:pt idx="508">
                  <c:v>943.1</c:v>
                </c:pt>
                <c:pt idx="509">
                  <c:v>942.6</c:v>
                </c:pt>
                <c:pt idx="510">
                  <c:v>951.9</c:v>
                </c:pt>
                <c:pt idx="511">
                  <c:v>940.3</c:v>
                </c:pt>
                <c:pt idx="512">
                  <c:v>930.05</c:v>
                </c:pt>
                <c:pt idx="513">
                  <c:v>940.85</c:v>
                </c:pt>
                <c:pt idx="514">
                  <c:v>945.2</c:v>
                </c:pt>
                <c:pt idx="515">
                  <c:v>938.6</c:v>
                </c:pt>
                <c:pt idx="516">
                  <c:v>951.2</c:v>
                </c:pt>
                <c:pt idx="517">
                  <c:v>953.1</c:v>
                </c:pt>
                <c:pt idx="518">
                  <c:v>954.25</c:v>
                </c:pt>
                <c:pt idx="519">
                  <c:v>951.3</c:v>
                </c:pt>
                <c:pt idx="520">
                  <c:v>951.4</c:v>
                </c:pt>
                <c:pt idx="521">
                  <c:v>953.9</c:v>
                </c:pt>
                <c:pt idx="522">
                  <c:v>943.75</c:v>
                </c:pt>
                <c:pt idx="523">
                  <c:v>935.75</c:v>
                </c:pt>
                <c:pt idx="524">
                  <c:v>932.75</c:v>
                </c:pt>
                <c:pt idx="525">
                  <c:v>929.95</c:v>
                </c:pt>
                <c:pt idx="526">
                  <c:v>916.1</c:v>
                </c:pt>
                <c:pt idx="527">
                  <c:v>908.65</c:v>
                </c:pt>
                <c:pt idx="528">
                  <c:v>912.75</c:v>
                </c:pt>
                <c:pt idx="529">
                  <c:v>924.9</c:v>
                </c:pt>
                <c:pt idx="530">
                  <c:v>915.35</c:v>
                </c:pt>
                <c:pt idx="531">
                  <c:v>914.05</c:v>
                </c:pt>
                <c:pt idx="532">
                  <c:v>919.95</c:v>
                </c:pt>
                <c:pt idx="533">
                  <c:v>933.8</c:v>
                </c:pt>
                <c:pt idx="534">
                  <c:v>945.45</c:v>
                </c:pt>
                <c:pt idx="535">
                  <c:v>948.1</c:v>
                </c:pt>
                <c:pt idx="536">
                  <c:v>935.75</c:v>
                </c:pt>
                <c:pt idx="537">
                  <c:v>937.35</c:v>
                </c:pt>
                <c:pt idx="538">
                  <c:v>938.6</c:v>
                </c:pt>
                <c:pt idx="539">
                  <c:v>934.45</c:v>
                </c:pt>
                <c:pt idx="540">
                  <c:v>941.1</c:v>
                </c:pt>
                <c:pt idx="541">
                  <c:v>936</c:v>
                </c:pt>
                <c:pt idx="542">
                  <c:v>921.85</c:v>
                </c:pt>
                <c:pt idx="543">
                  <c:v>921.45</c:v>
                </c:pt>
                <c:pt idx="544">
                  <c:v>926.1</c:v>
                </c:pt>
                <c:pt idx="545">
                  <c:v>922.75</c:v>
                </c:pt>
                <c:pt idx="546">
                  <c:v>923</c:v>
                </c:pt>
                <c:pt idx="547">
                  <c:v>929.4</c:v>
                </c:pt>
                <c:pt idx="548">
                  <c:v>925.5</c:v>
                </c:pt>
                <c:pt idx="549">
                  <c:v>939.6</c:v>
                </c:pt>
                <c:pt idx="550">
                  <c:v>934.95</c:v>
                </c:pt>
                <c:pt idx="551">
                  <c:v>946.7</c:v>
                </c:pt>
                <c:pt idx="552">
                  <c:v>991.2</c:v>
                </c:pt>
                <c:pt idx="553">
                  <c:v>1013.45</c:v>
                </c:pt>
                <c:pt idx="554">
                  <c:v>1003.25</c:v>
                </c:pt>
                <c:pt idx="555">
                  <c:v>999</c:v>
                </c:pt>
                <c:pt idx="556">
                  <c:v>1010.85</c:v>
                </c:pt>
                <c:pt idx="557">
                  <c:v>1017.1</c:v>
                </c:pt>
                <c:pt idx="558">
                  <c:v>1015.7</c:v>
                </c:pt>
                <c:pt idx="559">
                  <c:v>1013.9</c:v>
                </c:pt>
                <c:pt idx="560">
                  <c:v>1033.6500000000001</c:v>
                </c:pt>
                <c:pt idx="561">
                  <c:v>1037.4000000000001</c:v>
                </c:pt>
                <c:pt idx="562">
                  <c:v>1021.45</c:v>
                </c:pt>
                <c:pt idx="563">
                  <c:v>1015.45</c:v>
                </c:pt>
                <c:pt idx="564">
                  <c:v>1006.65</c:v>
                </c:pt>
                <c:pt idx="565">
                  <c:v>1004.4</c:v>
                </c:pt>
                <c:pt idx="566">
                  <c:v>994.3</c:v>
                </c:pt>
                <c:pt idx="567">
                  <c:v>995.1</c:v>
                </c:pt>
                <c:pt idx="568">
                  <c:v>1002.25</c:v>
                </c:pt>
                <c:pt idx="569">
                  <c:v>1005.9</c:v>
                </c:pt>
                <c:pt idx="570">
                  <c:v>996.6</c:v>
                </c:pt>
                <c:pt idx="571">
                  <c:v>999.4</c:v>
                </c:pt>
                <c:pt idx="572">
                  <c:v>982.25</c:v>
                </c:pt>
                <c:pt idx="573">
                  <c:v>984.05</c:v>
                </c:pt>
                <c:pt idx="574">
                  <c:v>987.15</c:v>
                </c:pt>
                <c:pt idx="575">
                  <c:v>993.7</c:v>
                </c:pt>
                <c:pt idx="576">
                  <c:v>982</c:v>
                </c:pt>
                <c:pt idx="577">
                  <c:v>979.75</c:v>
                </c:pt>
                <c:pt idx="578">
                  <c:v>993.05</c:v>
                </c:pt>
                <c:pt idx="579">
                  <c:v>991.15</c:v>
                </c:pt>
                <c:pt idx="580">
                  <c:v>1003.5</c:v>
                </c:pt>
                <c:pt idx="581">
                  <c:v>1009.85</c:v>
                </c:pt>
                <c:pt idx="582">
                  <c:v>1009.05</c:v>
                </c:pt>
                <c:pt idx="583">
                  <c:v>981.75</c:v>
                </c:pt>
                <c:pt idx="584">
                  <c:v>986.35</c:v>
                </c:pt>
                <c:pt idx="585">
                  <c:v>999.2</c:v>
                </c:pt>
                <c:pt idx="586">
                  <c:v>1029.05</c:v>
                </c:pt>
                <c:pt idx="587">
                  <c:v>999.2</c:v>
                </c:pt>
                <c:pt idx="588">
                  <c:v>1009.95</c:v>
                </c:pt>
                <c:pt idx="589">
                  <c:v>1016.4</c:v>
                </c:pt>
                <c:pt idx="590">
                  <c:v>1016.9</c:v>
                </c:pt>
                <c:pt idx="591">
                  <c:v>1028.1500000000001</c:v>
                </c:pt>
                <c:pt idx="592">
                  <c:v>1025.1500000000001</c:v>
                </c:pt>
                <c:pt idx="593">
                  <c:v>1024</c:v>
                </c:pt>
                <c:pt idx="594">
                  <c:v>1023.5</c:v>
                </c:pt>
                <c:pt idx="595">
                  <c:v>1026.4000000000001</c:v>
                </c:pt>
                <c:pt idx="596">
                  <c:v>1022.15</c:v>
                </c:pt>
                <c:pt idx="597">
                  <c:v>989.3</c:v>
                </c:pt>
                <c:pt idx="598">
                  <c:v>1010.7</c:v>
                </c:pt>
                <c:pt idx="599">
                  <c:v>996.1</c:v>
                </c:pt>
                <c:pt idx="600">
                  <c:v>1019.8</c:v>
                </c:pt>
                <c:pt idx="601">
                  <c:v>1022.7</c:v>
                </c:pt>
                <c:pt idx="602">
                  <c:v>1016.65</c:v>
                </c:pt>
                <c:pt idx="603">
                  <c:v>1023.25</c:v>
                </c:pt>
                <c:pt idx="604">
                  <c:v>1043.75</c:v>
                </c:pt>
                <c:pt idx="605">
                  <c:v>1048.75</c:v>
                </c:pt>
                <c:pt idx="606">
                  <c:v>1051.95</c:v>
                </c:pt>
                <c:pt idx="607">
                  <c:v>1062.7</c:v>
                </c:pt>
                <c:pt idx="608">
                  <c:v>1061.3</c:v>
                </c:pt>
                <c:pt idx="609">
                  <c:v>1054.2</c:v>
                </c:pt>
                <c:pt idx="610">
                  <c:v>1060.2</c:v>
                </c:pt>
                <c:pt idx="611">
                  <c:v>1046.2</c:v>
                </c:pt>
                <c:pt idx="612">
                  <c:v>1052.2</c:v>
                </c:pt>
                <c:pt idx="613">
                  <c:v>1086.9000000000001</c:v>
                </c:pt>
                <c:pt idx="614">
                  <c:v>1092.3499999999999</c:v>
                </c:pt>
                <c:pt idx="615">
                  <c:v>1088.05</c:v>
                </c:pt>
                <c:pt idx="616">
                  <c:v>1097.0999999999999</c:v>
                </c:pt>
                <c:pt idx="617">
                  <c:v>1087.95</c:v>
                </c:pt>
                <c:pt idx="618">
                  <c:v>1078.7</c:v>
                </c:pt>
                <c:pt idx="619">
                  <c:v>1076.8499999999999</c:v>
                </c:pt>
                <c:pt idx="620">
                  <c:v>1083.95</c:v>
                </c:pt>
                <c:pt idx="621">
                  <c:v>1083.5999999999999</c:v>
                </c:pt>
                <c:pt idx="622">
                  <c:v>1080.3499999999999</c:v>
                </c:pt>
                <c:pt idx="623">
                  <c:v>1081.2</c:v>
                </c:pt>
                <c:pt idx="624">
                  <c:v>1083.95</c:v>
                </c:pt>
                <c:pt idx="625">
                  <c:v>1084.5</c:v>
                </c:pt>
                <c:pt idx="626">
                  <c:v>1081.8</c:v>
                </c:pt>
                <c:pt idx="627">
                  <c:v>1090.3</c:v>
                </c:pt>
                <c:pt idx="628">
                  <c:v>1083.7</c:v>
                </c:pt>
                <c:pt idx="629">
                  <c:v>1083.75</c:v>
                </c:pt>
                <c:pt idx="630">
                  <c:v>1093.3</c:v>
                </c:pt>
                <c:pt idx="631">
                  <c:v>1099.6500000000001</c:v>
                </c:pt>
                <c:pt idx="632">
                  <c:v>1081.2</c:v>
                </c:pt>
                <c:pt idx="633">
                  <c:v>1077.2</c:v>
                </c:pt>
                <c:pt idx="634">
                  <c:v>1078.8499999999999</c:v>
                </c:pt>
                <c:pt idx="635">
                  <c:v>1083.4000000000001</c:v>
                </c:pt>
                <c:pt idx="636">
                  <c:v>1087.1500000000001</c:v>
                </c:pt>
                <c:pt idx="637">
                  <c:v>1107.05</c:v>
                </c:pt>
                <c:pt idx="638">
                  <c:v>1109.4000000000001</c:v>
                </c:pt>
                <c:pt idx="639">
                  <c:v>1104.4000000000001</c:v>
                </c:pt>
                <c:pt idx="640">
                  <c:v>1078.3499999999999</c:v>
                </c:pt>
                <c:pt idx="641">
                  <c:v>1067.05</c:v>
                </c:pt>
                <c:pt idx="642">
                  <c:v>1055.45</c:v>
                </c:pt>
                <c:pt idx="643">
                  <c:v>1067.25</c:v>
                </c:pt>
                <c:pt idx="644">
                  <c:v>1086.6500000000001</c:v>
                </c:pt>
                <c:pt idx="645">
                  <c:v>1090.25</c:v>
                </c:pt>
                <c:pt idx="646">
                  <c:v>1096.75</c:v>
                </c:pt>
                <c:pt idx="647">
                  <c:v>1113.75</c:v>
                </c:pt>
                <c:pt idx="648">
                  <c:v>1107.9000000000001</c:v>
                </c:pt>
                <c:pt idx="649">
                  <c:v>1160.1500000000001</c:v>
                </c:pt>
                <c:pt idx="650">
                  <c:v>1150.4000000000001</c:v>
                </c:pt>
                <c:pt idx="651">
                  <c:v>1139.45</c:v>
                </c:pt>
                <c:pt idx="652">
                  <c:v>1142.05</c:v>
                </c:pt>
                <c:pt idx="653">
                  <c:v>1146.3</c:v>
                </c:pt>
                <c:pt idx="654">
                  <c:v>1131.9000000000001</c:v>
                </c:pt>
                <c:pt idx="655">
                  <c:v>1123</c:v>
                </c:pt>
                <c:pt idx="656">
                  <c:v>1115.7</c:v>
                </c:pt>
                <c:pt idx="657">
                  <c:v>1117.05</c:v>
                </c:pt>
                <c:pt idx="658">
                  <c:v>1128</c:v>
                </c:pt>
                <c:pt idx="659">
                  <c:v>1120.55</c:v>
                </c:pt>
                <c:pt idx="660">
                  <c:v>1124.3499999999999</c:v>
                </c:pt>
                <c:pt idx="661">
                  <c:v>1131.05</c:v>
                </c:pt>
                <c:pt idx="662">
                  <c:v>1130.5</c:v>
                </c:pt>
                <c:pt idx="663">
                  <c:v>1120.95</c:v>
                </c:pt>
                <c:pt idx="664">
                  <c:v>1111.0999999999999</c:v>
                </c:pt>
                <c:pt idx="665">
                  <c:v>1134.5</c:v>
                </c:pt>
                <c:pt idx="666">
                  <c:v>1131.95</c:v>
                </c:pt>
                <c:pt idx="667">
                  <c:v>1129.8</c:v>
                </c:pt>
                <c:pt idx="668">
                  <c:v>1126.95</c:v>
                </c:pt>
                <c:pt idx="669">
                  <c:v>1102</c:v>
                </c:pt>
                <c:pt idx="670">
                  <c:v>1113.7</c:v>
                </c:pt>
                <c:pt idx="671">
                  <c:v>1121.05</c:v>
                </c:pt>
                <c:pt idx="672">
                  <c:v>1160</c:v>
                </c:pt>
                <c:pt idx="673">
                  <c:v>1071.45</c:v>
                </c:pt>
                <c:pt idx="674">
                  <c:v>1108.6500000000001</c:v>
                </c:pt>
                <c:pt idx="675">
                  <c:v>1110.4000000000001</c:v>
                </c:pt>
                <c:pt idx="676">
                  <c:v>1121.7</c:v>
                </c:pt>
                <c:pt idx="677">
                  <c:v>1123.8</c:v>
                </c:pt>
                <c:pt idx="678">
                  <c:v>1118.2</c:v>
                </c:pt>
                <c:pt idx="679">
                  <c:v>1119.55</c:v>
                </c:pt>
                <c:pt idx="680">
                  <c:v>1107.3499999999999</c:v>
                </c:pt>
                <c:pt idx="681">
                  <c:v>1105.6500000000001</c:v>
                </c:pt>
                <c:pt idx="682">
                  <c:v>1122.8499999999999</c:v>
                </c:pt>
                <c:pt idx="683">
                  <c:v>1144.45</c:v>
                </c:pt>
                <c:pt idx="684">
                  <c:v>1156.8</c:v>
                </c:pt>
                <c:pt idx="685">
                  <c:v>1158.6500000000001</c:v>
                </c:pt>
                <c:pt idx="686">
                  <c:v>1170.0999999999999</c:v>
                </c:pt>
                <c:pt idx="687">
                  <c:v>1197.95</c:v>
                </c:pt>
                <c:pt idx="688">
                  <c:v>1218</c:v>
                </c:pt>
                <c:pt idx="689">
                  <c:v>1219.9000000000001</c:v>
                </c:pt>
                <c:pt idx="690">
                  <c:v>1199.5999999999999</c:v>
                </c:pt>
                <c:pt idx="691">
                  <c:v>1211.8499999999999</c:v>
                </c:pt>
                <c:pt idx="692">
                  <c:v>1190.5999999999999</c:v>
                </c:pt>
                <c:pt idx="693">
                  <c:v>1201.5999999999999</c:v>
                </c:pt>
                <c:pt idx="694">
                  <c:v>1233</c:v>
                </c:pt>
                <c:pt idx="695">
                  <c:v>1233.4000000000001</c:v>
                </c:pt>
                <c:pt idx="696">
                  <c:v>1235.05</c:v>
                </c:pt>
                <c:pt idx="697">
                  <c:v>1248.25</c:v>
                </c:pt>
                <c:pt idx="698">
                  <c:v>1243.2</c:v>
                </c:pt>
                <c:pt idx="699">
                  <c:v>1238.45</c:v>
                </c:pt>
                <c:pt idx="700">
                  <c:v>1232.9000000000001</c:v>
                </c:pt>
                <c:pt idx="701">
                  <c:v>1229.95</c:v>
                </c:pt>
                <c:pt idx="702">
                  <c:v>1239.9000000000001</c:v>
                </c:pt>
                <c:pt idx="703">
                  <c:v>1250.3</c:v>
                </c:pt>
                <c:pt idx="704">
                  <c:v>1248.6500000000001</c:v>
                </c:pt>
                <c:pt idx="705">
                  <c:v>1241.1500000000001</c:v>
                </c:pt>
                <c:pt idx="706">
                  <c:v>1226.75</c:v>
                </c:pt>
                <c:pt idx="707">
                  <c:v>1223</c:v>
                </c:pt>
                <c:pt idx="708">
                  <c:v>1197.9000000000001</c:v>
                </c:pt>
                <c:pt idx="709">
                  <c:v>1207.2</c:v>
                </c:pt>
                <c:pt idx="710">
                  <c:v>1212.7</c:v>
                </c:pt>
                <c:pt idx="711">
                  <c:v>1209.45</c:v>
                </c:pt>
                <c:pt idx="712">
                  <c:v>1214.9000000000001</c:v>
                </c:pt>
                <c:pt idx="713">
                  <c:v>1210.0999999999999</c:v>
                </c:pt>
                <c:pt idx="714">
                  <c:v>1196.55</c:v>
                </c:pt>
                <c:pt idx="715">
                  <c:v>1172.5999999999999</c:v>
                </c:pt>
                <c:pt idx="716">
                  <c:v>1166.8499999999999</c:v>
                </c:pt>
                <c:pt idx="717">
                  <c:v>1172.45</c:v>
                </c:pt>
                <c:pt idx="718">
                  <c:v>1164.5999999999999</c:v>
                </c:pt>
                <c:pt idx="719">
                  <c:v>1171.5999999999999</c:v>
                </c:pt>
                <c:pt idx="720">
                  <c:v>1172.8</c:v>
                </c:pt>
                <c:pt idx="721">
                  <c:v>1168.3499999999999</c:v>
                </c:pt>
                <c:pt idx="722">
                  <c:v>1161.6500000000001</c:v>
                </c:pt>
                <c:pt idx="723">
                  <c:v>1187.25</c:v>
                </c:pt>
                <c:pt idx="724">
                  <c:v>1175.9000000000001</c:v>
                </c:pt>
                <c:pt idx="725">
                  <c:v>1179.45</c:v>
                </c:pt>
                <c:pt idx="726">
                  <c:v>1174.8499999999999</c:v>
                </c:pt>
                <c:pt idx="727">
                  <c:v>1191.0999999999999</c:v>
                </c:pt>
                <c:pt idx="728">
                  <c:v>1203.5</c:v>
                </c:pt>
                <c:pt idx="729">
                  <c:v>1213.3</c:v>
                </c:pt>
                <c:pt idx="730">
                  <c:v>1226.3499999999999</c:v>
                </c:pt>
                <c:pt idx="731">
                  <c:v>1223.8499999999999</c:v>
                </c:pt>
                <c:pt idx="732">
                  <c:v>1221.9000000000001</c:v>
                </c:pt>
                <c:pt idx="733">
                  <c:v>1229.2</c:v>
                </c:pt>
                <c:pt idx="734">
                  <c:v>1229.95</c:v>
                </c:pt>
                <c:pt idx="735">
                  <c:v>1247.7</c:v>
                </c:pt>
                <c:pt idx="736">
                  <c:v>1236.3499999999999</c:v>
                </c:pt>
                <c:pt idx="737">
                  <c:v>1235.95</c:v>
                </c:pt>
                <c:pt idx="738">
                  <c:v>1208.1500000000001</c:v>
                </c:pt>
                <c:pt idx="739">
                  <c:v>1235</c:v>
                </c:pt>
                <c:pt idx="740">
                  <c:v>1237.3</c:v>
                </c:pt>
                <c:pt idx="741">
                  <c:v>1236.3499999999999</c:v>
                </c:pt>
                <c:pt idx="742">
                  <c:v>1252.1500000000001</c:v>
                </c:pt>
                <c:pt idx="743">
                  <c:v>1250.3499999999999</c:v>
                </c:pt>
                <c:pt idx="744">
                  <c:v>1262.8499999999999</c:v>
                </c:pt>
                <c:pt idx="745">
                  <c:v>1268.0999999999999</c:v>
                </c:pt>
                <c:pt idx="746">
                  <c:v>1288.3499999999999</c:v>
                </c:pt>
                <c:pt idx="747">
                  <c:v>1292</c:v>
                </c:pt>
                <c:pt idx="748">
                  <c:v>1338.45</c:v>
                </c:pt>
                <c:pt idx="749">
                  <c:v>1321.9</c:v>
                </c:pt>
                <c:pt idx="750">
                  <c:v>1318.6</c:v>
                </c:pt>
                <c:pt idx="751">
                  <c:v>1323.85</c:v>
                </c:pt>
                <c:pt idx="752">
                  <c:v>1329.05</c:v>
                </c:pt>
                <c:pt idx="753">
                  <c:v>1306.5999999999999</c:v>
                </c:pt>
                <c:pt idx="754">
                  <c:v>1273</c:v>
                </c:pt>
                <c:pt idx="755">
                  <c:v>1274.4000000000001</c:v>
                </c:pt>
                <c:pt idx="756">
                  <c:v>1256.3499999999999</c:v>
                </c:pt>
                <c:pt idx="757">
                  <c:v>1239.75</c:v>
                </c:pt>
                <c:pt idx="758">
                  <c:v>1233.9000000000001</c:v>
                </c:pt>
                <c:pt idx="759">
                  <c:v>1236.5999999999999</c:v>
                </c:pt>
                <c:pt idx="760">
                  <c:v>1244.1500000000001</c:v>
                </c:pt>
                <c:pt idx="761">
                  <c:v>1243.5</c:v>
                </c:pt>
                <c:pt idx="762">
                  <c:v>1223</c:v>
                </c:pt>
                <c:pt idx="763">
                  <c:v>1231.75</c:v>
                </c:pt>
                <c:pt idx="764">
                  <c:v>1255.5</c:v>
                </c:pt>
                <c:pt idx="765">
                  <c:v>1243.1500000000001</c:v>
                </c:pt>
                <c:pt idx="766">
                  <c:v>1231.25</c:v>
                </c:pt>
                <c:pt idx="767">
                  <c:v>1264.5</c:v>
                </c:pt>
                <c:pt idx="768">
                  <c:v>1259.05</c:v>
                </c:pt>
                <c:pt idx="769">
                  <c:v>1267.5</c:v>
                </c:pt>
                <c:pt idx="770">
                  <c:v>1251.5999999999999</c:v>
                </c:pt>
                <c:pt idx="771">
                  <c:v>1252.75</c:v>
                </c:pt>
                <c:pt idx="772">
                  <c:v>1255.45</c:v>
                </c:pt>
                <c:pt idx="773">
                  <c:v>1292.8499999999999</c:v>
                </c:pt>
                <c:pt idx="774">
                  <c:v>1331.85</c:v>
                </c:pt>
                <c:pt idx="775">
                  <c:v>1312.15</c:v>
                </c:pt>
                <c:pt idx="776">
                  <c:v>1292.25</c:v>
                </c:pt>
                <c:pt idx="777">
                  <c:v>1277.2</c:v>
                </c:pt>
                <c:pt idx="778">
                  <c:v>1296.7</c:v>
                </c:pt>
                <c:pt idx="779">
                  <c:v>1302.3499999999999</c:v>
                </c:pt>
                <c:pt idx="780">
                  <c:v>1278.7</c:v>
                </c:pt>
                <c:pt idx="781">
                  <c:v>1258.8499999999999</c:v>
                </c:pt>
                <c:pt idx="782">
                  <c:v>1269.3</c:v>
                </c:pt>
                <c:pt idx="783">
                  <c:v>1270.5999999999999</c:v>
                </c:pt>
                <c:pt idx="784">
                  <c:v>1253.7</c:v>
                </c:pt>
                <c:pt idx="785">
                  <c:v>1256.95</c:v>
                </c:pt>
                <c:pt idx="786">
                  <c:v>1253.45</c:v>
                </c:pt>
                <c:pt idx="787">
                  <c:v>1249.0999999999999</c:v>
                </c:pt>
                <c:pt idx="788">
                  <c:v>1250.55</c:v>
                </c:pt>
                <c:pt idx="789">
                  <c:v>1278.05</c:v>
                </c:pt>
                <c:pt idx="790">
                  <c:v>1300.95</c:v>
                </c:pt>
                <c:pt idx="791">
                  <c:v>1304.95</c:v>
                </c:pt>
                <c:pt idx="792">
                  <c:v>1300.7</c:v>
                </c:pt>
                <c:pt idx="793">
                  <c:v>1286.3499999999999</c:v>
                </c:pt>
                <c:pt idx="794">
                  <c:v>1300.0999999999999</c:v>
                </c:pt>
                <c:pt idx="795">
                  <c:v>1304.6500000000001</c:v>
                </c:pt>
                <c:pt idx="796">
                  <c:v>1308.4000000000001</c:v>
                </c:pt>
                <c:pt idx="797">
                  <c:v>1316.05</c:v>
                </c:pt>
                <c:pt idx="798">
                  <c:v>1336.5</c:v>
                </c:pt>
                <c:pt idx="799">
                  <c:v>1328.75</c:v>
                </c:pt>
                <c:pt idx="800">
                  <c:v>1322.3</c:v>
                </c:pt>
                <c:pt idx="801">
                  <c:v>1330.45</c:v>
                </c:pt>
                <c:pt idx="802">
                  <c:v>1327.5</c:v>
                </c:pt>
                <c:pt idx="803">
                  <c:v>1329.25</c:v>
                </c:pt>
                <c:pt idx="804">
                  <c:v>1344.9</c:v>
                </c:pt>
                <c:pt idx="805">
                  <c:v>1346.1</c:v>
                </c:pt>
                <c:pt idx="806">
                  <c:v>1333.75</c:v>
                </c:pt>
                <c:pt idx="807">
                  <c:v>1314.15</c:v>
                </c:pt>
                <c:pt idx="808">
                  <c:v>1286.9000000000001</c:v>
                </c:pt>
                <c:pt idx="809">
                  <c:v>1288.4000000000001</c:v>
                </c:pt>
                <c:pt idx="810">
                  <c:v>1296.8</c:v>
                </c:pt>
                <c:pt idx="811">
                  <c:v>1297.25</c:v>
                </c:pt>
                <c:pt idx="812">
                  <c:v>1297.3499999999999</c:v>
                </c:pt>
                <c:pt idx="813">
                  <c:v>1307.55</c:v>
                </c:pt>
                <c:pt idx="814">
                  <c:v>1294.6500000000001</c:v>
                </c:pt>
                <c:pt idx="815">
                  <c:v>1281.6500000000001</c:v>
                </c:pt>
                <c:pt idx="816">
                  <c:v>1283.6500000000001</c:v>
                </c:pt>
                <c:pt idx="817">
                  <c:v>1290.5999999999999</c:v>
                </c:pt>
                <c:pt idx="818">
                  <c:v>1265.05</c:v>
                </c:pt>
                <c:pt idx="819">
                  <c:v>1264.0999999999999</c:v>
                </c:pt>
                <c:pt idx="820">
                  <c:v>1279.25</c:v>
                </c:pt>
                <c:pt idx="821">
                  <c:v>1263.75</c:v>
                </c:pt>
                <c:pt idx="822">
                  <c:v>1262.4000000000001</c:v>
                </c:pt>
                <c:pt idx="823">
                  <c:v>1249.8499999999999</c:v>
                </c:pt>
                <c:pt idx="824">
                  <c:v>1229.75</c:v>
                </c:pt>
                <c:pt idx="825">
                  <c:v>1240.3</c:v>
                </c:pt>
                <c:pt idx="826">
                  <c:v>1238.25</c:v>
                </c:pt>
                <c:pt idx="827">
                  <c:v>1249.0999999999999</c:v>
                </c:pt>
                <c:pt idx="828">
                  <c:v>1225.45</c:v>
                </c:pt>
                <c:pt idx="829">
                  <c:v>1232.95</c:v>
                </c:pt>
                <c:pt idx="830">
                  <c:v>1196.1500000000001</c:v>
                </c:pt>
                <c:pt idx="831">
                  <c:v>1200.45</c:v>
                </c:pt>
                <c:pt idx="832">
                  <c:v>1201.75</c:v>
                </c:pt>
                <c:pt idx="833">
                  <c:v>1209.2</c:v>
                </c:pt>
                <c:pt idx="834">
                  <c:v>1227.95</c:v>
                </c:pt>
                <c:pt idx="835">
                  <c:v>1246.9000000000001</c:v>
                </c:pt>
                <c:pt idx="836">
                  <c:v>1251.6500000000001</c:v>
                </c:pt>
                <c:pt idx="837">
                  <c:v>1255.5999999999999</c:v>
                </c:pt>
                <c:pt idx="838">
                  <c:v>1252.8</c:v>
                </c:pt>
                <c:pt idx="839">
                  <c:v>1253</c:v>
                </c:pt>
                <c:pt idx="840">
                  <c:v>1268.2</c:v>
                </c:pt>
                <c:pt idx="841">
                  <c:v>1267.7</c:v>
                </c:pt>
                <c:pt idx="842">
                  <c:v>1272.4000000000001</c:v>
                </c:pt>
                <c:pt idx="843">
                  <c:v>1256.9000000000001</c:v>
                </c:pt>
                <c:pt idx="844">
                  <c:v>1262.5999999999999</c:v>
                </c:pt>
                <c:pt idx="845">
                  <c:v>1252.75</c:v>
                </c:pt>
                <c:pt idx="846">
                  <c:v>1251.8</c:v>
                </c:pt>
                <c:pt idx="847">
                  <c:v>1248.9000000000001</c:v>
                </c:pt>
                <c:pt idx="848">
                  <c:v>1260.0999999999999</c:v>
                </c:pt>
                <c:pt idx="849">
                  <c:v>1251.1500000000001</c:v>
                </c:pt>
                <c:pt idx="850">
                  <c:v>1243.05</c:v>
                </c:pt>
                <c:pt idx="851">
                  <c:v>1261.6500000000001</c:v>
                </c:pt>
                <c:pt idx="852">
                  <c:v>1249.95</c:v>
                </c:pt>
                <c:pt idx="853">
                  <c:v>1232.95</c:v>
                </c:pt>
                <c:pt idx="854">
                  <c:v>1218.3499999999999</c:v>
                </c:pt>
                <c:pt idx="855">
                  <c:v>1224.1500000000001</c:v>
                </c:pt>
                <c:pt idx="856">
                  <c:v>1222.45</c:v>
                </c:pt>
                <c:pt idx="857">
                  <c:v>1204.0999999999999</c:v>
                </c:pt>
                <c:pt idx="858">
                  <c:v>1206.2</c:v>
                </c:pt>
                <c:pt idx="859">
                  <c:v>1210.4000000000001</c:v>
                </c:pt>
                <c:pt idx="860">
                  <c:v>1215.7</c:v>
                </c:pt>
                <c:pt idx="861">
                  <c:v>1218.05</c:v>
                </c:pt>
                <c:pt idx="862">
                  <c:v>1214.55</c:v>
                </c:pt>
                <c:pt idx="863">
                  <c:v>1214.8499999999999</c:v>
                </c:pt>
                <c:pt idx="864">
                  <c:v>1245.4000000000001</c:v>
                </c:pt>
                <c:pt idx="865">
                  <c:v>1243.95</c:v>
                </c:pt>
                <c:pt idx="866">
                  <c:v>1250.05</c:v>
                </c:pt>
                <c:pt idx="867">
                  <c:v>1269</c:v>
                </c:pt>
                <c:pt idx="868">
                  <c:v>1309.8499999999999</c:v>
                </c:pt>
                <c:pt idx="869">
                  <c:v>1313.1</c:v>
                </c:pt>
                <c:pt idx="870">
                  <c:v>1321.7</c:v>
                </c:pt>
                <c:pt idx="871">
                  <c:v>1343.1</c:v>
                </c:pt>
                <c:pt idx="872">
                  <c:v>1358.15</c:v>
                </c:pt>
                <c:pt idx="873">
                  <c:v>1343.7</c:v>
                </c:pt>
                <c:pt idx="874">
                  <c:v>1335.9</c:v>
                </c:pt>
                <c:pt idx="875">
                  <c:v>1336.65</c:v>
                </c:pt>
                <c:pt idx="876">
                  <c:v>1348.35</c:v>
                </c:pt>
                <c:pt idx="877">
                  <c:v>1318.45</c:v>
                </c:pt>
                <c:pt idx="878">
                  <c:v>1331.25</c:v>
                </c:pt>
                <c:pt idx="879">
                  <c:v>1329.55</c:v>
                </c:pt>
                <c:pt idx="880">
                  <c:v>1335.3</c:v>
                </c:pt>
                <c:pt idx="881">
                  <c:v>1287.55</c:v>
                </c:pt>
                <c:pt idx="882">
                  <c:v>1299.9000000000001</c:v>
                </c:pt>
                <c:pt idx="883">
                  <c:v>1300.8</c:v>
                </c:pt>
                <c:pt idx="884">
                  <c:v>1311.65</c:v>
                </c:pt>
                <c:pt idx="885">
                  <c:v>1350.2</c:v>
                </c:pt>
                <c:pt idx="886">
                  <c:v>1356.4</c:v>
                </c:pt>
                <c:pt idx="887">
                  <c:v>1406.7</c:v>
                </c:pt>
                <c:pt idx="888">
                  <c:v>1409.8</c:v>
                </c:pt>
                <c:pt idx="889">
                  <c:v>1416.5</c:v>
                </c:pt>
                <c:pt idx="890">
                  <c:v>1424.4</c:v>
                </c:pt>
                <c:pt idx="891">
                  <c:v>1402.7</c:v>
                </c:pt>
                <c:pt idx="892">
                  <c:v>1404.8</c:v>
                </c:pt>
                <c:pt idx="893">
                  <c:v>1428.8</c:v>
                </c:pt>
                <c:pt idx="894">
                  <c:v>1429.8</c:v>
                </c:pt>
                <c:pt idx="895">
                  <c:v>1427</c:v>
                </c:pt>
                <c:pt idx="896">
                  <c:v>1432.4</c:v>
                </c:pt>
                <c:pt idx="897">
                  <c:v>1429.4</c:v>
                </c:pt>
                <c:pt idx="898">
                  <c:v>1431.6</c:v>
                </c:pt>
                <c:pt idx="899">
                  <c:v>1435.4</c:v>
                </c:pt>
                <c:pt idx="900">
                  <c:v>1435.5</c:v>
                </c:pt>
                <c:pt idx="901">
                  <c:v>1388.9</c:v>
                </c:pt>
                <c:pt idx="902">
                  <c:v>1448.5</c:v>
                </c:pt>
                <c:pt idx="903">
                  <c:v>1430.6</c:v>
                </c:pt>
                <c:pt idx="904">
                  <c:v>1426.2</c:v>
                </c:pt>
                <c:pt idx="905">
                  <c:v>1450.8</c:v>
                </c:pt>
                <c:pt idx="906">
                  <c:v>1454</c:v>
                </c:pt>
                <c:pt idx="907">
                  <c:v>1449</c:v>
                </c:pt>
                <c:pt idx="908">
                  <c:v>1438.2</c:v>
                </c:pt>
                <c:pt idx="909">
                  <c:v>1444.7</c:v>
                </c:pt>
                <c:pt idx="910">
                  <c:v>1442.1</c:v>
                </c:pt>
                <c:pt idx="911">
                  <c:v>1449.8</c:v>
                </c:pt>
                <c:pt idx="912">
                  <c:v>1460.6</c:v>
                </c:pt>
                <c:pt idx="913">
                  <c:v>1446.4</c:v>
                </c:pt>
                <c:pt idx="914">
                  <c:v>1453.8</c:v>
                </c:pt>
                <c:pt idx="915">
                  <c:v>1456.5</c:v>
                </c:pt>
                <c:pt idx="916">
                  <c:v>1445.8</c:v>
                </c:pt>
                <c:pt idx="917">
                  <c:v>1450.5</c:v>
                </c:pt>
                <c:pt idx="918">
                  <c:v>1437.9</c:v>
                </c:pt>
                <c:pt idx="919">
                  <c:v>1431</c:v>
                </c:pt>
                <c:pt idx="920">
                  <c:v>1454.8</c:v>
                </c:pt>
                <c:pt idx="921">
                  <c:v>1459.7</c:v>
                </c:pt>
                <c:pt idx="922">
                  <c:v>1434.8</c:v>
                </c:pt>
                <c:pt idx="923">
                  <c:v>1422.9</c:v>
                </c:pt>
                <c:pt idx="924">
                  <c:v>1431</c:v>
                </c:pt>
                <c:pt idx="925">
                  <c:v>1425.2</c:v>
                </c:pt>
                <c:pt idx="926">
                  <c:v>1416.1</c:v>
                </c:pt>
                <c:pt idx="927">
                  <c:v>1426.9</c:v>
                </c:pt>
                <c:pt idx="928">
                  <c:v>1423.2</c:v>
                </c:pt>
                <c:pt idx="929">
                  <c:v>1412.6</c:v>
                </c:pt>
                <c:pt idx="930">
                  <c:v>1411.3</c:v>
                </c:pt>
                <c:pt idx="931">
                  <c:v>1427.1</c:v>
                </c:pt>
                <c:pt idx="932">
                  <c:v>1420.1</c:v>
                </c:pt>
                <c:pt idx="933">
                  <c:v>1424.1</c:v>
                </c:pt>
                <c:pt idx="934">
                  <c:v>1425.8</c:v>
                </c:pt>
                <c:pt idx="935">
                  <c:v>1439.1</c:v>
                </c:pt>
                <c:pt idx="936">
                  <c:v>1462.2</c:v>
                </c:pt>
                <c:pt idx="937">
                  <c:v>1445.8</c:v>
                </c:pt>
                <c:pt idx="938">
                  <c:v>1432</c:v>
                </c:pt>
                <c:pt idx="939">
                  <c:v>1427.8</c:v>
                </c:pt>
                <c:pt idx="940">
                  <c:v>1425.9</c:v>
                </c:pt>
                <c:pt idx="941">
                  <c:v>1442.8</c:v>
                </c:pt>
                <c:pt idx="942">
                  <c:v>1435.7</c:v>
                </c:pt>
                <c:pt idx="943">
                  <c:v>1442</c:v>
                </c:pt>
                <c:pt idx="944">
                  <c:v>1431.9</c:v>
                </c:pt>
                <c:pt idx="945">
                  <c:v>1424.1</c:v>
                </c:pt>
                <c:pt idx="946">
                  <c:v>1421.9</c:v>
                </c:pt>
                <c:pt idx="947">
                  <c:v>1423</c:v>
                </c:pt>
                <c:pt idx="948">
                  <c:v>1430.8</c:v>
                </c:pt>
                <c:pt idx="949">
                  <c:v>1426.4</c:v>
                </c:pt>
                <c:pt idx="950">
                  <c:v>1418.7</c:v>
                </c:pt>
                <c:pt idx="951">
                  <c:v>1425.8</c:v>
                </c:pt>
                <c:pt idx="952">
                  <c:v>1465.8</c:v>
                </c:pt>
                <c:pt idx="953">
                  <c:v>1473.6</c:v>
                </c:pt>
                <c:pt idx="954">
                  <c:v>1488.6</c:v>
                </c:pt>
                <c:pt idx="955">
                  <c:v>1483.4</c:v>
                </c:pt>
                <c:pt idx="956">
                  <c:v>1477.1</c:v>
                </c:pt>
                <c:pt idx="957">
                  <c:v>1488.4</c:v>
                </c:pt>
                <c:pt idx="958">
                  <c:v>1486.2</c:v>
                </c:pt>
                <c:pt idx="959">
                  <c:v>1482.4</c:v>
                </c:pt>
                <c:pt idx="960">
                  <c:v>1481.4</c:v>
                </c:pt>
                <c:pt idx="961">
                  <c:v>1471.6</c:v>
                </c:pt>
                <c:pt idx="962">
                  <c:v>1463.2</c:v>
                </c:pt>
                <c:pt idx="963">
                  <c:v>1444.4</c:v>
                </c:pt>
                <c:pt idx="964">
                  <c:v>1443.6</c:v>
                </c:pt>
                <c:pt idx="965">
                  <c:v>1440.3</c:v>
                </c:pt>
                <c:pt idx="966">
                  <c:v>1435.9</c:v>
                </c:pt>
                <c:pt idx="967">
                  <c:v>1436.6</c:v>
                </c:pt>
                <c:pt idx="968">
                  <c:v>1422</c:v>
                </c:pt>
                <c:pt idx="969">
                  <c:v>1420.8</c:v>
                </c:pt>
                <c:pt idx="970">
                  <c:v>1427.3</c:v>
                </c:pt>
                <c:pt idx="971">
                  <c:v>1434.6</c:v>
                </c:pt>
                <c:pt idx="972">
                  <c:v>1436.3</c:v>
                </c:pt>
                <c:pt idx="973">
                  <c:v>1430.6</c:v>
                </c:pt>
                <c:pt idx="974">
                  <c:v>1446</c:v>
                </c:pt>
                <c:pt idx="975">
                  <c:v>1436.4</c:v>
                </c:pt>
                <c:pt idx="976">
                  <c:v>1433.2</c:v>
                </c:pt>
                <c:pt idx="977">
                  <c:v>1416.6</c:v>
                </c:pt>
                <c:pt idx="978">
                  <c:v>1399.1</c:v>
                </c:pt>
                <c:pt idx="979">
                  <c:v>1397.8</c:v>
                </c:pt>
                <c:pt idx="980">
                  <c:v>1411</c:v>
                </c:pt>
                <c:pt idx="981">
                  <c:v>1394.2</c:v>
                </c:pt>
                <c:pt idx="982">
                  <c:v>1397</c:v>
                </c:pt>
                <c:pt idx="983">
                  <c:v>1405.5</c:v>
                </c:pt>
                <c:pt idx="984">
                  <c:v>1402.8</c:v>
                </c:pt>
                <c:pt idx="985">
                  <c:v>1402.7</c:v>
                </c:pt>
                <c:pt idx="986">
                  <c:v>1403.7</c:v>
                </c:pt>
                <c:pt idx="987">
                  <c:v>1403.9</c:v>
                </c:pt>
                <c:pt idx="988">
                  <c:v>1401.6</c:v>
                </c:pt>
                <c:pt idx="989">
                  <c:v>1417.7</c:v>
                </c:pt>
                <c:pt idx="990">
                  <c:v>1419.4</c:v>
                </c:pt>
                <c:pt idx="991">
                  <c:v>1421.6</c:v>
                </c:pt>
                <c:pt idx="992">
                  <c:v>1419.2</c:v>
                </c:pt>
                <c:pt idx="993">
                  <c:v>1421.7</c:v>
                </c:pt>
                <c:pt idx="994">
                  <c:v>1402.2</c:v>
                </c:pt>
                <c:pt idx="995">
                  <c:v>1401.5</c:v>
                </c:pt>
                <c:pt idx="996">
                  <c:v>1394.3</c:v>
                </c:pt>
                <c:pt idx="997">
                  <c:v>1382.7</c:v>
                </c:pt>
                <c:pt idx="998">
                  <c:v>1375.8</c:v>
                </c:pt>
                <c:pt idx="999">
                  <c:v>1359.6</c:v>
                </c:pt>
                <c:pt idx="1000">
                  <c:v>1348.1</c:v>
                </c:pt>
                <c:pt idx="1001">
                  <c:v>1348</c:v>
                </c:pt>
                <c:pt idx="1002">
                  <c:v>1372</c:v>
                </c:pt>
                <c:pt idx="1003">
                  <c:v>1365.2</c:v>
                </c:pt>
                <c:pt idx="1004">
                  <c:v>1363.4</c:v>
                </c:pt>
                <c:pt idx="1005">
                  <c:v>1375.9</c:v>
                </c:pt>
                <c:pt idx="1006">
                  <c:v>1370.3</c:v>
                </c:pt>
                <c:pt idx="1007">
                  <c:v>1376.2</c:v>
                </c:pt>
                <c:pt idx="1008">
                  <c:v>1380.3</c:v>
                </c:pt>
                <c:pt idx="1009">
                  <c:v>1379.4</c:v>
                </c:pt>
                <c:pt idx="1010">
                  <c:v>1384.1</c:v>
                </c:pt>
                <c:pt idx="1011">
                  <c:v>1398.4</c:v>
                </c:pt>
                <c:pt idx="1012">
                  <c:v>1417.3</c:v>
                </c:pt>
                <c:pt idx="1013">
                  <c:v>1436.6</c:v>
                </c:pt>
                <c:pt idx="1014">
                  <c:v>1390.3</c:v>
                </c:pt>
                <c:pt idx="1015">
                  <c:v>1382</c:v>
                </c:pt>
                <c:pt idx="1016">
                  <c:v>1363.7</c:v>
                </c:pt>
                <c:pt idx="1017">
                  <c:v>1377.7</c:v>
                </c:pt>
                <c:pt idx="1018">
                  <c:v>1377.6</c:v>
                </c:pt>
                <c:pt idx="1019">
                  <c:v>1363.1</c:v>
                </c:pt>
                <c:pt idx="1020">
                  <c:v>1370.4</c:v>
                </c:pt>
                <c:pt idx="1021">
                  <c:v>1362.4</c:v>
                </c:pt>
                <c:pt idx="1022">
                  <c:v>1345.3</c:v>
                </c:pt>
                <c:pt idx="1023">
                  <c:v>1346.4</c:v>
                </c:pt>
                <c:pt idx="1024">
                  <c:v>1336.9</c:v>
                </c:pt>
                <c:pt idx="1025">
                  <c:v>1320.4</c:v>
                </c:pt>
                <c:pt idx="1026">
                  <c:v>1343</c:v>
                </c:pt>
                <c:pt idx="1027">
                  <c:v>1348</c:v>
                </c:pt>
                <c:pt idx="1028">
                  <c:v>1358.3</c:v>
                </c:pt>
                <c:pt idx="1029">
                  <c:v>1358.9</c:v>
                </c:pt>
                <c:pt idx="1030">
                  <c:v>1385.9</c:v>
                </c:pt>
                <c:pt idx="1031">
                  <c:v>1373</c:v>
                </c:pt>
                <c:pt idx="1032">
                  <c:v>1379</c:v>
                </c:pt>
                <c:pt idx="1033">
                  <c:v>1373.4</c:v>
                </c:pt>
                <c:pt idx="1034">
                  <c:v>1383.1</c:v>
                </c:pt>
                <c:pt idx="1035">
                  <c:v>1383</c:v>
                </c:pt>
                <c:pt idx="1036">
                  <c:v>1369.5</c:v>
                </c:pt>
                <c:pt idx="1037">
                  <c:v>1368.4</c:v>
                </c:pt>
                <c:pt idx="1038">
                  <c:v>1357.8</c:v>
                </c:pt>
                <c:pt idx="1039">
                  <c:v>1375</c:v>
                </c:pt>
                <c:pt idx="1040">
                  <c:v>1392.2</c:v>
                </c:pt>
                <c:pt idx="1041">
                  <c:v>1388.8</c:v>
                </c:pt>
                <c:pt idx="1042">
                  <c:v>1390.1</c:v>
                </c:pt>
                <c:pt idx="1043">
                  <c:v>1373</c:v>
                </c:pt>
                <c:pt idx="1044">
                  <c:v>1391.5</c:v>
                </c:pt>
                <c:pt idx="1045">
                  <c:v>1386.7</c:v>
                </c:pt>
                <c:pt idx="1046">
                  <c:v>1392.5</c:v>
                </c:pt>
                <c:pt idx="1047">
                  <c:v>1389.6</c:v>
                </c:pt>
                <c:pt idx="1048">
                  <c:v>1375.2</c:v>
                </c:pt>
                <c:pt idx="1049">
                  <c:v>1363.6</c:v>
                </c:pt>
                <c:pt idx="1050">
                  <c:v>1360</c:v>
                </c:pt>
                <c:pt idx="1051">
                  <c:v>1366</c:v>
                </c:pt>
                <c:pt idx="1052">
                  <c:v>1365.2</c:v>
                </c:pt>
                <c:pt idx="1053">
                  <c:v>1366</c:v>
                </c:pt>
                <c:pt idx="1054">
                  <c:v>1352.4</c:v>
                </c:pt>
                <c:pt idx="1055">
                  <c:v>1356.8</c:v>
                </c:pt>
                <c:pt idx="1056">
                  <c:v>1354.1</c:v>
                </c:pt>
                <c:pt idx="1057">
                  <c:v>1368.5</c:v>
                </c:pt>
                <c:pt idx="1058">
                  <c:v>1363</c:v>
                </c:pt>
                <c:pt idx="1059">
                  <c:v>1359.8</c:v>
                </c:pt>
                <c:pt idx="1060">
                  <c:v>1350.4</c:v>
                </c:pt>
                <c:pt idx="1061">
                  <c:v>1343.3</c:v>
                </c:pt>
                <c:pt idx="1062">
                  <c:v>1342.5</c:v>
                </c:pt>
                <c:pt idx="1063">
                  <c:v>1342.9</c:v>
                </c:pt>
                <c:pt idx="1064">
                  <c:v>1338</c:v>
                </c:pt>
                <c:pt idx="1065">
                  <c:v>1355.4</c:v>
                </c:pt>
                <c:pt idx="1066">
                  <c:v>1371.5</c:v>
                </c:pt>
                <c:pt idx="1067">
                  <c:v>1411.2</c:v>
                </c:pt>
                <c:pt idx="1068">
                  <c:v>1427.7</c:v>
                </c:pt>
                <c:pt idx="1069">
                  <c:v>1435</c:v>
                </c:pt>
                <c:pt idx="1070">
                  <c:v>1404.3</c:v>
                </c:pt>
                <c:pt idx="1071">
                  <c:v>1413.1</c:v>
                </c:pt>
                <c:pt idx="1072">
                  <c:v>1437</c:v>
                </c:pt>
                <c:pt idx="1073">
                  <c:v>1418.4</c:v>
                </c:pt>
                <c:pt idx="1074">
                  <c:v>1410.8</c:v>
                </c:pt>
                <c:pt idx="1075">
                  <c:v>1380.6</c:v>
                </c:pt>
                <c:pt idx="1076">
                  <c:v>1375.8</c:v>
                </c:pt>
                <c:pt idx="1077">
                  <c:v>1349</c:v>
                </c:pt>
                <c:pt idx="1078">
                  <c:v>1345.5</c:v>
                </c:pt>
                <c:pt idx="1079">
                  <c:v>1343.4</c:v>
                </c:pt>
                <c:pt idx="1080">
                  <c:v>1361.4</c:v>
                </c:pt>
                <c:pt idx="1081">
                  <c:v>1367.7</c:v>
                </c:pt>
                <c:pt idx="1082">
                  <c:v>1383.6</c:v>
                </c:pt>
                <c:pt idx="1083">
                  <c:v>1355</c:v>
                </c:pt>
                <c:pt idx="1084">
                  <c:v>1352.8</c:v>
                </c:pt>
                <c:pt idx="1085">
                  <c:v>1389.7</c:v>
                </c:pt>
                <c:pt idx="1086">
                  <c:v>1408.4</c:v>
                </c:pt>
                <c:pt idx="1087">
                  <c:v>1396.5</c:v>
                </c:pt>
                <c:pt idx="1088">
                  <c:v>1406.1</c:v>
                </c:pt>
                <c:pt idx="1089">
                  <c:v>1396.3</c:v>
                </c:pt>
                <c:pt idx="1090">
                  <c:v>1406.5</c:v>
                </c:pt>
                <c:pt idx="1091">
                  <c:v>1406.1</c:v>
                </c:pt>
                <c:pt idx="1092">
                  <c:v>1430</c:v>
                </c:pt>
                <c:pt idx="1093">
                  <c:v>1414.6</c:v>
                </c:pt>
                <c:pt idx="1094">
                  <c:v>1411.6</c:v>
                </c:pt>
                <c:pt idx="1095">
                  <c:v>1407.5</c:v>
                </c:pt>
                <c:pt idx="1096">
                  <c:v>1408.2</c:v>
                </c:pt>
                <c:pt idx="1097">
                  <c:v>1388.8</c:v>
                </c:pt>
                <c:pt idx="1098">
                  <c:v>1394.5</c:v>
                </c:pt>
                <c:pt idx="1099">
                  <c:v>1399.4</c:v>
                </c:pt>
                <c:pt idx="1100">
                  <c:v>1384.8</c:v>
                </c:pt>
                <c:pt idx="1101">
                  <c:v>1400.5</c:v>
                </c:pt>
                <c:pt idx="1102">
                  <c:v>1404.9</c:v>
                </c:pt>
                <c:pt idx="1103">
                  <c:v>1378.9</c:v>
                </c:pt>
                <c:pt idx="1104">
                  <c:v>1374</c:v>
                </c:pt>
                <c:pt idx="1105">
                  <c:v>1368.5</c:v>
                </c:pt>
                <c:pt idx="1106">
                  <c:v>1357.6</c:v>
                </c:pt>
                <c:pt idx="1107">
                  <c:v>1313.4</c:v>
                </c:pt>
                <c:pt idx="1108">
                  <c:v>1278.4000000000001</c:v>
                </c:pt>
                <c:pt idx="1109">
                  <c:v>1311.9</c:v>
                </c:pt>
                <c:pt idx="1110">
                  <c:v>1294.5999999999999</c:v>
                </c:pt>
                <c:pt idx="1111">
                  <c:v>1266.5</c:v>
                </c:pt>
                <c:pt idx="1112">
                  <c:v>1254.8</c:v>
                </c:pt>
                <c:pt idx="1113">
                  <c:v>1272.9000000000001</c:v>
                </c:pt>
                <c:pt idx="1114">
                  <c:v>1288.7</c:v>
                </c:pt>
                <c:pt idx="1115">
                  <c:v>1289.3</c:v>
                </c:pt>
                <c:pt idx="1116">
                  <c:v>1250.0999999999999</c:v>
                </c:pt>
                <c:pt idx="1117">
                  <c:v>1245.4000000000001</c:v>
                </c:pt>
                <c:pt idx="1118">
                  <c:v>1222.7</c:v>
                </c:pt>
                <c:pt idx="1119">
                  <c:v>1251.2</c:v>
                </c:pt>
                <c:pt idx="1120">
                  <c:v>1259.7</c:v>
                </c:pt>
                <c:pt idx="1121">
                  <c:v>1233.8</c:v>
                </c:pt>
                <c:pt idx="1122">
                  <c:v>1205.9000000000001</c:v>
                </c:pt>
                <c:pt idx="1123">
                  <c:v>1212.7</c:v>
                </c:pt>
                <c:pt idx="1124">
                  <c:v>1215.8</c:v>
                </c:pt>
                <c:pt idx="1125">
                  <c:v>1231.4000000000001</c:v>
                </c:pt>
                <c:pt idx="1126">
                  <c:v>1245.5</c:v>
                </c:pt>
                <c:pt idx="1127">
                  <c:v>1309.2</c:v>
                </c:pt>
                <c:pt idx="1128">
                  <c:v>1281.3</c:v>
                </c:pt>
                <c:pt idx="1129">
                  <c:v>1321.9</c:v>
                </c:pt>
                <c:pt idx="1130">
                  <c:v>1351.1</c:v>
                </c:pt>
                <c:pt idx="1131">
                  <c:v>1348.1</c:v>
                </c:pt>
                <c:pt idx="1132">
                  <c:v>1345.5</c:v>
                </c:pt>
                <c:pt idx="1133">
                  <c:v>1346.8</c:v>
                </c:pt>
                <c:pt idx="1134">
                  <c:v>1356.2</c:v>
                </c:pt>
                <c:pt idx="1135">
                  <c:v>1388.4</c:v>
                </c:pt>
                <c:pt idx="1136">
                  <c:v>1367.6</c:v>
                </c:pt>
                <c:pt idx="1137">
                  <c:v>1348</c:v>
                </c:pt>
                <c:pt idx="1138">
                  <c:v>1326.2</c:v>
                </c:pt>
                <c:pt idx="1139">
                  <c:v>1314.1</c:v>
                </c:pt>
                <c:pt idx="1140">
                  <c:v>1292</c:v>
                </c:pt>
                <c:pt idx="1141">
                  <c:v>1281</c:v>
                </c:pt>
                <c:pt idx="1142">
                  <c:v>1263.4000000000001</c:v>
                </c:pt>
                <c:pt idx="1143">
                  <c:v>1270.8</c:v>
                </c:pt>
                <c:pt idx="1144">
                  <c:v>1251.3</c:v>
                </c:pt>
                <c:pt idx="1145">
                  <c:v>1279.5</c:v>
                </c:pt>
                <c:pt idx="1146">
                  <c:v>1279</c:v>
                </c:pt>
                <c:pt idx="1147">
                  <c:v>1264.8</c:v>
                </c:pt>
                <c:pt idx="1148">
                  <c:v>1266.4000000000001</c:v>
                </c:pt>
                <c:pt idx="1149">
                  <c:v>1240.3</c:v>
                </c:pt>
                <c:pt idx="1150">
                  <c:v>1235.5999999999999</c:v>
                </c:pt>
                <c:pt idx="1151">
                  <c:v>1246</c:v>
                </c:pt>
                <c:pt idx="1152">
                  <c:v>1244.5</c:v>
                </c:pt>
                <c:pt idx="1153">
                  <c:v>1251.0999999999999</c:v>
                </c:pt>
                <c:pt idx="1154">
                  <c:v>1240.8</c:v>
                </c:pt>
                <c:pt idx="1155">
                  <c:v>1237.3</c:v>
                </c:pt>
                <c:pt idx="1156">
                  <c:v>1242.8</c:v>
                </c:pt>
                <c:pt idx="1157">
                  <c:v>1264.3</c:v>
                </c:pt>
                <c:pt idx="1158">
                  <c:v>1291.8</c:v>
                </c:pt>
                <c:pt idx="1159">
                  <c:v>1279.0999999999999</c:v>
                </c:pt>
                <c:pt idx="1160">
                  <c:v>1272.7</c:v>
                </c:pt>
                <c:pt idx="1161">
                  <c:v>1256.4000000000001</c:v>
                </c:pt>
                <c:pt idx="1162">
                  <c:v>1239.7</c:v>
                </c:pt>
                <c:pt idx="1163">
                  <c:v>1226.5999999999999</c:v>
                </c:pt>
                <c:pt idx="1164">
                  <c:v>1242</c:v>
                </c:pt>
                <c:pt idx="1165">
                  <c:v>1251.7</c:v>
                </c:pt>
                <c:pt idx="1166">
                  <c:v>1262.0999999999999</c:v>
                </c:pt>
                <c:pt idx="1167">
                  <c:v>1250.2</c:v>
                </c:pt>
                <c:pt idx="1168">
                  <c:v>1275</c:v>
                </c:pt>
                <c:pt idx="1169">
                  <c:v>1293.3</c:v>
                </c:pt>
                <c:pt idx="1170">
                  <c:v>1317</c:v>
                </c:pt>
                <c:pt idx="1171">
                  <c:v>1340.8</c:v>
                </c:pt>
                <c:pt idx="1172">
                  <c:v>1327.6</c:v>
                </c:pt>
                <c:pt idx="1173">
                  <c:v>1334.3</c:v>
                </c:pt>
                <c:pt idx="1174">
                  <c:v>1336.8</c:v>
                </c:pt>
                <c:pt idx="1175">
                  <c:v>1342.3</c:v>
                </c:pt>
                <c:pt idx="1176">
                  <c:v>1346.5</c:v>
                </c:pt>
                <c:pt idx="1177">
                  <c:v>1352.4</c:v>
                </c:pt>
                <c:pt idx="1178">
                  <c:v>1338.3</c:v>
                </c:pt>
                <c:pt idx="1179">
                  <c:v>1373.6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BE-4D2B-BA5A-E39AF7E2E38A}"/>
            </c:ext>
          </c:extLst>
        </c:ser>
        <c:ser>
          <c:idx val="1"/>
          <c:order val="1"/>
          <c:tx>
            <c:v>series2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ICICI!$D$51:$D$1230</c:f>
              <c:numCache>
                <c:formatCode>General</c:formatCode>
                <c:ptCount val="1180"/>
                <c:pt idx="0">
                  <c:v>680.01530612244915</c:v>
                </c:pt>
                <c:pt idx="1">
                  <c:v>681.37448979591852</c:v>
                </c:pt>
                <c:pt idx="2">
                  <c:v>683.0244897959185</c:v>
                </c:pt>
                <c:pt idx="3">
                  <c:v>684.84795918367354</c:v>
                </c:pt>
                <c:pt idx="4">
                  <c:v>686.41020408163274</c:v>
                </c:pt>
                <c:pt idx="5">
                  <c:v>687.78163265306125</c:v>
                </c:pt>
                <c:pt idx="6">
                  <c:v>689.13877551020414</c:v>
                </c:pt>
                <c:pt idx="7">
                  <c:v>690.70816326530621</c:v>
                </c:pt>
                <c:pt idx="8">
                  <c:v>692.05816326530623</c:v>
                </c:pt>
                <c:pt idx="9">
                  <c:v>693.44795918367356</c:v>
                </c:pt>
                <c:pt idx="10">
                  <c:v>694.94387755102059</c:v>
                </c:pt>
                <c:pt idx="11">
                  <c:v>696.10918367346949</c:v>
                </c:pt>
                <c:pt idx="12">
                  <c:v>697.17142857142881</c:v>
                </c:pt>
                <c:pt idx="13">
                  <c:v>698.36734693877565</c:v>
                </c:pt>
                <c:pt idx="14">
                  <c:v>699.64387755102052</c:v>
                </c:pt>
                <c:pt idx="15">
                  <c:v>700.80408163265304</c:v>
                </c:pt>
                <c:pt idx="16">
                  <c:v>701.89795918367361</c:v>
                </c:pt>
                <c:pt idx="17">
                  <c:v>703.10102040816332</c:v>
                </c:pt>
                <c:pt idx="18">
                  <c:v>703.84387755102057</c:v>
                </c:pt>
                <c:pt idx="19">
                  <c:v>704.32448979591845</c:v>
                </c:pt>
                <c:pt idx="20">
                  <c:v>704.73979591836735</c:v>
                </c:pt>
                <c:pt idx="21">
                  <c:v>704.98571428571438</c:v>
                </c:pt>
                <c:pt idx="22">
                  <c:v>705.3357142857144</c:v>
                </c:pt>
                <c:pt idx="23">
                  <c:v>705.66020408163263</c:v>
                </c:pt>
                <c:pt idx="24">
                  <c:v>706.28877551020412</c:v>
                </c:pt>
                <c:pt idx="25">
                  <c:v>706.84387755102034</c:v>
                </c:pt>
                <c:pt idx="26">
                  <c:v>707.24285714285702</c:v>
                </c:pt>
                <c:pt idx="27">
                  <c:v>707.50102040816319</c:v>
                </c:pt>
                <c:pt idx="28">
                  <c:v>708.37857142857115</c:v>
                </c:pt>
                <c:pt idx="29">
                  <c:v>709.39489795918348</c:v>
                </c:pt>
                <c:pt idx="30">
                  <c:v>710.27244897959156</c:v>
                </c:pt>
                <c:pt idx="31">
                  <c:v>711.38673469387732</c:v>
                </c:pt>
                <c:pt idx="32">
                  <c:v>712.7285714285714</c:v>
                </c:pt>
                <c:pt idx="33">
                  <c:v>715.59285714285704</c:v>
                </c:pt>
                <c:pt idx="34">
                  <c:v>718.13571428571413</c:v>
                </c:pt>
                <c:pt idx="35">
                  <c:v>720.83673469387736</c:v>
                </c:pt>
                <c:pt idx="36">
                  <c:v>722.82653061224471</c:v>
                </c:pt>
                <c:pt idx="37">
                  <c:v>725.14795918367349</c:v>
                </c:pt>
                <c:pt idx="38">
                  <c:v>727.66224489795923</c:v>
                </c:pt>
                <c:pt idx="39">
                  <c:v>730.07551020408152</c:v>
                </c:pt>
                <c:pt idx="40">
                  <c:v>731.94285714285706</c:v>
                </c:pt>
                <c:pt idx="41">
                  <c:v>733.80102040816325</c:v>
                </c:pt>
                <c:pt idx="42">
                  <c:v>735.46122448979577</c:v>
                </c:pt>
                <c:pt idx="43">
                  <c:v>737.23265306122448</c:v>
                </c:pt>
                <c:pt idx="44">
                  <c:v>738.60510204081652</c:v>
                </c:pt>
                <c:pt idx="45">
                  <c:v>739.67448979591859</c:v>
                </c:pt>
                <c:pt idx="46">
                  <c:v>740.83163265306132</c:v>
                </c:pt>
                <c:pt idx="47">
                  <c:v>741.81428571428592</c:v>
                </c:pt>
                <c:pt idx="48">
                  <c:v>742.62551020408182</c:v>
                </c:pt>
                <c:pt idx="49">
                  <c:v>743.44489795918389</c:v>
                </c:pt>
                <c:pt idx="50">
                  <c:v>744.3836734693881</c:v>
                </c:pt>
                <c:pt idx="51">
                  <c:v>745.01734693877575</c:v>
                </c:pt>
                <c:pt idx="52">
                  <c:v>745.66224489795945</c:v>
                </c:pt>
                <c:pt idx="53">
                  <c:v>746.73979591836746</c:v>
                </c:pt>
                <c:pt idx="54">
                  <c:v>747.62959183673479</c:v>
                </c:pt>
                <c:pt idx="55">
                  <c:v>747.7897959183673</c:v>
                </c:pt>
                <c:pt idx="56">
                  <c:v>747.61020408163267</c:v>
                </c:pt>
                <c:pt idx="57">
                  <c:v>747.49183673469395</c:v>
                </c:pt>
                <c:pt idx="58">
                  <c:v>747.85306122448981</c:v>
                </c:pt>
                <c:pt idx="59">
                  <c:v>748.06836734693877</c:v>
                </c:pt>
                <c:pt idx="60">
                  <c:v>748.33265306122451</c:v>
                </c:pt>
                <c:pt idx="61">
                  <c:v>748.18061224489804</c:v>
                </c:pt>
                <c:pt idx="62">
                  <c:v>748.41938775510221</c:v>
                </c:pt>
                <c:pt idx="63">
                  <c:v>748.89693877551042</c:v>
                </c:pt>
                <c:pt idx="64">
                  <c:v>749.66938775510221</c:v>
                </c:pt>
                <c:pt idx="65">
                  <c:v>750.65918367346956</c:v>
                </c:pt>
                <c:pt idx="66">
                  <c:v>751.74387755102055</c:v>
                </c:pt>
                <c:pt idx="67">
                  <c:v>753.09693877551024</c:v>
                </c:pt>
                <c:pt idx="68">
                  <c:v>754.15918367346944</c:v>
                </c:pt>
                <c:pt idx="69">
                  <c:v>755.05816326530623</c:v>
                </c:pt>
                <c:pt idx="70">
                  <c:v>755.85000000000014</c:v>
                </c:pt>
                <c:pt idx="71">
                  <c:v>756.00816326530628</c:v>
                </c:pt>
                <c:pt idx="72">
                  <c:v>756.35408163265299</c:v>
                </c:pt>
                <c:pt idx="73">
                  <c:v>756.7520408163266</c:v>
                </c:pt>
                <c:pt idx="74">
                  <c:v>757.21530612244919</c:v>
                </c:pt>
                <c:pt idx="75">
                  <c:v>757.5653061224491</c:v>
                </c:pt>
                <c:pt idx="76">
                  <c:v>757.74285714285736</c:v>
                </c:pt>
                <c:pt idx="77">
                  <c:v>757.54591836734721</c:v>
                </c:pt>
                <c:pt idx="78">
                  <c:v>757.30612244897975</c:v>
                </c:pt>
                <c:pt idx="79">
                  <c:v>757.09897959183672</c:v>
                </c:pt>
                <c:pt idx="80">
                  <c:v>756.78571428571433</c:v>
                </c:pt>
                <c:pt idx="81">
                  <c:v>756.89591836734678</c:v>
                </c:pt>
                <c:pt idx="82">
                  <c:v>755.49081632653053</c:v>
                </c:pt>
                <c:pt idx="83">
                  <c:v>754.64693877551019</c:v>
                </c:pt>
                <c:pt idx="84">
                  <c:v>753.62755102040819</c:v>
                </c:pt>
                <c:pt idx="85">
                  <c:v>753.51632653061233</c:v>
                </c:pt>
                <c:pt idx="86">
                  <c:v>753.69387755102059</c:v>
                </c:pt>
                <c:pt idx="87">
                  <c:v>753.83163265306155</c:v>
                </c:pt>
                <c:pt idx="88">
                  <c:v>754.2969387755104</c:v>
                </c:pt>
                <c:pt idx="89">
                  <c:v>755.08775510204089</c:v>
                </c:pt>
                <c:pt idx="90">
                  <c:v>755.86122448979586</c:v>
                </c:pt>
                <c:pt idx="91">
                  <c:v>756.66020408163263</c:v>
                </c:pt>
                <c:pt idx="92">
                  <c:v>757.40612244897943</c:v>
                </c:pt>
                <c:pt idx="93">
                  <c:v>757.97142857142853</c:v>
                </c:pt>
                <c:pt idx="94">
                  <c:v>758.76326530612232</c:v>
                </c:pt>
                <c:pt idx="95">
                  <c:v>759.33265306122439</c:v>
                </c:pt>
                <c:pt idx="96">
                  <c:v>759.84591836734671</c:v>
                </c:pt>
                <c:pt idx="97">
                  <c:v>760.61326530612223</c:v>
                </c:pt>
                <c:pt idx="98">
                  <c:v>761.29387755102027</c:v>
                </c:pt>
                <c:pt idx="99">
                  <c:v>761.66632653061231</c:v>
                </c:pt>
                <c:pt idx="100">
                  <c:v>762.41734693877561</c:v>
                </c:pt>
                <c:pt idx="101">
                  <c:v>763.61020408163267</c:v>
                </c:pt>
                <c:pt idx="102">
                  <c:v>764.70306122448983</c:v>
                </c:pt>
                <c:pt idx="103">
                  <c:v>765.88469387755117</c:v>
                </c:pt>
                <c:pt idx="104">
                  <c:v>767.57551020408175</c:v>
                </c:pt>
                <c:pt idx="105">
                  <c:v>768.96326530612259</c:v>
                </c:pt>
                <c:pt idx="106">
                  <c:v>770.55816326530623</c:v>
                </c:pt>
                <c:pt idx="107">
                  <c:v>772.09081632653067</c:v>
                </c:pt>
                <c:pt idx="108">
                  <c:v>773.78673469387763</c:v>
                </c:pt>
                <c:pt idx="109">
                  <c:v>775.30714285714305</c:v>
                </c:pt>
                <c:pt idx="110">
                  <c:v>776.20816326530633</c:v>
                </c:pt>
                <c:pt idx="111">
                  <c:v>777.05306122448997</c:v>
                </c:pt>
                <c:pt idx="112">
                  <c:v>777.27040816326564</c:v>
                </c:pt>
                <c:pt idx="113">
                  <c:v>777.17551020408189</c:v>
                </c:pt>
                <c:pt idx="114">
                  <c:v>776.98979591836769</c:v>
                </c:pt>
                <c:pt idx="115">
                  <c:v>776.99897959183681</c:v>
                </c:pt>
                <c:pt idx="116">
                  <c:v>776.84897959183684</c:v>
                </c:pt>
                <c:pt idx="117">
                  <c:v>776.69285714285718</c:v>
                </c:pt>
                <c:pt idx="118">
                  <c:v>776.0040816326532</c:v>
                </c:pt>
                <c:pt idx="119">
                  <c:v>776.03979591836742</c:v>
                </c:pt>
                <c:pt idx="120">
                  <c:v>776.70816326530621</c:v>
                </c:pt>
                <c:pt idx="121">
                  <c:v>776.59591836734683</c:v>
                </c:pt>
                <c:pt idx="122">
                  <c:v>775.89183673469392</c:v>
                </c:pt>
                <c:pt idx="123">
                  <c:v>775.00918367346947</c:v>
                </c:pt>
                <c:pt idx="124">
                  <c:v>773.51224489795925</c:v>
                </c:pt>
                <c:pt idx="125">
                  <c:v>772.06326530612262</c:v>
                </c:pt>
                <c:pt idx="126">
                  <c:v>770.66836734693879</c:v>
                </c:pt>
                <c:pt idx="127">
                  <c:v>769.46224489795907</c:v>
                </c:pt>
                <c:pt idx="128">
                  <c:v>768.28265306122444</c:v>
                </c:pt>
                <c:pt idx="129">
                  <c:v>767.38469387755094</c:v>
                </c:pt>
                <c:pt idx="130">
                  <c:v>766.01020408163254</c:v>
                </c:pt>
                <c:pt idx="131">
                  <c:v>764.68673469387738</c:v>
                </c:pt>
                <c:pt idx="132">
                  <c:v>763.3</c:v>
                </c:pt>
                <c:pt idx="133">
                  <c:v>761.78367346938762</c:v>
                </c:pt>
                <c:pt idx="134">
                  <c:v>760.25204081632637</c:v>
                </c:pt>
                <c:pt idx="135">
                  <c:v>758.36530612244883</c:v>
                </c:pt>
                <c:pt idx="136">
                  <c:v>756.19285714285695</c:v>
                </c:pt>
                <c:pt idx="137">
                  <c:v>753.65204081632635</c:v>
                </c:pt>
                <c:pt idx="138">
                  <c:v>751.31836734693843</c:v>
                </c:pt>
                <c:pt idx="139">
                  <c:v>749.18163265306111</c:v>
                </c:pt>
                <c:pt idx="140">
                  <c:v>747.37755102040796</c:v>
                </c:pt>
                <c:pt idx="141">
                  <c:v>745.48367346938767</c:v>
                </c:pt>
                <c:pt idx="142">
                  <c:v>744.00714285714298</c:v>
                </c:pt>
                <c:pt idx="143">
                  <c:v>742.7081632653061</c:v>
                </c:pt>
                <c:pt idx="144">
                  <c:v>741.42857142857144</c:v>
                </c:pt>
                <c:pt idx="145">
                  <c:v>740.2683673469387</c:v>
                </c:pt>
                <c:pt idx="146">
                  <c:v>739.1846938775509</c:v>
                </c:pt>
                <c:pt idx="147">
                  <c:v>738.36122448979597</c:v>
                </c:pt>
                <c:pt idx="148">
                  <c:v>737.92142857142858</c:v>
                </c:pt>
                <c:pt idx="149">
                  <c:v>737.41224489795911</c:v>
                </c:pt>
                <c:pt idx="150">
                  <c:v>736.43163265306111</c:v>
                </c:pt>
                <c:pt idx="151">
                  <c:v>735.2897959183673</c:v>
                </c:pt>
                <c:pt idx="152">
                  <c:v>734.41938775510198</c:v>
                </c:pt>
                <c:pt idx="153">
                  <c:v>733.40918367346944</c:v>
                </c:pt>
                <c:pt idx="154">
                  <c:v>732.91836734693868</c:v>
                </c:pt>
                <c:pt idx="155">
                  <c:v>732.00306122448967</c:v>
                </c:pt>
                <c:pt idx="156">
                  <c:v>730.97040816326512</c:v>
                </c:pt>
                <c:pt idx="157">
                  <c:v>729.91428571428548</c:v>
                </c:pt>
                <c:pt idx="158">
                  <c:v>728.81020408163226</c:v>
                </c:pt>
                <c:pt idx="159">
                  <c:v>728.67653061224462</c:v>
                </c:pt>
                <c:pt idx="160">
                  <c:v>728.00816326530583</c:v>
                </c:pt>
                <c:pt idx="161">
                  <c:v>727.53775510204059</c:v>
                </c:pt>
                <c:pt idx="162">
                  <c:v>727.00510204081615</c:v>
                </c:pt>
                <c:pt idx="163">
                  <c:v>726.59489795918375</c:v>
                </c:pt>
                <c:pt idx="164">
                  <c:v>725.87653061224489</c:v>
                </c:pt>
                <c:pt idx="165">
                  <c:v>725.04081632653049</c:v>
                </c:pt>
                <c:pt idx="166">
                  <c:v>724.36122448979586</c:v>
                </c:pt>
                <c:pt idx="167">
                  <c:v>724.49999999999989</c:v>
                </c:pt>
                <c:pt idx="168">
                  <c:v>723.80102040816314</c:v>
                </c:pt>
                <c:pt idx="169">
                  <c:v>722.46734693877534</c:v>
                </c:pt>
                <c:pt idx="170">
                  <c:v>721.81734693877547</c:v>
                </c:pt>
                <c:pt idx="171">
                  <c:v>722.05612244897941</c:v>
                </c:pt>
                <c:pt idx="172">
                  <c:v>722.44999999999993</c:v>
                </c:pt>
                <c:pt idx="173">
                  <c:v>723.19591836734696</c:v>
                </c:pt>
                <c:pt idx="174">
                  <c:v>724.10510204081618</c:v>
                </c:pt>
                <c:pt idx="175">
                  <c:v>724.99489795918362</c:v>
                </c:pt>
                <c:pt idx="176">
                  <c:v>725.63877551020414</c:v>
                </c:pt>
                <c:pt idx="177">
                  <c:v>726.36224489795916</c:v>
                </c:pt>
                <c:pt idx="178">
                  <c:v>727.02244897959167</c:v>
                </c:pt>
                <c:pt idx="179">
                  <c:v>727.88877551020403</c:v>
                </c:pt>
                <c:pt idx="180">
                  <c:v>728.71530612244885</c:v>
                </c:pt>
                <c:pt idx="181">
                  <c:v>729.38367346938765</c:v>
                </c:pt>
                <c:pt idx="182">
                  <c:v>730.23877551020405</c:v>
                </c:pt>
                <c:pt idx="183">
                  <c:v>730.88265306122435</c:v>
                </c:pt>
                <c:pt idx="184">
                  <c:v>731.41326530612241</c:v>
                </c:pt>
                <c:pt idx="185">
                  <c:v>732.28163265306114</c:v>
                </c:pt>
                <c:pt idx="186">
                  <c:v>733.0163265306121</c:v>
                </c:pt>
                <c:pt idx="187">
                  <c:v>733.40714285714284</c:v>
                </c:pt>
                <c:pt idx="188">
                  <c:v>733.76326530612232</c:v>
                </c:pt>
                <c:pt idx="189">
                  <c:v>733.54081632653026</c:v>
                </c:pt>
                <c:pt idx="190">
                  <c:v>732.67755102040792</c:v>
                </c:pt>
                <c:pt idx="191">
                  <c:v>731.6418367346937</c:v>
                </c:pt>
                <c:pt idx="192">
                  <c:v>730.43061224489782</c:v>
                </c:pt>
                <c:pt idx="193">
                  <c:v>729.13877551020403</c:v>
                </c:pt>
                <c:pt idx="194">
                  <c:v>728.02142857142849</c:v>
                </c:pt>
                <c:pt idx="195">
                  <c:v>726.7438775510202</c:v>
                </c:pt>
                <c:pt idx="196">
                  <c:v>725.55612244897929</c:v>
                </c:pt>
                <c:pt idx="197">
                  <c:v>724.06632653061195</c:v>
                </c:pt>
                <c:pt idx="198">
                  <c:v>722.74591836734669</c:v>
                </c:pt>
                <c:pt idx="199">
                  <c:v>721.74999999999989</c:v>
                </c:pt>
                <c:pt idx="200">
                  <c:v>720.92448979591825</c:v>
                </c:pt>
                <c:pt idx="201">
                  <c:v>719.78163265306102</c:v>
                </c:pt>
                <c:pt idx="202">
                  <c:v>718.7040816326529</c:v>
                </c:pt>
                <c:pt idx="203">
                  <c:v>717.57857142857142</c:v>
                </c:pt>
                <c:pt idx="204">
                  <c:v>716.68571428571431</c:v>
                </c:pt>
                <c:pt idx="205">
                  <c:v>716.03061224489784</c:v>
                </c:pt>
                <c:pt idx="206">
                  <c:v>715.33061224489779</c:v>
                </c:pt>
                <c:pt idx="207">
                  <c:v>715.11122448979575</c:v>
                </c:pt>
                <c:pt idx="208">
                  <c:v>715.00612244897945</c:v>
                </c:pt>
                <c:pt idx="209">
                  <c:v>715.25918367346912</c:v>
                </c:pt>
                <c:pt idx="210">
                  <c:v>715.84081632653044</c:v>
                </c:pt>
                <c:pt idx="211">
                  <c:v>716.56836734693877</c:v>
                </c:pt>
                <c:pt idx="212">
                  <c:v>717.06632653061206</c:v>
                </c:pt>
                <c:pt idx="213">
                  <c:v>717.74285714285702</c:v>
                </c:pt>
                <c:pt idx="214">
                  <c:v>718.57653061224471</c:v>
                </c:pt>
                <c:pt idx="215">
                  <c:v>719.81530612244887</c:v>
                </c:pt>
                <c:pt idx="216">
                  <c:v>721.17142857142858</c:v>
                </c:pt>
                <c:pt idx="217">
                  <c:v>722.95306122448983</c:v>
                </c:pt>
                <c:pt idx="218">
                  <c:v>725.17040816326539</c:v>
                </c:pt>
                <c:pt idx="219">
                  <c:v>727.55918367346942</c:v>
                </c:pt>
                <c:pt idx="220">
                  <c:v>729.41428571428594</c:v>
                </c:pt>
                <c:pt idx="221">
                  <c:v>731.22959183673481</c:v>
                </c:pt>
                <c:pt idx="222">
                  <c:v>733.47857142857163</c:v>
                </c:pt>
                <c:pt idx="223">
                  <c:v>735.62244897959215</c:v>
                </c:pt>
                <c:pt idx="224">
                  <c:v>737.8173469387757</c:v>
                </c:pt>
                <c:pt idx="225">
                  <c:v>740.16938775510221</c:v>
                </c:pt>
                <c:pt idx="226">
                  <c:v>742.30000000000007</c:v>
                </c:pt>
                <c:pt idx="227">
                  <c:v>744.26530612244926</c:v>
                </c:pt>
                <c:pt idx="228">
                  <c:v>745.90714285714307</c:v>
                </c:pt>
                <c:pt idx="229">
                  <c:v>747.73775510204086</c:v>
                </c:pt>
                <c:pt idx="230">
                  <c:v>749.45408163265301</c:v>
                </c:pt>
                <c:pt idx="231">
                  <c:v>751.4153061224489</c:v>
                </c:pt>
                <c:pt idx="232">
                  <c:v>753.65918367346933</c:v>
                </c:pt>
                <c:pt idx="233">
                  <c:v>756.31428571428569</c:v>
                </c:pt>
                <c:pt idx="234">
                  <c:v>759.01836734693882</c:v>
                </c:pt>
                <c:pt idx="235">
                  <c:v>762.03877551020412</c:v>
                </c:pt>
                <c:pt idx="236">
                  <c:v>765.21428571428567</c:v>
                </c:pt>
                <c:pt idx="237">
                  <c:v>768.02346938775509</c:v>
                </c:pt>
                <c:pt idx="238">
                  <c:v>770.72244897959183</c:v>
                </c:pt>
                <c:pt idx="239">
                  <c:v>774.31224489795943</c:v>
                </c:pt>
                <c:pt idx="240">
                  <c:v>778.14489795918394</c:v>
                </c:pt>
                <c:pt idx="241">
                  <c:v>781.9224489795921</c:v>
                </c:pt>
                <c:pt idx="242">
                  <c:v>785.84795918367365</c:v>
                </c:pt>
                <c:pt idx="243">
                  <c:v>789.29693877551028</c:v>
                </c:pt>
                <c:pt idx="244">
                  <c:v>793.40612244897966</c:v>
                </c:pt>
                <c:pt idx="245">
                  <c:v>797.04387755102039</c:v>
                </c:pt>
                <c:pt idx="246">
                  <c:v>800.8357142857144</c:v>
                </c:pt>
                <c:pt idx="247">
                  <c:v>804.57653061224494</c:v>
                </c:pt>
                <c:pt idx="248">
                  <c:v>808.05000000000007</c:v>
                </c:pt>
                <c:pt idx="249">
                  <c:v>811.29183673469379</c:v>
                </c:pt>
                <c:pt idx="250">
                  <c:v>815.13877551020414</c:v>
                </c:pt>
                <c:pt idx="251">
                  <c:v>819.18979591836739</c:v>
                </c:pt>
                <c:pt idx="252">
                  <c:v>823.32857142857142</c:v>
                </c:pt>
                <c:pt idx="253">
                  <c:v>827.69999999999993</c:v>
                </c:pt>
                <c:pt idx="254">
                  <c:v>831.73061224489777</c:v>
                </c:pt>
                <c:pt idx="255">
                  <c:v>835.60102040816309</c:v>
                </c:pt>
                <c:pt idx="256">
                  <c:v>839.13673469387732</c:v>
                </c:pt>
                <c:pt idx="257">
                  <c:v>842.7030612244896</c:v>
                </c:pt>
                <c:pt idx="258">
                  <c:v>845.95918367346928</c:v>
                </c:pt>
                <c:pt idx="259">
                  <c:v>848.69183673469377</c:v>
                </c:pt>
                <c:pt idx="260">
                  <c:v>851.18877551020398</c:v>
                </c:pt>
                <c:pt idx="261">
                  <c:v>853.38979591836733</c:v>
                </c:pt>
                <c:pt idx="262">
                  <c:v>855.43367346938771</c:v>
                </c:pt>
                <c:pt idx="263">
                  <c:v>857.43979591836739</c:v>
                </c:pt>
                <c:pt idx="264">
                  <c:v>858.90714285714296</c:v>
                </c:pt>
                <c:pt idx="265">
                  <c:v>860.56734693877559</c:v>
                </c:pt>
                <c:pt idx="266">
                  <c:v>861.89897959183679</c:v>
                </c:pt>
                <c:pt idx="267">
                  <c:v>863.5653061224491</c:v>
                </c:pt>
                <c:pt idx="268">
                  <c:v>865.30816326530612</c:v>
                </c:pt>
                <c:pt idx="269">
                  <c:v>866.97448979591832</c:v>
                </c:pt>
                <c:pt idx="270">
                  <c:v>868.71836734693875</c:v>
                </c:pt>
                <c:pt idx="271">
                  <c:v>870.14897959183679</c:v>
                </c:pt>
                <c:pt idx="272">
                  <c:v>871.24591836734703</c:v>
                </c:pt>
                <c:pt idx="273">
                  <c:v>871.96020408163258</c:v>
                </c:pt>
                <c:pt idx="274">
                  <c:v>872.91632653061208</c:v>
                </c:pt>
                <c:pt idx="275">
                  <c:v>874.29285714285697</c:v>
                </c:pt>
                <c:pt idx="276">
                  <c:v>875.76428571428562</c:v>
                </c:pt>
                <c:pt idx="277">
                  <c:v>877.23061224489788</c:v>
                </c:pt>
                <c:pt idx="278">
                  <c:v>878.26020408163254</c:v>
                </c:pt>
                <c:pt idx="279">
                  <c:v>879.69285714285706</c:v>
                </c:pt>
                <c:pt idx="280">
                  <c:v>881.25</c:v>
                </c:pt>
                <c:pt idx="281">
                  <c:v>882.57040816326526</c:v>
                </c:pt>
                <c:pt idx="282">
                  <c:v>883.25306122448978</c:v>
                </c:pt>
                <c:pt idx="283">
                  <c:v>883.85408163265299</c:v>
                </c:pt>
                <c:pt idx="284">
                  <c:v>884.37142857142851</c:v>
                </c:pt>
                <c:pt idx="285">
                  <c:v>884.77142857142849</c:v>
                </c:pt>
                <c:pt idx="286">
                  <c:v>885.55204081632644</c:v>
                </c:pt>
                <c:pt idx="287">
                  <c:v>886.63469387755094</c:v>
                </c:pt>
                <c:pt idx="288">
                  <c:v>887.72857142857151</c:v>
                </c:pt>
                <c:pt idx="289">
                  <c:v>888.48775510204086</c:v>
                </c:pt>
                <c:pt idx="290">
                  <c:v>889.27040816326519</c:v>
                </c:pt>
                <c:pt idx="291">
                  <c:v>889.9989795918367</c:v>
                </c:pt>
                <c:pt idx="292">
                  <c:v>890.79693877551017</c:v>
                </c:pt>
                <c:pt idx="293">
                  <c:v>891.29489795918346</c:v>
                </c:pt>
                <c:pt idx="294">
                  <c:v>892.09591836734671</c:v>
                </c:pt>
                <c:pt idx="295">
                  <c:v>893.06326530612228</c:v>
                </c:pt>
                <c:pt idx="296">
                  <c:v>893.83673469387736</c:v>
                </c:pt>
                <c:pt idx="297">
                  <c:v>894.60714285714266</c:v>
                </c:pt>
                <c:pt idx="298">
                  <c:v>895.57653061224471</c:v>
                </c:pt>
                <c:pt idx="299">
                  <c:v>896.1612244897957</c:v>
                </c:pt>
                <c:pt idx="300">
                  <c:v>896.9285714285711</c:v>
                </c:pt>
                <c:pt idx="301">
                  <c:v>897.34285714285693</c:v>
                </c:pt>
                <c:pt idx="302">
                  <c:v>897.73673469387757</c:v>
                </c:pt>
                <c:pt idx="303">
                  <c:v>898.33163265306121</c:v>
                </c:pt>
                <c:pt idx="304">
                  <c:v>899.22551020408173</c:v>
                </c:pt>
                <c:pt idx="305">
                  <c:v>900.0622448979592</c:v>
                </c:pt>
                <c:pt idx="306">
                  <c:v>900.34489795918375</c:v>
                </c:pt>
                <c:pt idx="307">
                  <c:v>900.71938775510205</c:v>
                </c:pt>
                <c:pt idx="308">
                  <c:v>901.11224489795916</c:v>
                </c:pt>
                <c:pt idx="309">
                  <c:v>901.92653061224473</c:v>
                </c:pt>
                <c:pt idx="310">
                  <c:v>903.37244897959181</c:v>
                </c:pt>
                <c:pt idx="311">
                  <c:v>904.95102040816334</c:v>
                </c:pt>
                <c:pt idx="312">
                  <c:v>906.60000000000014</c:v>
                </c:pt>
                <c:pt idx="313">
                  <c:v>908.41734693877561</c:v>
                </c:pt>
                <c:pt idx="314">
                  <c:v>909.63673469387766</c:v>
                </c:pt>
                <c:pt idx="315">
                  <c:v>910.87040816326532</c:v>
                </c:pt>
                <c:pt idx="316">
                  <c:v>911.57142857142856</c:v>
                </c:pt>
                <c:pt idx="317">
                  <c:v>912.00000000000011</c:v>
                </c:pt>
                <c:pt idx="318">
                  <c:v>912.55408163265304</c:v>
                </c:pt>
                <c:pt idx="319">
                  <c:v>912.76836734693882</c:v>
                </c:pt>
                <c:pt idx="320">
                  <c:v>913.17755102040826</c:v>
                </c:pt>
                <c:pt idx="321">
                  <c:v>913.39285714285734</c:v>
                </c:pt>
                <c:pt idx="322">
                  <c:v>914.20102040816323</c:v>
                </c:pt>
                <c:pt idx="323">
                  <c:v>914.82142857142856</c:v>
                </c:pt>
                <c:pt idx="324">
                  <c:v>915.10204081632651</c:v>
                </c:pt>
                <c:pt idx="325">
                  <c:v>915.32959183673472</c:v>
                </c:pt>
                <c:pt idx="326">
                  <c:v>915.30408163265304</c:v>
                </c:pt>
                <c:pt idx="327">
                  <c:v>915.58571428571418</c:v>
                </c:pt>
                <c:pt idx="328">
                  <c:v>915.46734693877556</c:v>
                </c:pt>
                <c:pt idx="329">
                  <c:v>914.9377551020408</c:v>
                </c:pt>
                <c:pt idx="330">
                  <c:v>914.01428571428562</c:v>
                </c:pt>
                <c:pt idx="331">
                  <c:v>913.24387755102032</c:v>
                </c:pt>
                <c:pt idx="332">
                  <c:v>912.52244897959179</c:v>
                </c:pt>
                <c:pt idx="333">
                  <c:v>911.55816326530612</c:v>
                </c:pt>
                <c:pt idx="334">
                  <c:v>910.77448979591827</c:v>
                </c:pt>
                <c:pt idx="335">
                  <c:v>909.7948979591838</c:v>
                </c:pt>
                <c:pt idx="336">
                  <c:v>909.1448979591836</c:v>
                </c:pt>
                <c:pt idx="337">
                  <c:v>908.07857142857154</c:v>
                </c:pt>
                <c:pt idx="338">
                  <c:v>907.15306122448999</c:v>
                </c:pt>
                <c:pt idx="339">
                  <c:v>906.3122448979592</c:v>
                </c:pt>
                <c:pt idx="340">
                  <c:v>905.48775510204086</c:v>
                </c:pt>
                <c:pt idx="341">
                  <c:v>904.98571428571438</c:v>
                </c:pt>
                <c:pt idx="342">
                  <c:v>904.16938775510209</c:v>
                </c:pt>
                <c:pt idx="343">
                  <c:v>903.29489795918357</c:v>
                </c:pt>
                <c:pt idx="344">
                  <c:v>901.97857142857151</c:v>
                </c:pt>
                <c:pt idx="345">
                  <c:v>899.87346938775511</c:v>
                </c:pt>
                <c:pt idx="346">
                  <c:v>897.87551020408171</c:v>
                </c:pt>
                <c:pt idx="347">
                  <c:v>896.00204081632637</c:v>
                </c:pt>
                <c:pt idx="348">
                  <c:v>894.37959183673456</c:v>
                </c:pt>
                <c:pt idx="349">
                  <c:v>892.72755102040821</c:v>
                </c:pt>
                <c:pt idx="350">
                  <c:v>891.37040816326532</c:v>
                </c:pt>
                <c:pt idx="351">
                  <c:v>889.66224489795911</c:v>
                </c:pt>
                <c:pt idx="352">
                  <c:v>887.74387755102032</c:v>
                </c:pt>
                <c:pt idx="353">
                  <c:v>885.82959183673461</c:v>
                </c:pt>
                <c:pt idx="354">
                  <c:v>884.2091836734694</c:v>
                </c:pt>
                <c:pt idx="355">
                  <c:v>882.64285714285711</c:v>
                </c:pt>
                <c:pt idx="356">
                  <c:v>880.94999999999993</c:v>
                </c:pt>
                <c:pt idx="357">
                  <c:v>879.77959183673477</c:v>
                </c:pt>
                <c:pt idx="358">
                  <c:v>878.7316326530613</c:v>
                </c:pt>
                <c:pt idx="359">
                  <c:v>877.45714285714303</c:v>
                </c:pt>
                <c:pt idx="360">
                  <c:v>876.08469387755122</c:v>
                </c:pt>
                <c:pt idx="361">
                  <c:v>874.48877551020416</c:v>
                </c:pt>
                <c:pt idx="362">
                  <c:v>872.88163265306127</c:v>
                </c:pt>
                <c:pt idx="363">
                  <c:v>871.19795918367356</c:v>
                </c:pt>
                <c:pt idx="364">
                  <c:v>869.78877551020446</c:v>
                </c:pt>
                <c:pt idx="365">
                  <c:v>868.51734693877563</c:v>
                </c:pt>
                <c:pt idx="366">
                  <c:v>867.49591836734703</c:v>
                </c:pt>
                <c:pt idx="367">
                  <c:v>866.37653061224489</c:v>
                </c:pt>
                <c:pt idx="368">
                  <c:v>865.64285714285711</c:v>
                </c:pt>
                <c:pt idx="369">
                  <c:v>864.8948979591836</c:v>
                </c:pt>
                <c:pt idx="370">
                  <c:v>864.68367346938771</c:v>
                </c:pt>
                <c:pt idx="371">
                  <c:v>864.1642857142856</c:v>
                </c:pt>
                <c:pt idx="372">
                  <c:v>863.58163265306121</c:v>
                </c:pt>
                <c:pt idx="373">
                  <c:v>862.70408163265301</c:v>
                </c:pt>
                <c:pt idx="374">
                  <c:v>861.36938775510214</c:v>
                </c:pt>
                <c:pt idx="375">
                  <c:v>860.09489795918387</c:v>
                </c:pt>
                <c:pt idx="376">
                  <c:v>858.62346938775511</c:v>
                </c:pt>
                <c:pt idx="377">
                  <c:v>857.08367346938792</c:v>
                </c:pt>
                <c:pt idx="378">
                  <c:v>855.54897959183677</c:v>
                </c:pt>
                <c:pt idx="379">
                  <c:v>854.67346938775506</c:v>
                </c:pt>
                <c:pt idx="380">
                  <c:v>853.98673469387757</c:v>
                </c:pt>
                <c:pt idx="381">
                  <c:v>853.55918367346931</c:v>
                </c:pt>
                <c:pt idx="382">
                  <c:v>853.53571428571411</c:v>
                </c:pt>
                <c:pt idx="383">
                  <c:v>853.31428571428557</c:v>
                </c:pt>
                <c:pt idx="384">
                  <c:v>853.14591836734678</c:v>
                </c:pt>
                <c:pt idx="385">
                  <c:v>852.64081632653051</c:v>
                </c:pt>
                <c:pt idx="386">
                  <c:v>852.42653061224473</c:v>
                </c:pt>
                <c:pt idx="387">
                  <c:v>852.13775510204061</c:v>
                </c:pt>
                <c:pt idx="388">
                  <c:v>852.29591836734676</c:v>
                </c:pt>
                <c:pt idx="389">
                  <c:v>852.65612244897943</c:v>
                </c:pt>
                <c:pt idx="390">
                  <c:v>852.94693877551003</c:v>
                </c:pt>
                <c:pt idx="391">
                  <c:v>853.01428571428562</c:v>
                </c:pt>
                <c:pt idx="392">
                  <c:v>852.96734693877556</c:v>
                </c:pt>
                <c:pt idx="393">
                  <c:v>853.51020408163265</c:v>
                </c:pt>
                <c:pt idx="394">
                  <c:v>854.99897959183681</c:v>
                </c:pt>
                <c:pt idx="395">
                  <c:v>856.53979591836753</c:v>
                </c:pt>
                <c:pt idx="396">
                  <c:v>857.95612244897984</c:v>
                </c:pt>
                <c:pt idx="397">
                  <c:v>858.95408163265336</c:v>
                </c:pt>
                <c:pt idx="398">
                  <c:v>859.64795918367372</c:v>
                </c:pt>
                <c:pt idx="399">
                  <c:v>860.27244897959213</c:v>
                </c:pt>
                <c:pt idx="400">
                  <c:v>860.92448979591859</c:v>
                </c:pt>
                <c:pt idx="401">
                  <c:v>861.98571428571461</c:v>
                </c:pt>
                <c:pt idx="402">
                  <c:v>863.09489795918387</c:v>
                </c:pt>
                <c:pt idx="403">
                  <c:v>864.20000000000016</c:v>
                </c:pt>
                <c:pt idx="404">
                  <c:v>865.51632653061233</c:v>
                </c:pt>
                <c:pt idx="405">
                  <c:v>866.88367346938799</c:v>
                </c:pt>
                <c:pt idx="406">
                  <c:v>868.04285714285732</c:v>
                </c:pt>
                <c:pt idx="407">
                  <c:v>869.1051020408164</c:v>
                </c:pt>
                <c:pt idx="408">
                  <c:v>870.17142857142846</c:v>
                </c:pt>
                <c:pt idx="409">
                  <c:v>871.48367346938755</c:v>
                </c:pt>
                <c:pt idx="410">
                  <c:v>873.23469387755085</c:v>
                </c:pt>
                <c:pt idx="411">
                  <c:v>874.87142857142851</c:v>
                </c:pt>
                <c:pt idx="412">
                  <c:v>876.84693877551024</c:v>
                </c:pt>
                <c:pt idx="413">
                  <c:v>878.87653061224489</c:v>
                </c:pt>
                <c:pt idx="414">
                  <c:v>881.00306122448978</c:v>
                </c:pt>
                <c:pt idx="415">
                  <c:v>882.82653061224505</c:v>
                </c:pt>
                <c:pt idx="416">
                  <c:v>884.69387755102036</c:v>
                </c:pt>
                <c:pt idx="417">
                  <c:v>886.38877551020414</c:v>
                </c:pt>
                <c:pt idx="418">
                  <c:v>888.27653061224498</c:v>
                </c:pt>
                <c:pt idx="419">
                  <c:v>890.02653061224498</c:v>
                </c:pt>
                <c:pt idx="420">
                  <c:v>891.71224489795941</c:v>
                </c:pt>
                <c:pt idx="421">
                  <c:v>893.37142857142862</c:v>
                </c:pt>
                <c:pt idx="422">
                  <c:v>895.10000000000014</c:v>
                </c:pt>
                <c:pt idx="423">
                  <c:v>897.08367346938792</c:v>
                </c:pt>
                <c:pt idx="424">
                  <c:v>899.57959183673472</c:v>
                </c:pt>
                <c:pt idx="425">
                  <c:v>901.9836734693879</c:v>
                </c:pt>
                <c:pt idx="426">
                  <c:v>904.51530612244903</c:v>
                </c:pt>
                <c:pt idx="427">
                  <c:v>907.07142857142856</c:v>
                </c:pt>
                <c:pt idx="428">
                  <c:v>909.10918367346949</c:v>
                </c:pt>
                <c:pt idx="429">
                  <c:v>911.18469387755113</c:v>
                </c:pt>
                <c:pt idx="430">
                  <c:v>913.11020408163267</c:v>
                </c:pt>
                <c:pt idx="431">
                  <c:v>914.78163265306114</c:v>
                </c:pt>
                <c:pt idx="432">
                  <c:v>916.51122448979584</c:v>
                </c:pt>
                <c:pt idx="433">
                  <c:v>918.25612244897934</c:v>
                </c:pt>
                <c:pt idx="434">
                  <c:v>920.07959183673461</c:v>
                </c:pt>
                <c:pt idx="435">
                  <c:v>921.73673469387734</c:v>
                </c:pt>
                <c:pt idx="436">
                  <c:v>923.62551020408171</c:v>
                </c:pt>
                <c:pt idx="437">
                  <c:v>924.90204081632658</c:v>
                </c:pt>
                <c:pt idx="438">
                  <c:v>925.7755102040818</c:v>
                </c:pt>
                <c:pt idx="439">
                  <c:v>926.78775510204093</c:v>
                </c:pt>
                <c:pt idx="440">
                  <c:v>927.77040816326542</c:v>
                </c:pt>
                <c:pt idx="441">
                  <c:v>928.93571428571454</c:v>
                </c:pt>
                <c:pt idx="442">
                  <c:v>929.80918367346942</c:v>
                </c:pt>
                <c:pt idx="443">
                  <c:v>930.53571428571433</c:v>
                </c:pt>
                <c:pt idx="444">
                  <c:v>931.03571428571445</c:v>
                </c:pt>
                <c:pt idx="445">
                  <c:v>931.56938775510207</c:v>
                </c:pt>
                <c:pt idx="446">
                  <c:v>932.37040816326532</c:v>
                </c:pt>
                <c:pt idx="447">
                  <c:v>933.3</c:v>
                </c:pt>
                <c:pt idx="448">
                  <c:v>934.12040816326521</c:v>
                </c:pt>
                <c:pt idx="449">
                  <c:v>935.28163265306125</c:v>
                </c:pt>
                <c:pt idx="450">
                  <c:v>936.09693877551024</c:v>
                </c:pt>
                <c:pt idx="451">
                  <c:v>937.00612244897945</c:v>
                </c:pt>
                <c:pt idx="452">
                  <c:v>937.9132653061223</c:v>
                </c:pt>
                <c:pt idx="453">
                  <c:v>938.48571428571415</c:v>
                </c:pt>
                <c:pt idx="454">
                  <c:v>939.11326530612234</c:v>
                </c:pt>
                <c:pt idx="455">
                  <c:v>939.57959183673461</c:v>
                </c:pt>
                <c:pt idx="456">
                  <c:v>940.019387755102</c:v>
                </c:pt>
                <c:pt idx="457">
                  <c:v>940.71326530612237</c:v>
                </c:pt>
                <c:pt idx="458">
                  <c:v>941.38877551020403</c:v>
                </c:pt>
                <c:pt idx="459">
                  <c:v>942.01734693877529</c:v>
                </c:pt>
                <c:pt idx="460">
                  <c:v>942.85510204081618</c:v>
                </c:pt>
                <c:pt idx="461">
                  <c:v>943.61836734693873</c:v>
                </c:pt>
                <c:pt idx="462">
                  <c:v>944.769387755102</c:v>
                </c:pt>
                <c:pt idx="463">
                  <c:v>945.85306122448958</c:v>
                </c:pt>
                <c:pt idx="464">
                  <c:v>946.79693877550994</c:v>
                </c:pt>
                <c:pt idx="465">
                  <c:v>947.78367346938751</c:v>
                </c:pt>
                <c:pt idx="466">
                  <c:v>948.94897959183641</c:v>
                </c:pt>
                <c:pt idx="467">
                  <c:v>949.84183673469363</c:v>
                </c:pt>
                <c:pt idx="468">
                  <c:v>950.69693877550981</c:v>
                </c:pt>
                <c:pt idx="469">
                  <c:v>951.67551020408143</c:v>
                </c:pt>
                <c:pt idx="470">
                  <c:v>952.51530612244881</c:v>
                </c:pt>
                <c:pt idx="471">
                  <c:v>953.46020408163247</c:v>
                </c:pt>
                <c:pt idx="472">
                  <c:v>953.9734693877549</c:v>
                </c:pt>
                <c:pt idx="473">
                  <c:v>954.37755102040796</c:v>
                </c:pt>
                <c:pt idx="474">
                  <c:v>954.93877551020398</c:v>
                </c:pt>
                <c:pt idx="475">
                  <c:v>955.55000000000007</c:v>
                </c:pt>
                <c:pt idx="476">
                  <c:v>956.03061224489795</c:v>
                </c:pt>
                <c:pt idx="477">
                  <c:v>956.60204081632651</c:v>
                </c:pt>
                <c:pt idx="478">
                  <c:v>956.90204081632646</c:v>
                </c:pt>
                <c:pt idx="479">
                  <c:v>957.16326530612264</c:v>
                </c:pt>
                <c:pt idx="480">
                  <c:v>957.45714285714303</c:v>
                </c:pt>
                <c:pt idx="481">
                  <c:v>957.69081632653092</c:v>
                </c:pt>
                <c:pt idx="482">
                  <c:v>957.95102040816357</c:v>
                </c:pt>
                <c:pt idx="483">
                  <c:v>958.30102040816359</c:v>
                </c:pt>
                <c:pt idx="484">
                  <c:v>958.62857142857149</c:v>
                </c:pt>
                <c:pt idx="485">
                  <c:v>959.10408163265322</c:v>
                </c:pt>
                <c:pt idx="486">
                  <c:v>959.69897959183675</c:v>
                </c:pt>
                <c:pt idx="487">
                  <c:v>960.59285714285716</c:v>
                </c:pt>
                <c:pt idx="488">
                  <c:v>961.3346938775511</c:v>
                </c:pt>
                <c:pt idx="489">
                  <c:v>962.24489795918362</c:v>
                </c:pt>
                <c:pt idx="490">
                  <c:v>962.92551020408177</c:v>
                </c:pt>
                <c:pt idx="491">
                  <c:v>963.62040816326532</c:v>
                </c:pt>
                <c:pt idx="492">
                  <c:v>964.49693877551033</c:v>
                </c:pt>
                <c:pt idx="493">
                  <c:v>965.39183673469392</c:v>
                </c:pt>
                <c:pt idx="494">
                  <c:v>966.22755102040821</c:v>
                </c:pt>
                <c:pt idx="495">
                  <c:v>966.66428571428582</c:v>
                </c:pt>
                <c:pt idx="496">
                  <c:v>967.23979591836735</c:v>
                </c:pt>
                <c:pt idx="497">
                  <c:v>967.97346938775524</c:v>
                </c:pt>
                <c:pt idx="498">
                  <c:v>968.70204081632676</c:v>
                </c:pt>
                <c:pt idx="499">
                  <c:v>969.63673469387777</c:v>
                </c:pt>
                <c:pt idx="500">
                  <c:v>970.28571428571456</c:v>
                </c:pt>
                <c:pt idx="501">
                  <c:v>970.86326530612268</c:v>
                </c:pt>
                <c:pt idx="502">
                  <c:v>971.80306122448997</c:v>
                </c:pt>
                <c:pt idx="503">
                  <c:v>972.65612244897966</c:v>
                </c:pt>
                <c:pt idx="504">
                  <c:v>973.51734693877552</c:v>
                </c:pt>
                <c:pt idx="505">
                  <c:v>973.82142857142856</c:v>
                </c:pt>
                <c:pt idx="506">
                  <c:v>973.711224489796</c:v>
                </c:pt>
                <c:pt idx="507">
                  <c:v>973.63571428571447</c:v>
                </c:pt>
                <c:pt idx="508">
                  <c:v>973.22755102040821</c:v>
                </c:pt>
                <c:pt idx="509">
                  <c:v>972.56734693877559</c:v>
                </c:pt>
                <c:pt idx="510">
                  <c:v>971.93775510204091</c:v>
                </c:pt>
                <c:pt idx="511">
                  <c:v>971.0459183673471</c:v>
                </c:pt>
                <c:pt idx="512">
                  <c:v>969.88877551020425</c:v>
                </c:pt>
                <c:pt idx="513">
                  <c:v>968.62448979591863</c:v>
                </c:pt>
                <c:pt idx="514">
                  <c:v>967.52551020408168</c:v>
                </c:pt>
                <c:pt idx="515">
                  <c:v>966.4795918367347</c:v>
                </c:pt>
                <c:pt idx="516">
                  <c:v>965.42551020408155</c:v>
                </c:pt>
                <c:pt idx="517">
                  <c:v>964.50714285714287</c:v>
                </c:pt>
                <c:pt idx="518">
                  <c:v>963.5846938775511</c:v>
                </c:pt>
                <c:pt idx="519">
                  <c:v>962.76224489795914</c:v>
                </c:pt>
                <c:pt idx="520">
                  <c:v>962.03469387755115</c:v>
                </c:pt>
                <c:pt idx="521">
                  <c:v>961.75714285714287</c:v>
                </c:pt>
                <c:pt idx="522">
                  <c:v>961.41836734693879</c:v>
                </c:pt>
                <c:pt idx="523">
                  <c:v>960.76734693877552</c:v>
                </c:pt>
                <c:pt idx="524">
                  <c:v>959.86632653061235</c:v>
                </c:pt>
                <c:pt idx="525">
                  <c:v>959.05102040816325</c:v>
                </c:pt>
                <c:pt idx="526">
                  <c:v>958.35408163265299</c:v>
                </c:pt>
                <c:pt idx="527">
                  <c:v>957.60408163265288</c:v>
                </c:pt>
                <c:pt idx="528">
                  <c:v>956.56530612244876</c:v>
                </c:pt>
                <c:pt idx="529">
                  <c:v>955.67244897959165</c:v>
                </c:pt>
                <c:pt idx="530">
                  <c:v>955.12653061224489</c:v>
                </c:pt>
                <c:pt idx="531">
                  <c:v>954.40612244897943</c:v>
                </c:pt>
                <c:pt idx="532">
                  <c:v>953.56632653061229</c:v>
                </c:pt>
                <c:pt idx="533">
                  <c:v>952.91224489795911</c:v>
                </c:pt>
                <c:pt idx="534">
                  <c:v>952.23775510204075</c:v>
                </c:pt>
                <c:pt idx="535">
                  <c:v>951.75816326530583</c:v>
                </c:pt>
                <c:pt idx="536">
                  <c:v>951.30306122448962</c:v>
                </c:pt>
                <c:pt idx="537">
                  <c:v>950.59285714285704</c:v>
                </c:pt>
                <c:pt idx="538">
                  <c:v>949.97244897959172</c:v>
                </c:pt>
                <c:pt idx="539">
                  <c:v>949.55816326530589</c:v>
                </c:pt>
                <c:pt idx="540">
                  <c:v>949.06224489795898</c:v>
                </c:pt>
                <c:pt idx="541">
                  <c:v>948.49897959183647</c:v>
                </c:pt>
                <c:pt idx="542">
                  <c:v>947.85918367346926</c:v>
                </c:pt>
                <c:pt idx="543">
                  <c:v>946.9091836734691</c:v>
                </c:pt>
                <c:pt idx="544">
                  <c:v>946.17346938775484</c:v>
                </c:pt>
                <c:pt idx="545">
                  <c:v>945.36632653061201</c:v>
                </c:pt>
                <c:pt idx="546">
                  <c:v>944.3908163265304</c:v>
                </c:pt>
                <c:pt idx="547">
                  <c:v>943.26326530612221</c:v>
                </c:pt>
                <c:pt idx="548">
                  <c:v>942.01632653061199</c:v>
                </c:pt>
                <c:pt idx="549">
                  <c:v>940.70408163265279</c:v>
                </c:pt>
                <c:pt idx="550">
                  <c:v>939.72244897959172</c:v>
                </c:pt>
                <c:pt idx="551">
                  <c:v>938.54897959183643</c:v>
                </c:pt>
                <c:pt idx="552">
                  <c:v>937.6612244897957</c:v>
                </c:pt>
                <c:pt idx="553">
                  <c:v>937.74387755102009</c:v>
                </c:pt>
                <c:pt idx="554">
                  <c:v>938.84897959183627</c:v>
                </c:pt>
                <c:pt idx="555">
                  <c:v>939.92959183673429</c:v>
                </c:pt>
                <c:pt idx="556">
                  <c:v>940.79999999999961</c:v>
                </c:pt>
                <c:pt idx="557">
                  <c:v>942.06836734693832</c:v>
                </c:pt>
                <c:pt idx="558">
                  <c:v>943.57857142857108</c:v>
                </c:pt>
                <c:pt idx="559">
                  <c:v>945.0704081632648</c:v>
                </c:pt>
                <c:pt idx="560">
                  <c:v>946.33571428571383</c:v>
                </c:pt>
                <c:pt idx="561">
                  <c:v>948.24081632653008</c:v>
                </c:pt>
                <c:pt idx="562">
                  <c:v>950.43163265306077</c:v>
                </c:pt>
                <c:pt idx="563">
                  <c:v>952.07653061224448</c:v>
                </c:pt>
                <c:pt idx="564">
                  <c:v>953.5102040816322</c:v>
                </c:pt>
                <c:pt idx="565">
                  <c:v>954.89897959183634</c:v>
                </c:pt>
                <c:pt idx="566">
                  <c:v>955.98469387755074</c:v>
                </c:pt>
                <c:pt idx="567">
                  <c:v>956.82551020408141</c:v>
                </c:pt>
                <c:pt idx="568">
                  <c:v>957.65918367346933</c:v>
                </c:pt>
                <c:pt idx="569">
                  <c:v>958.69897959183675</c:v>
                </c:pt>
                <c:pt idx="570">
                  <c:v>959.8112244897959</c:v>
                </c:pt>
                <c:pt idx="571">
                  <c:v>960.68265306122441</c:v>
                </c:pt>
                <c:pt idx="572">
                  <c:v>961.81836734693889</c:v>
                </c:pt>
                <c:pt idx="573">
                  <c:v>962.76734693877563</c:v>
                </c:pt>
                <c:pt idx="574">
                  <c:v>963.81428571428592</c:v>
                </c:pt>
                <c:pt idx="575">
                  <c:v>964.9816326530613</c:v>
                </c:pt>
                <c:pt idx="576">
                  <c:v>966.5653061224491</c:v>
                </c:pt>
                <c:pt idx="577">
                  <c:v>968.06224489795943</c:v>
                </c:pt>
                <c:pt idx="578">
                  <c:v>969.42959183673509</c:v>
                </c:pt>
                <c:pt idx="579">
                  <c:v>970.82040816326571</c:v>
                </c:pt>
                <c:pt idx="580">
                  <c:v>972.36734693877577</c:v>
                </c:pt>
                <c:pt idx="581">
                  <c:v>974.19285714285752</c:v>
                </c:pt>
                <c:pt idx="582">
                  <c:v>976.0275510204084</c:v>
                </c:pt>
                <c:pt idx="583">
                  <c:v>977.56326530612284</c:v>
                </c:pt>
                <c:pt idx="584">
                  <c:v>978.30408163265338</c:v>
                </c:pt>
                <c:pt idx="585">
                  <c:v>979.08469387755122</c:v>
                </c:pt>
                <c:pt idx="586">
                  <c:v>980.37959183673502</c:v>
                </c:pt>
                <c:pt idx="587">
                  <c:v>982.25102040816353</c:v>
                </c:pt>
                <c:pt idx="588">
                  <c:v>983.48775510204098</c:v>
                </c:pt>
                <c:pt idx="589">
                  <c:v>985.02857142857158</c:v>
                </c:pt>
                <c:pt idx="590">
                  <c:v>986.5653061224491</c:v>
                </c:pt>
                <c:pt idx="591">
                  <c:v>988.21632653061249</c:v>
                </c:pt>
                <c:pt idx="592">
                  <c:v>990.38571428571458</c:v>
                </c:pt>
                <c:pt idx="593">
                  <c:v>992.50204081632683</c:v>
                </c:pt>
                <c:pt idx="594">
                  <c:v>994.50000000000011</c:v>
                </c:pt>
                <c:pt idx="595">
                  <c:v>996.55612244897964</c:v>
                </c:pt>
                <c:pt idx="596">
                  <c:v>998.66632653061231</c:v>
                </c:pt>
                <c:pt idx="597">
                  <c:v>1000.5591836734695</c:v>
                </c:pt>
                <c:pt idx="598">
                  <c:v>1001.8612244897962</c:v>
                </c:pt>
                <c:pt idx="599">
                  <c:v>1003.3122448979592</c:v>
                </c:pt>
                <c:pt idx="600">
                  <c:v>1004.5602040816326</c:v>
                </c:pt>
                <c:pt idx="601">
                  <c:v>1006.0520408163266</c:v>
                </c:pt>
                <c:pt idx="602">
                  <c:v>1006.6948979591838</c:v>
                </c:pt>
                <c:pt idx="603">
                  <c:v>1006.7602040816327</c:v>
                </c:pt>
                <c:pt idx="604">
                  <c:v>1007.1683673469388</c:v>
                </c:pt>
                <c:pt idx="605">
                  <c:v>1008.0816326530613</c:v>
                </c:pt>
                <c:pt idx="606">
                  <c:v>1008.8551020408165</c:v>
                </c:pt>
                <c:pt idx="607">
                  <c:v>1009.5663265306123</c:v>
                </c:pt>
                <c:pt idx="608">
                  <c:v>1010.5255102040817</c:v>
                </c:pt>
                <c:pt idx="609">
                  <c:v>1011.4928571428571</c:v>
                </c:pt>
                <c:pt idx="610">
                  <c:v>1011.9122448979592</c:v>
                </c:pt>
                <c:pt idx="611">
                  <c:v>1012.3775510204082</c:v>
                </c:pt>
                <c:pt idx="612">
                  <c:v>1012.8826530612243</c:v>
                </c:pt>
                <c:pt idx="613">
                  <c:v>1013.6326530612242</c:v>
                </c:pt>
                <c:pt idx="614">
                  <c:v>1015.2704081632652</c:v>
                </c:pt>
                <c:pt idx="615">
                  <c:v>1017.0653061224488</c:v>
                </c:pt>
                <c:pt idx="616">
                  <c:v>1018.9785714285714</c:v>
                </c:pt>
                <c:pt idx="617">
                  <c:v>1021.0602040816325</c:v>
                </c:pt>
                <c:pt idx="618">
                  <c:v>1022.8091836734691</c:v>
                </c:pt>
                <c:pt idx="619">
                  <c:v>1024.2948979591836</c:v>
                </c:pt>
                <c:pt idx="620">
                  <c:v>1025.9326530612243</c:v>
                </c:pt>
                <c:pt idx="621">
                  <c:v>1027.6581632653058</c:v>
                </c:pt>
                <c:pt idx="622">
                  <c:v>1029.7265306122445</c:v>
                </c:pt>
                <c:pt idx="623">
                  <c:v>1031.6918367346934</c:v>
                </c:pt>
                <c:pt idx="624">
                  <c:v>1033.6112244897956</c:v>
                </c:pt>
                <c:pt idx="625">
                  <c:v>1035.4530612244894</c:v>
                </c:pt>
                <c:pt idx="626">
                  <c:v>1037.5448979591831</c:v>
                </c:pt>
                <c:pt idx="627">
                  <c:v>1039.6275510204077</c:v>
                </c:pt>
                <c:pt idx="628">
                  <c:v>1041.6122448979588</c:v>
                </c:pt>
                <c:pt idx="629">
                  <c:v>1043.501020408163</c:v>
                </c:pt>
                <c:pt idx="630">
                  <c:v>1045.1387755102039</c:v>
                </c:pt>
                <c:pt idx="631">
                  <c:v>1046.8418367346935</c:v>
                </c:pt>
                <c:pt idx="632">
                  <c:v>1048.6908163265305</c:v>
                </c:pt>
                <c:pt idx="633">
                  <c:v>1050.7204081632651</c:v>
                </c:pt>
                <c:pt idx="634">
                  <c:v>1052.574489795918</c:v>
                </c:pt>
                <c:pt idx="635">
                  <c:v>1054.1999999999996</c:v>
                </c:pt>
                <c:pt idx="636">
                  <c:v>1055.3091836734691</c:v>
                </c:pt>
                <c:pt idx="637">
                  <c:v>1057.1040816326529</c:v>
                </c:pt>
                <c:pt idx="638">
                  <c:v>1059.0857142857142</c:v>
                </c:pt>
                <c:pt idx="639">
                  <c:v>1060.9836734693879</c:v>
                </c:pt>
                <c:pt idx="640">
                  <c:v>1062.7693877551021</c:v>
                </c:pt>
                <c:pt idx="641">
                  <c:v>1063.7938775510204</c:v>
                </c:pt>
                <c:pt idx="642">
                  <c:v>1064.6489795918369</c:v>
                </c:pt>
                <c:pt idx="643">
                  <c:v>1065.2908163265308</c:v>
                </c:pt>
                <c:pt idx="644">
                  <c:v>1066.1836734693879</c:v>
                </c:pt>
                <c:pt idx="645">
                  <c:v>1067.4132653061226</c:v>
                </c:pt>
                <c:pt idx="646">
                  <c:v>1068.80306122449</c:v>
                </c:pt>
                <c:pt idx="647">
                  <c:v>1070.995918367347</c:v>
                </c:pt>
                <c:pt idx="648">
                  <c:v>1073.098979591837</c:v>
                </c:pt>
                <c:pt idx="649">
                  <c:v>1075.380612244898</c:v>
                </c:pt>
                <c:pt idx="650">
                  <c:v>1078.2448979591836</c:v>
                </c:pt>
                <c:pt idx="651">
                  <c:v>1080.8510204081633</c:v>
                </c:pt>
                <c:pt idx="652">
                  <c:v>1083.3571428571431</c:v>
                </c:pt>
                <c:pt idx="653">
                  <c:v>1085.7816326530615</c:v>
                </c:pt>
                <c:pt idx="654">
                  <c:v>1087.8744897959186</c:v>
                </c:pt>
                <c:pt idx="655">
                  <c:v>1089.5714285714289</c:v>
                </c:pt>
                <c:pt idx="656">
                  <c:v>1091.0214285714289</c:v>
                </c:pt>
                <c:pt idx="657">
                  <c:v>1092.1030612244899</c:v>
                </c:pt>
                <c:pt idx="658">
                  <c:v>1093.2408163265309</c:v>
                </c:pt>
                <c:pt idx="659">
                  <c:v>1094.7469387755107</c:v>
                </c:pt>
                <c:pt idx="660">
                  <c:v>1095.9785714285717</c:v>
                </c:pt>
                <c:pt idx="661">
                  <c:v>1097.5734693877555</c:v>
                </c:pt>
                <c:pt idx="662">
                  <c:v>1099.182653061225</c:v>
                </c:pt>
                <c:pt idx="663">
                  <c:v>1100.0724489795921</c:v>
                </c:pt>
                <c:pt idx="664">
                  <c:v>1100.6561224489799</c:v>
                </c:pt>
                <c:pt idx="665">
                  <c:v>1101.1265306122452</c:v>
                </c:pt>
                <c:pt idx="666">
                  <c:v>1101.8897959183676</c:v>
                </c:pt>
                <c:pt idx="667">
                  <c:v>1102.787755102041</c:v>
                </c:pt>
                <c:pt idx="668">
                  <c:v>1103.8306122448982</c:v>
                </c:pt>
                <c:pt idx="669">
                  <c:v>1104.8530612244899</c:v>
                </c:pt>
                <c:pt idx="670">
                  <c:v>1105.2214285714288</c:v>
                </c:pt>
                <c:pt idx="671">
                  <c:v>1105.8357142857144</c:v>
                </c:pt>
                <c:pt idx="672">
                  <c:v>1106.6663265306124</c:v>
                </c:pt>
                <c:pt idx="673">
                  <c:v>1108.2744897959185</c:v>
                </c:pt>
                <c:pt idx="674">
                  <c:v>1108.0193877551019</c:v>
                </c:pt>
                <c:pt idx="675">
                  <c:v>1108.5122448979591</c:v>
                </c:pt>
                <c:pt idx="676">
                  <c:v>1109.0959183673469</c:v>
                </c:pt>
                <c:pt idx="677">
                  <c:v>1109.7367346938775</c:v>
                </c:pt>
                <c:pt idx="678">
                  <c:v>1110.5551020408163</c:v>
                </c:pt>
                <c:pt idx="679">
                  <c:v>1111.2581632653059</c:v>
                </c:pt>
                <c:pt idx="680">
                  <c:v>1111.7938775510204</c:v>
                </c:pt>
                <c:pt idx="681">
                  <c:v>1111.9510204081632</c:v>
                </c:pt>
                <c:pt idx="682">
                  <c:v>1112.4499999999998</c:v>
                </c:pt>
                <c:pt idx="683">
                  <c:v>1113.3816326530609</c:v>
                </c:pt>
                <c:pt idx="684">
                  <c:v>1114.7204081632651</c:v>
                </c:pt>
                <c:pt idx="685">
                  <c:v>1116.2183673469385</c:v>
                </c:pt>
                <c:pt idx="686">
                  <c:v>1117.6775510204081</c:v>
                </c:pt>
                <c:pt idx="687">
                  <c:v>1118.9642857142856</c:v>
                </c:pt>
                <c:pt idx="688">
                  <c:v>1120.7714285714283</c:v>
                </c:pt>
                <c:pt idx="689">
                  <c:v>1123.0897959183671</c:v>
                </c:pt>
                <c:pt idx="690">
                  <c:v>1125.9785714285713</c:v>
                </c:pt>
                <c:pt idx="691">
                  <c:v>1128.6836734693877</c:v>
                </c:pt>
                <c:pt idx="692">
                  <c:v>1131.8755102040816</c:v>
                </c:pt>
                <c:pt idx="693">
                  <c:v>1134.3928571428569</c:v>
                </c:pt>
                <c:pt idx="694">
                  <c:v>1136.7387755102038</c:v>
                </c:pt>
                <c:pt idx="695">
                  <c:v>1139.6520408163262</c:v>
                </c:pt>
                <c:pt idx="696">
                  <c:v>1142.4408163265307</c:v>
                </c:pt>
                <c:pt idx="697">
                  <c:v>1144.9163265306122</c:v>
                </c:pt>
                <c:pt idx="698">
                  <c:v>1147.7806122448981</c:v>
                </c:pt>
                <c:pt idx="699">
                  <c:v>1149.4755102040815</c:v>
                </c:pt>
                <c:pt idx="700">
                  <c:v>1151.2724489795919</c:v>
                </c:pt>
                <c:pt idx="701">
                  <c:v>1153.1795918367345</c:v>
                </c:pt>
                <c:pt idx="702">
                  <c:v>1154.9734693877551</c:v>
                </c:pt>
                <c:pt idx="703">
                  <c:v>1156.8836734693878</c:v>
                </c:pt>
                <c:pt idx="704">
                  <c:v>1159.3000000000002</c:v>
                </c:pt>
                <c:pt idx="705">
                  <c:v>1161.8642857142856</c:v>
                </c:pt>
                <c:pt idx="706">
                  <c:v>1164.4244897959184</c:v>
                </c:pt>
                <c:pt idx="707">
                  <c:v>1166.6632653061224</c:v>
                </c:pt>
                <c:pt idx="708">
                  <c:v>1168.6020408163265</c:v>
                </c:pt>
                <c:pt idx="709">
                  <c:v>1170.1806122448979</c:v>
                </c:pt>
                <c:pt idx="710">
                  <c:v>1171.8714285714286</c:v>
                </c:pt>
                <c:pt idx="711">
                  <c:v>1173.5377551020408</c:v>
                </c:pt>
                <c:pt idx="712">
                  <c:v>1175.1489795918367</c:v>
                </c:pt>
                <c:pt idx="713">
                  <c:v>1177.0663265306121</c:v>
                </c:pt>
                <c:pt idx="714">
                  <c:v>1179.0867346938774</c:v>
                </c:pt>
                <c:pt idx="715">
                  <c:v>1180.3530612244897</c:v>
                </c:pt>
                <c:pt idx="716">
                  <c:v>1181.1826530612243</c:v>
                </c:pt>
                <c:pt idx="717">
                  <c:v>1181.9387755102039</c:v>
                </c:pt>
                <c:pt idx="718">
                  <c:v>1182.8673469387752</c:v>
                </c:pt>
                <c:pt idx="719">
                  <c:v>1184.1448979591835</c:v>
                </c:pt>
                <c:pt idx="720">
                  <c:v>1185.3265306122446</c:v>
                </c:pt>
                <c:pt idx="721">
                  <c:v>1186.3826530612243</c:v>
                </c:pt>
                <c:pt idx="722">
                  <c:v>1186.5530612244895</c:v>
                </c:pt>
                <c:pt idx="723">
                  <c:v>1188.3938775510203</c:v>
                </c:pt>
                <c:pt idx="724">
                  <c:v>1189.9979591836734</c:v>
                </c:pt>
                <c:pt idx="725">
                  <c:v>1191.334693877551</c:v>
                </c:pt>
                <c:pt idx="726">
                  <c:v>1192.5132653061223</c:v>
                </c:pt>
                <c:pt idx="727">
                  <c:v>1193.5551020408161</c:v>
                </c:pt>
                <c:pt idx="728">
                  <c:v>1195.042857142857</c:v>
                </c:pt>
                <c:pt idx="729">
                  <c:v>1196.7561224489796</c:v>
                </c:pt>
                <c:pt idx="730">
                  <c:v>1198.9183673469386</c:v>
                </c:pt>
                <c:pt idx="731">
                  <c:v>1201.3816326530612</c:v>
                </c:pt>
                <c:pt idx="732">
                  <c:v>1203.4428571428571</c:v>
                </c:pt>
                <c:pt idx="733">
                  <c:v>1205.0234693877551</c:v>
                </c:pt>
                <c:pt idx="734">
                  <c:v>1206.5010204081634</c:v>
                </c:pt>
                <c:pt idx="735">
                  <c:v>1207.9561224489796</c:v>
                </c:pt>
                <c:pt idx="736">
                  <c:v>1209.5397959183672</c:v>
                </c:pt>
                <c:pt idx="737">
                  <c:v>1210.3234693877548</c:v>
                </c:pt>
                <c:pt idx="738">
                  <c:v>1210.6897959183671</c:v>
                </c:pt>
                <c:pt idx="739">
                  <c:v>1210.4499999999998</c:v>
                </c:pt>
                <c:pt idx="740">
                  <c:v>1211.1724489795915</c:v>
                </c:pt>
                <c:pt idx="741">
                  <c:v>1211.6918367346937</c:v>
                </c:pt>
                <c:pt idx="742">
                  <c:v>1212.6255102040814</c:v>
                </c:pt>
                <c:pt idx="743">
                  <c:v>1213.6571428571424</c:v>
                </c:pt>
                <c:pt idx="744">
                  <c:v>1214.0112244897955</c:v>
                </c:pt>
                <c:pt idx="745">
                  <c:v>1214.6122448979588</c:v>
                </c:pt>
                <c:pt idx="746">
                  <c:v>1215.286734693877</c:v>
                </c:pt>
                <c:pt idx="747">
                  <c:v>1216.1051020408158</c:v>
                </c:pt>
                <c:pt idx="748">
                  <c:v>1217.1010204081629</c:v>
                </c:pt>
                <c:pt idx="749">
                  <c:v>1219.1418367346935</c:v>
                </c:pt>
                <c:pt idx="750">
                  <c:v>1220.9581632653058</c:v>
                </c:pt>
                <c:pt idx="751">
                  <c:v>1222.7673469387751</c:v>
                </c:pt>
                <c:pt idx="752">
                  <c:v>1224.4806122448977</c:v>
                </c:pt>
                <c:pt idx="753">
                  <c:v>1226.0877551020403</c:v>
                </c:pt>
                <c:pt idx="754">
                  <c:v>1227.2704081632648</c:v>
                </c:pt>
                <c:pt idx="755">
                  <c:v>1227.9204081632649</c:v>
                </c:pt>
                <c:pt idx="756">
                  <c:v>1228.8928571428569</c:v>
                </c:pt>
                <c:pt idx="757">
                  <c:v>1229.5734693877548</c:v>
                </c:pt>
                <c:pt idx="758">
                  <c:v>1230.4275510204081</c:v>
                </c:pt>
                <c:pt idx="759">
                  <c:v>1230.9724489795917</c:v>
                </c:pt>
                <c:pt idx="760">
                  <c:v>1231.4602040816326</c:v>
                </c:pt>
                <c:pt idx="761">
                  <c:v>1232.1683673469386</c:v>
                </c:pt>
                <c:pt idx="762">
                  <c:v>1232.7520408163264</c:v>
                </c:pt>
                <c:pt idx="763">
                  <c:v>1233.0153061224489</c:v>
                </c:pt>
                <c:pt idx="764">
                  <c:v>1233.7336734693874</c:v>
                </c:pt>
                <c:pt idx="765">
                  <c:v>1235.4255102040815</c:v>
                </c:pt>
                <c:pt idx="766">
                  <c:v>1236.9826530612245</c:v>
                </c:pt>
                <c:pt idx="767">
                  <c:v>1238.1826530612245</c:v>
                </c:pt>
                <c:pt idx="768">
                  <c:v>1240.2214285714285</c:v>
                </c:pt>
                <c:pt idx="769">
                  <c:v>1242.0061224489796</c:v>
                </c:pt>
                <c:pt idx="770">
                  <c:v>1243.9387755102041</c:v>
                </c:pt>
                <c:pt idx="771">
                  <c:v>1245.6377551020407</c:v>
                </c:pt>
                <c:pt idx="772">
                  <c:v>1247.4969387755102</c:v>
                </c:pt>
                <c:pt idx="773">
                  <c:v>1248.8887755102041</c:v>
                </c:pt>
                <c:pt idx="774">
                  <c:v>1251.2755102040817</c:v>
                </c:pt>
                <c:pt idx="775">
                  <c:v>1254.3857142857141</c:v>
                </c:pt>
                <c:pt idx="776">
                  <c:v>1257.1877551020407</c:v>
                </c:pt>
                <c:pt idx="777">
                  <c:v>1259.2520408163264</c:v>
                </c:pt>
                <c:pt idx="778">
                  <c:v>1260.7561224489793</c:v>
                </c:pt>
                <c:pt idx="779">
                  <c:v>1262.4581632653058</c:v>
                </c:pt>
                <c:pt idx="780">
                  <c:v>1264.0091836734691</c:v>
                </c:pt>
                <c:pt idx="781">
                  <c:v>1265.1285714285711</c:v>
                </c:pt>
                <c:pt idx="782">
                  <c:v>1265.8826530612241</c:v>
                </c:pt>
                <c:pt idx="783">
                  <c:v>1266.701020408163</c:v>
                </c:pt>
                <c:pt idx="784">
                  <c:v>1267.5306122448976</c:v>
                </c:pt>
                <c:pt idx="785">
                  <c:v>1267.6530612244894</c:v>
                </c:pt>
                <c:pt idx="786">
                  <c:v>1268.0734693877546</c:v>
                </c:pt>
                <c:pt idx="787">
                  <c:v>1268.4306122448975</c:v>
                </c:pt>
                <c:pt idx="788">
                  <c:v>1269.2663265306119</c:v>
                </c:pt>
                <c:pt idx="789">
                  <c:v>1269.5836734693873</c:v>
                </c:pt>
                <c:pt idx="790">
                  <c:v>1270.4153061224486</c:v>
                </c:pt>
                <c:pt idx="791">
                  <c:v>1271.7336734693874</c:v>
                </c:pt>
                <c:pt idx="792">
                  <c:v>1272.8112244897954</c:v>
                </c:pt>
                <c:pt idx="793">
                  <c:v>1273.8387755102035</c:v>
                </c:pt>
                <c:pt idx="794">
                  <c:v>1274.3183673469382</c:v>
                </c:pt>
                <c:pt idx="795">
                  <c:v>1274.9714285714279</c:v>
                </c:pt>
                <c:pt idx="796">
                  <c:v>1275.3040816326525</c:v>
                </c:pt>
                <c:pt idx="797">
                  <c:v>1275.6387755102037</c:v>
                </c:pt>
                <c:pt idx="798">
                  <c:v>1275.1816326530609</c:v>
                </c:pt>
                <c:pt idx="799">
                  <c:v>1275.4795918367342</c:v>
                </c:pt>
                <c:pt idx="800">
                  <c:v>1275.686734693877</c:v>
                </c:pt>
                <c:pt idx="801">
                  <c:v>1275.655102040816</c:v>
                </c:pt>
                <c:pt idx="802">
                  <c:v>1275.6836734693875</c:v>
                </c:pt>
                <c:pt idx="803">
                  <c:v>1276.1102040816324</c:v>
                </c:pt>
                <c:pt idx="804">
                  <c:v>1277.2581632653059</c:v>
                </c:pt>
                <c:pt idx="805">
                  <c:v>1278.69693877551</c:v>
                </c:pt>
                <c:pt idx="806">
                  <c:v>1280.5285714285712</c:v>
                </c:pt>
                <c:pt idx="807">
                  <c:v>1282.44693877551</c:v>
                </c:pt>
                <c:pt idx="808">
                  <c:v>1284.0846938775508</c:v>
                </c:pt>
                <c:pt idx="809">
                  <c:v>1285.1112244897959</c:v>
                </c:pt>
                <c:pt idx="810">
                  <c:v>1286.0142857142857</c:v>
                </c:pt>
                <c:pt idx="811">
                  <c:v>1287.1020408163267</c:v>
                </c:pt>
                <c:pt idx="812">
                  <c:v>1288.6173469387757</c:v>
                </c:pt>
                <c:pt idx="813">
                  <c:v>1289.9561224489796</c:v>
                </c:pt>
                <c:pt idx="814">
                  <c:v>1291.0183673469387</c:v>
                </c:pt>
                <c:pt idx="815">
                  <c:v>1292.0693877551023</c:v>
                </c:pt>
                <c:pt idx="816">
                  <c:v>1293.0979591836738</c:v>
                </c:pt>
                <c:pt idx="817">
                  <c:v>1293.4887755102045</c:v>
                </c:pt>
                <c:pt idx="818">
                  <c:v>1294.1326530612248</c:v>
                </c:pt>
                <c:pt idx="819">
                  <c:v>1294.0826530612248</c:v>
                </c:pt>
                <c:pt idx="820">
                  <c:v>1294.3377551020412</c:v>
                </c:pt>
                <c:pt idx="821">
                  <c:v>1294.8785714285718</c:v>
                </c:pt>
                <c:pt idx="822">
                  <c:v>1295.0479591836738</c:v>
                </c:pt>
                <c:pt idx="823">
                  <c:v>1294.4265306122452</c:v>
                </c:pt>
                <c:pt idx="824">
                  <c:v>1292.75306122449</c:v>
                </c:pt>
                <c:pt idx="825">
                  <c:v>1291.0714285714289</c:v>
                </c:pt>
                <c:pt idx="826">
                  <c:v>1290.0112244897962</c:v>
                </c:pt>
                <c:pt idx="827">
                  <c:v>1289.2163265306126</c:v>
                </c:pt>
                <c:pt idx="828">
                  <c:v>1288.2448979591841</c:v>
                </c:pt>
                <c:pt idx="829">
                  <c:v>1286.675510204082</c:v>
                </c:pt>
                <c:pt idx="830">
                  <c:v>1285.7418367346941</c:v>
                </c:pt>
                <c:pt idx="831">
                  <c:v>1284.4622448979594</c:v>
                </c:pt>
                <c:pt idx="832">
                  <c:v>1283.0571428571432</c:v>
                </c:pt>
                <c:pt idx="833">
                  <c:v>1281.6520408163267</c:v>
                </c:pt>
                <c:pt idx="834">
                  <c:v>1280.7438775510204</c:v>
                </c:pt>
                <c:pt idx="835">
                  <c:v>1280.1520408163265</c:v>
                </c:pt>
                <c:pt idx="836">
                  <c:v>1280.0183673469387</c:v>
                </c:pt>
                <c:pt idx="837">
                  <c:v>1280.0704081632653</c:v>
                </c:pt>
                <c:pt idx="838">
                  <c:v>1280.1734693877549</c:v>
                </c:pt>
                <c:pt idx="839">
                  <c:v>1279.658163265306</c:v>
                </c:pt>
                <c:pt idx="840">
                  <c:v>1278.6795918367345</c:v>
                </c:pt>
                <c:pt idx="841">
                  <c:v>1277.9295918367345</c:v>
                </c:pt>
                <c:pt idx="842">
                  <c:v>1277.2561224489793</c:v>
                </c:pt>
                <c:pt idx="843">
                  <c:v>1276.9714285714283</c:v>
                </c:pt>
                <c:pt idx="844">
                  <c:v>1276.0897959183671</c:v>
                </c:pt>
                <c:pt idx="845">
                  <c:v>1275.2316326530611</c:v>
                </c:pt>
                <c:pt idx="846">
                  <c:v>1274.0959183673465</c:v>
                </c:pt>
                <c:pt idx="847">
                  <c:v>1272.7846938775508</c:v>
                </c:pt>
                <c:pt idx="848">
                  <c:v>1270.99693877551</c:v>
                </c:pt>
                <c:pt idx="849">
                  <c:v>1269.5959183673467</c:v>
                </c:pt>
                <c:pt idx="850">
                  <c:v>1268.1438775510201</c:v>
                </c:pt>
                <c:pt idx="851">
                  <c:v>1266.3602040816324</c:v>
                </c:pt>
                <c:pt idx="852">
                  <c:v>1265.0163265306121</c:v>
                </c:pt>
                <c:pt idx="853">
                  <c:v>1263.3979591836733</c:v>
                </c:pt>
                <c:pt idx="854">
                  <c:v>1261.1132653061222</c:v>
                </c:pt>
                <c:pt idx="855">
                  <c:v>1258.5061224489796</c:v>
                </c:pt>
                <c:pt idx="856">
                  <c:v>1256.2693877551019</c:v>
                </c:pt>
                <c:pt idx="857">
                  <c:v>1254.3979591836735</c:v>
                </c:pt>
                <c:pt idx="858">
                  <c:v>1252.708163265306</c:v>
                </c:pt>
                <c:pt idx="859">
                  <c:v>1251.0306122448978</c:v>
                </c:pt>
                <c:pt idx="860">
                  <c:v>1249.2673469387755</c:v>
                </c:pt>
                <c:pt idx="861">
                  <c:v>1247.6030612244897</c:v>
                </c:pt>
                <c:pt idx="862">
                  <c:v>1245.9846938775509</c:v>
                </c:pt>
                <c:pt idx="863">
                  <c:v>1244.0867346938776</c:v>
                </c:pt>
                <c:pt idx="864">
                  <c:v>1242.4581632653062</c:v>
                </c:pt>
                <c:pt idx="865">
                  <c:v>1241.718367346939</c:v>
                </c:pt>
                <c:pt idx="866">
                  <c:v>1240.908163265306</c:v>
                </c:pt>
                <c:pt idx="867">
                  <c:v>1240.080612244898</c:v>
                </c:pt>
                <c:pt idx="868">
                  <c:v>1240.161224489796</c:v>
                </c:pt>
                <c:pt idx="869">
                  <c:v>1241.0948979591838</c:v>
                </c:pt>
                <c:pt idx="870">
                  <c:v>1241.7857142857142</c:v>
                </c:pt>
                <c:pt idx="871">
                  <c:v>1242.9683673469387</c:v>
                </c:pt>
                <c:pt idx="872">
                  <c:v>1244.6153061224486</c:v>
                </c:pt>
                <c:pt idx="873">
                  <c:v>1246.8255102040814</c:v>
                </c:pt>
                <c:pt idx="874">
                  <c:v>1249.151020408163</c:v>
                </c:pt>
                <c:pt idx="875">
                  <c:v>1251.1020408163263</c:v>
                </c:pt>
                <c:pt idx="876">
                  <c:v>1253.1102040816324</c:v>
                </c:pt>
                <c:pt idx="877">
                  <c:v>1255.1357142857141</c:v>
                </c:pt>
                <c:pt idx="878">
                  <c:v>1257.0336734693874</c:v>
                </c:pt>
                <c:pt idx="879">
                  <c:v>1259.0397959183672</c:v>
                </c:pt>
                <c:pt idx="880">
                  <c:v>1261.7622448979591</c:v>
                </c:pt>
                <c:pt idx="881">
                  <c:v>1264.5142857142857</c:v>
                </c:pt>
                <c:pt idx="882">
                  <c:v>1266.2653061224491</c:v>
                </c:pt>
                <c:pt idx="883">
                  <c:v>1268.1163265306125</c:v>
                </c:pt>
                <c:pt idx="884">
                  <c:v>1269.6030612244899</c:v>
                </c:pt>
                <c:pt idx="885">
                  <c:v>1270.9244897959186</c:v>
                </c:pt>
                <c:pt idx="886">
                  <c:v>1272.9357142857143</c:v>
                </c:pt>
                <c:pt idx="887">
                  <c:v>1274.9928571428572</c:v>
                </c:pt>
                <c:pt idx="888">
                  <c:v>1278.1336734693878</c:v>
                </c:pt>
                <c:pt idx="889">
                  <c:v>1281.3336734693878</c:v>
                </c:pt>
                <c:pt idx="890">
                  <c:v>1284.3602040816329</c:v>
                </c:pt>
                <c:pt idx="891">
                  <c:v>1287.5581632653063</c:v>
                </c:pt>
                <c:pt idx="892">
                  <c:v>1290.2173469387756</c:v>
                </c:pt>
                <c:pt idx="893">
                  <c:v>1293.2357142857145</c:v>
                </c:pt>
                <c:pt idx="894">
                  <c:v>1296.6275510204084</c:v>
                </c:pt>
                <c:pt idx="895">
                  <c:v>1300.2408163265309</c:v>
                </c:pt>
                <c:pt idx="896">
                  <c:v>1303.8163265306125</c:v>
                </c:pt>
                <c:pt idx="897">
                  <c:v>1307.5612244897964</c:v>
                </c:pt>
                <c:pt idx="898">
                  <c:v>1311.0163265306126</c:v>
                </c:pt>
                <c:pt idx="899">
                  <c:v>1314.6989795918371</c:v>
                </c:pt>
                <c:pt idx="900">
                  <c:v>1318.6244897959189</c:v>
                </c:pt>
                <c:pt idx="901">
                  <c:v>1322.1724489795922</c:v>
                </c:pt>
                <c:pt idx="902">
                  <c:v>1325.0081632653068</c:v>
                </c:pt>
                <c:pt idx="903">
                  <c:v>1329.4071428571433</c:v>
                </c:pt>
                <c:pt idx="904">
                  <c:v>1333.7387755102045</c:v>
                </c:pt>
                <c:pt idx="905">
                  <c:v>1337.8622448979595</c:v>
                </c:pt>
                <c:pt idx="906">
                  <c:v>1342.5224489795919</c:v>
                </c:pt>
                <c:pt idx="907">
                  <c:v>1347.622448979592</c:v>
                </c:pt>
                <c:pt idx="908">
                  <c:v>1352.5775510204085</c:v>
                </c:pt>
                <c:pt idx="909">
                  <c:v>1357.2265306122454</c:v>
                </c:pt>
                <c:pt idx="910">
                  <c:v>1361.9</c:v>
                </c:pt>
                <c:pt idx="911">
                  <c:v>1366.4724489795919</c:v>
                </c:pt>
                <c:pt idx="912">
                  <c:v>1371.2734693877553</c:v>
                </c:pt>
                <c:pt idx="913">
                  <c:v>1376.2887755102042</c:v>
                </c:pt>
                <c:pt idx="914">
                  <c:v>1380.3908163265307</c:v>
                </c:pt>
                <c:pt idx="915">
                  <c:v>1384.6734693877552</c:v>
                </c:pt>
                <c:pt idx="916">
                  <c:v>1388.8867346938778</c:v>
                </c:pt>
                <c:pt idx="917">
                  <c:v>1392.4948979591841</c:v>
                </c:pt>
                <c:pt idx="918">
                  <c:v>1395.3653061224491</c:v>
                </c:pt>
                <c:pt idx="919">
                  <c:v>1397.9122448979592</c:v>
                </c:pt>
                <c:pt idx="920">
                  <c:v>1400.1428571428571</c:v>
                </c:pt>
                <c:pt idx="921">
                  <c:v>1402.4224489795918</c:v>
                </c:pt>
                <c:pt idx="922">
                  <c:v>1404.4948979591836</c:v>
                </c:pt>
                <c:pt idx="923">
                  <c:v>1406.3540816326531</c:v>
                </c:pt>
                <c:pt idx="924">
                  <c:v>1408.1295918367348</c:v>
                </c:pt>
                <c:pt idx="925">
                  <c:v>1410.0551020408163</c:v>
                </c:pt>
                <c:pt idx="926">
                  <c:v>1411.6234693877552</c:v>
                </c:pt>
                <c:pt idx="927">
                  <c:v>1413.6163265306125</c:v>
                </c:pt>
                <c:pt idx="928">
                  <c:v>1415.5683673469389</c:v>
                </c:pt>
                <c:pt idx="929">
                  <c:v>1417.4795918367347</c:v>
                </c:pt>
                <c:pt idx="930">
                  <c:v>1419.0571428571429</c:v>
                </c:pt>
                <c:pt idx="931">
                  <c:v>1421.5826530612248</c:v>
                </c:pt>
                <c:pt idx="932">
                  <c:v>1424.1785714285718</c:v>
                </c:pt>
                <c:pt idx="933">
                  <c:v>1426.6132653061229</c:v>
                </c:pt>
                <c:pt idx="934">
                  <c:v>1428.9081632653065</c:v>
                </c:pt>
                <c:pt idx="935">
                  <c:v>1430.4510204081637</c:v>
                </c:pt>
                <c:pt idx="936">
                  <c:v>1432.1387755102044</c:v>
                </c:pt>
                <c:pt idx="937">
                  <c:v>1433.2714285714289</c:v>
                </c:pt>
                <c:pt idx="938">
                  <c:v>1434.0061224489796</c:v>
                </c:pt>
                <c:pt idx="939">
                  <c:v>1434.3224489795919</c:v>
                </c:pt>
                <c:pt idx="940">
                  <c:v>1434.3918367346942</c:v>
                </c:pt>
                <c:pt idx="941">
                  <c:v>1434.8653061224488</c:v>
                </c:pt>
                <c:pt idx="942">
                  <c:v>1435.6408163265305</c:v>
                </c:pt>
                <c:pt idx="943">
                  <c:v>1435.781632653061</c:v>
                </c:pt>
                <c:pt idx="944">
                  <c:v>1436.0306122448981</c:v>
                </c:pt>
                <c:pt idx="945">
                  <c:v>1436.1306122448977</c:v>
                </c:pt>
                <c:pt idx="946">
                  <c:v>1435.961224489796</c:v>
                </c:pt>
                <c:pt idx="947">
                  <c:v>1435.8081632653059</c:v>
                </c:pt>
                <c:pt idx="948">
                  <c:v>1435.6326530612246</c:v>
                </c:pt>
                <c:pt idx="949">
                  <c:v>1435.5387755102042</c:v>
                </c:pt>
                <c:pt idx="950">
                  <c:v>1435.3530612244895</c:v>
                </c:pt>
                <c:pt idx="951">
                  <c:v>1435.961224489796</c:v>
                </c:pt>
                <c:pt idx="952">
                  <c:v>1435.4979591836734</c:v>
                </c:pt>
                <c:pt idx="953">
                  <c:v>1436.2163265306124</c:v>
                </c:pt>
                <c:pt idx="954">
                  <c:v>1437.1836734693879</c:v>
                </c:pt>
                <c:pt idx="955">
                  <c:v>1437.9551020408167</c:v>
                </c:pt>
                <c:pt idx="956">
                  <c:v>1438.5551020408166</c:v>
                </c:pt>
                <c:pt idx="957">
                  <c:v>1439.1285714285718</c:v>
                </c:pt>
                <c:pt idx="958">
                  <c:v>1440.1530612244899</c:v>
                </c:pt>
                <c:pt idx="959">
                  <c:v>1441</c:v>
                </c:pt>
                <c:pt idx="960">
                  <c:v>1441.8224489795919</c:v>
                </c:pt>
                <c:pt idx="961">
                  <c:v>1442.4673469387753</c:v>
                </c:pt>
                <c:pt idx="962">
                  <c:v>1442.6918367346937</c:v>
                </c:pt>
                <c:pt idx="963">
                  <c:v>1443.034693877551</c:v>
                </c:pt>
                <c:pt idx="964">
                  <c:v>1442.8428571428572</c:v>
                </c:pt>
                <c:pt idx="965">
                  <c:v>1442.5795918367348</c:v>
                </c:pt>
                <c:pt idx="966">
                  <c:v>1442.4673469387758</c:v>
                </c:pt>
                <c:pt idx="967">
                  <c:v>1442.1693877551022</c:v>
                </c:pt>
                <c:pt idx="968">
                  <c:v>1442.1428571428571</c:v>
                </c:pt>
                <c:pt idx="969">
                  <c:v>1441.9591836734694</c:v>
                </c:pt>
                <c:pt idx="970">
                  <c:v>1441.2653061224489</c:v>
                </c:pt>
                <c:pt idx="971">
                  <c:v>1440.6040816326531</c:v>
                </c:pt>
                <c:pt idx="972">
                  <c:v>1440.6000000000004</c:v>
                </c:pt>
                <c:pt idx="973">
                  <c:v>1440.8734693877554</c:v>
                </c:pt>
                <c:pt idx="974">
                  <c:v>1440.8653061224495</c:v>
                </c:pt>
                <c:pt idx="975">
                  <c:v>1441.2897959183679</c:v>
                </c:pt>
                <c:pt idx="976">
                  <c:v>1441.704081632653</c:v>
                </c:pt>
                <c:pt idx="977">
                  <c:v>1441.8326530612246</c:v>
                </c:pt>
                <c:pt idx="978">
                  <c:v>1441.6979591836734</c:v>
                </c:pt>
                <c:pt idx="979">
                  <c:v>1441.422448979592</c:v>
                </c:pt>
                <c:pt idx="980">
                  <c:v>1441.1469387755108</c:v>
                </c:pt>
                <c:pt idx="981">
                  <c:v>1440.8183673469391</c:v>
                </c:pt>
                <c:pt idx="982">
                  <c:v>1440.2897959183672</c:v>
                </c:pt>
                <c:pt idx="983">
                  <c:v>1439.7367346938775</c:v>
                </c:pt>
                <c:pt idx="984">
                  <c:v>1439.3224489795919</c:v>
                </c:pt>
                <c:pt idx="985">
                  <c:v>1438.5816326530612</c:v>
                </c:pt>
                <c:pt idx="986">
                  <c:v>1437.3673469387754</c:v>
                </c:pt>
                <c:pt idx="987">
                  <c:v>1436.5081632653059</c:v>
                </c:pt>
                <c:pt idx="988">
                  <c:v>1435.9346938775507</c:v>
                </c:pt>
                <c:pt idx="989">
                  <c:v>1435.4</c:v>
                </c:pt>
                <c:pt idx="990">
                  <c:v>1435.2326530612245</c:v>
                </c:pt>
                <c:pt idx="991">
                  <c:v>1434.7551020408164</c:v>
                </c:pt>
                <c:pt idx="992">
                  <c:v>1434.4673469387758</c:v>
                </c:pt>
                <c:pt idx="993">
                  <c:v>1434.0020408163264</c:v>
                </c:pt>
                <c:pt idx="994">
                  <c:v>1433.7938775510204</c:v>
                </c:pt>
                <c:pt idx="995">
                  <c:v>1433.3469387755101</c:v>
                </c:pt>
                <c:pt idx="996">
                  <c:v>1432.9306122448977</c:v>
                </c:pt>
                <c:pt idx="997">
                  <c:v>1432.3448979591835</c:v>
                </c:pt>
                <c:pt idx="998">
                  <c:v>1431.3632653061222</c:v>
                </c:pt>
                <c:pt idx="999">
                  <c:v>1430.3306122448976</c:v>
                </c:pt>
                <c:pt idx="1000">
                  <c:v>1429.124489795918</c:v>
                </c:pt>
                <c:pt idx="1001">
                  <c:v>1427.538775510204</c:v>
                </c:pt>
                <c:pt idx="1002">
                  <c:v>1425.1346938775509</c:v>
                </c:pt>
                <c:pt idx="1003">
                  <c:v>1423.0612244897957</c:v>
                </c:pt>
                <c:pt idx="1004">
                  <c:v>1420.5428571428567</c:v>
                </c:pt>
                <c:pt idx="1005">
                  <c:v>1418.0938775510197</c:v>
                </c:pt>
                <c:pt idx="1006">
                  <c:v>1416.0285714285708</c:v>
                </c:pt>
                <c:pt idx="1007">
                  <c:v>1413.6183673469382</c:v>
                </c:pt>
                <c:pt idx="1008">
                  <c:v>1411.3734693877545</c:v>
                </c:pt>
                <c:pt idx="1009">
                  <c:v>1409.289795918367</c:v>
                </c:pt>
                <c:pt idx="1010">
                  <c:v>1407.2081632653058</c:v>
                </c:pt>
                <c:pt idx="1011">
                  <c:v>1405.4224489795915</c:v>
                </c:pt>
                <c:pt idx="1012">
                  <c:v>1404.1</c:v>
                </c:pt>
                <c:pt idx="1013">
                  <c:v>1403.5469387755099</c:v>
                </c:pt>
                <c:pt idx="1014">
                  <c:v>1403.4040816326531</c:v>
                </c:pt>
                <c:pt idx="1015">
                  <c:v>1402.3836734693878</c:v>
                </c:pt>
                <c:pt idx="1016">
                  <c:v>1401.2836734693878</c:v>
                </c:pt>
                <c:pt idx="1017">
                  <c:v>1399.795918367347</c:v>
                </c:pt>
                <c:pt idx="1018">
                  <c:v>1398.8918367346939</c:v>
                </c:pt>
                <c:pt idx="1019">
                  <c:v>1398.010204081633</c:v>
                </c:pt>
                <c:pt idx="1020">
                  <c:v>1396.7000000000003</c:v>
                </c:pt>
                <c:pt idx="1021">
                  <c:v>1395.3897959183676</c:v>
                </c:pt>
                <c:pt idx="1022">
                  <c:v>1393.8816326530612</c:v>
                </c:pt>
                <c:pt idx="1023">
                  <c:v>1392.1408163265307</c:v>
                </c:pt>
                <c:pt idx="1024">
                  <c:v>1390.1081632653061</c:v>
                </c:pt>
                <c:pt idx="1025">
                  <c:v>1388.0775510204082</c:v>
                </c:pt>
                <c:pt idx="1026">
                  <c:v>1385.7755102040817</c:v>
                </c:pt>
                <c:pt idx="1027">
                  <c:v>1384.2734693877553</c:v>
                </c:pt>
                <c:pt idx="1028">
                  <c:v>1383.2306122448983</c:v>
                </c:pt>
                <c:pt idx="1029">
                  <c:v>1382.4244897959188</c:v>
                </c:pt>
                <c:pt idx="1030">
                  <c:v>1381.3612244897959</c:v>
                </c:pt>
                <c:pt idx="1031">
                  <c:v>1381.1918367346941</c:v>
                </c:pt>
                <c:pt idx="1032">
                  <c:v>1380.7020408163266</c:v>
                </c:pt>
                <c:pt idx="1033">
                  <c:v>1380.1612244897965</c:v>
                </c:pt>
                <c:pt idx="1034">
                  <c:v>1379.5612244897961</c:v>
                </c:pt>
                <c:pt idx="1035">
                  <c:v>1379.1612244897965</c:v>
                </c:pt>
                <c:pt idx="1036">
                  <c:v>1378.7387755102045</c:v>
                </c:pt>
                <c:pt idx="1037">
                  <c:v>1378.0367346938779</c:v>
                </c:pt>
                <c:pt idx="1038">
                  <c:v>1377.3591836734695</c:v>
                </c:pt>
                <c:pt idx="1039">
                  <c:v>1376.1367346938778</c:v>
                </c:pt>
                <c:pt idx="1040">
                  <c:v>1375.2306122448983</c:v>
                </c:pt>
                <c:pt idx="1041">
                  <c:v>1374.6306122448982</c:v>
                </c:pt>
                <c:pt idx="1042">
                  <c:v>1374.010204081633</c:v>
                </c:pt>
                <c:pt idx="1043">
                  <c:v>1373.3653061224495</c:v>
                </c:pt>
                <c:pt idx="1044">
                  <c:v>1372.7693877551026</c:v>
                </c:pt>
                <c:pt idx="1045">
                  <c:v>1372.5653061224493</c:v>
                </c:pt>
                <c:pt idx="1046">
                  <c:v>1372.4102040816331</c:v>
                </c:pt>
                <c:pt idx="1047">
                  <c:v>1372.6102040816329</c:v>
                </c:pt>
                <c:pt idx="1048">
                  <c:v>1372.8918367346942</c:v>
                </c:pt>
                <c:pt idx="1049">
                  <c:v>1373.2102040816328</c:v>
                </c:pt>
                <c:pt idx="1050">
                  <c:v>1373.5265306122453</c:v>
                </c:pt>
                <c:pt idx="1051">
                  <c:v>1373.7714285714287</c:v>
                </c:pt>
                <c:pt idx="1052">
                  <c:v>1373.6489795918369</c:v>
                </c:pt>
                <c:pt idx="1053">
                  <c:v>1373.6489795918369</c:v>
                </c:pt>
                <c:pt idx="1054">
                  <c:v>1373.7020408163266</c:v>
                </c:pt>
                <c:pt idx="1055">
                  <c:v>1373.2224489795917</c:v>
                </c:pt>
                <c:pt idx="1056">
                  <c:v>1372.94693877551</c:v>
                </c:pt>
                <c:pt idx="1057">
                  <c:v>1372.495918367347</c:v>
                </c:pt>
                <c:pt idx="1058">
                  <c:v>1372.2551020408164</c:v>
                </c:pt>
                <c:pt idx="1059">
                  <c:v>1371.9204081632654</c:v>
                </c:pt>
                <c:pt idx="1060">
                  <c:v>1371.4244897959184</c:v>
                </c:pt>
                <c:pt idx="1061">
                  <c:v>1370.4448979591834</c:v>
                </c:pt>
                <c:pt idx="1062">
                  <c:v>1368.9346938775511</c:v>
                </c:pt>
                <c:pt idx="1063">
                  <c:v>1367.0142857142857</c:v>
                </c:pt>
                <c:pt idx="1064">
                  <c:v>1366.0469387755099</c:v>
                </c:pt>
                <c:pt idx="1065">
                  <c:v>1365.1489795918369</c:v>
                </c:pt>
                <c:pt idx="1066">
                  <c:v>1364.9795918367347</c:v>
                </c:pt>
                <c:pt idx="1067">
                  <c:v>1364.8530612244899</c:v>
                </c:pt>
                <c:pt idx="1068">
                  <c:v>1365.5387755102042</c:v>
                </c:pt>
                <c:pt idx="1069">
                  <c:v>1366.8571428571429</c:v>
                </c:pt>
                <c:pt idx="1070">
                  <c:v>1368.1755102040815</c:v>
                </c:pt>
                <c:pt idx="1071">
                  <c:v>1369.0306122448981</c:v>
                </c:pt>
                <c:pt idx="1072">
                  <c:v>1370.4142857142858</c:v>
                </c:pt>
                <c:pt idx="1073">
                  <c:v>1372.2632653061225</c:v>
                </c:pt>
                <c:pt idx="1074">
                  <c:v>1373.9265306122447</c:v>
                </c:pt>
                <c:pt idx="1075">
                  <c:v>1375.7714285714287</c:v>
                </c:pt>
                <c:pt idx="1076">
                  <c:v>1376.5387755102042</c:v>
                </c:pt>
                <c:pt idx="1077">
                  <c:v>1377.1061224489799</c:v>
                </c:pt>
                <c:pt idx="1078">
                  <c:v>1376.9163265306124</c:v>
                </c:pt>
                <c:pt idx="1079">
                  <c:v>1376.6428571428573</c:v>
                </c:pt>
                <c:pt idx="1080">
                  <c:v>1375.7755102040817</c:v>
                </c:pt>
                <c:pt idx="1081">
                  <c:v>1375.5387755102042</c:v>
                </c:pt>
                <c:pt idx="1082">
                  <c:v>1375.3081632653063</c:v>
                </c:pt>
                <c:pt idx="1083">
                  <c:v>1375.5163265306126</c:v>
                </c:pt>
                <c:pt idx="1084">
                  <c:v>1374.9428571428573</c:v>
                </c:pt>
                <c:pt idx="1085">
                  <c:v>1374.3265306122453</c:v>
                </c:pt>
                <c:pt idx="1086">
                  <c:v>1374.7387755102041</c:v>
                </c:pt>
                <c:pt idx="1087">
                  <c:v>1375.5551020408163</c:v>
                </c:pt>
                <c:pt idx="1088">
                  <c:v>1376.3448979591838</c:v>
                </c:pt>
                <c:pt idx="1089">
                  <c:v>1376.9795918367349</c:v>
                </c:pt>
                <c:pt idx="1090">
                  <c:v>1377.0632653061225</c:v>
                </c:pt>
                <c:pt idx="1091">
                  <c:v>1377.4244897959184</c:v>
                </c:pt>
                <c:pt idx="1092">
                  <c:v>1377.7510204081636</c:v>
                </c:pt>
                <c:pt idx="1093">
                  <c:v>1378.9142857142861</c:v>
                </c:pt>
                <c:pt idx="1094">
                  <c:v>1379.3857142857148</c:v>
                </c:pt>
                <c:pt idx="1095">
                  <c:v>1379.8938775510208</c:v>
                </c:pt>
                <c:pt idx="1096">
                  <c:v>1380.2000000000003</c:v>
                </c:pt>
                <c:pt idx="1097">
                  <c:v>1380.5795918367348</c:v>
                </c:pt>
                <c:pt idx="1098">
                  <c:v>1380.8571428571429</c:v>
                </c:pt>
                <c:pt idx="1099">
                  <c:v>1381.4877551020406</c:v>
                </c:pt>
                <c:pt idx="1100">
                  <c:v>1382.2918367346936</c:v>
                </c:pt>
                <c:pt idx="1101">
                  <c:v>1382.6755102040818</c:v>
                </c:pt>
                <c:pt idx="1102">
                  <c:v>1383.3959183673469</c:v>
                </c:pt>
                <c:pt idx="1103">
                  <c:v>1384.1897959183671</c:v>
                </c:pt>
                <c:pt idx="1104">
                  <c:v>1384.7306122448977</c:v>
                </c:pt>
                <c:pt idx="1105">
                  <c:v>1385.0816326530612</c:v>
                </c:pt>
                <c:pt idx="1106">
                  <c:v>1385.3755102040816</c:v>
                </c:pt>
                <c:pt idx="1107">
                  <c:v>1385.1530612244899</c:v>
                </c:pt>
                <c:pt idx="1108">
                  <c:v>1384.1408163265307</c:v>
                </c:pt>
                <c:pt idx="1109">
                  <c:v>1382.4795918367347</c:v>
                </c:pt>
                <c:pt idx="1110">
                  <c:v>1381.6938775510205</c:v>
                </c:pt>
                <c:pt idx="1111">
                  <c:v>1380.7</c:v>
                </c:pt>
                <c:pt idx="1112">
                  <c:v>1379.1489795918369</c:v>
                </c:pt>
                <c:pt idx="1113">
                  <c:v>1377.3510204081635</c:v>
                </c:pt>
                <c:pt idx="1114">
                  <c:v>1376.0224489795919</c:v>
                </c:pt>
                <c:pt idx="1115">
                  <c:v>1374.661224489796</c:v>
                </c:pt>
                <c:pt idx="1116">
                  <c:v>1372.9836734693879</c:v>
                </c:pt>
                <c:pt idx="1117">
                  <c:v>1369.6959183673471</c:v>
                </c:pt>
                <c:pt idx="1118">
                  <c:v>1365.9755102040817</c:v>
                </c:pt>
                <c:pt idx="1119">
                  <c:v>1361.6428571428571</c:v>
                </c:pt>
                <c:pt idx="1120">
                  <c:v>1358.5183673469389</c:v>
                </c:pt>
                <c:pt idx="1121">
                  <c:v>1355.3877551020407</c:v>
                </c:pt>
                <c:pt idx="1122">
                  <c:v>1351.2408163265306</c:v>
                </c:pt>
                <c:pt idx="1123">
                  <c:v>1346.9040816326531</c:v>
                </c:pt>
                <c:pt idx="1124">
                  <c:v>1342.8612244897959</c:v>
                </c:pt>
                <c:pt idx="1125">
                  <c:v>1339.4979591836734</c:v>
                </c:pt>
                <c:pt idx="1126">
                  <c:v>1336.5510204081634</c:v>
                </c:pt>
                <c:pt idx="1127">
                  <c:v>1334.4387755102041</c:v>
                </c:pt>
                <c:pt idx="1128">
                  <c:v>1333.6979591836734</c:v>
                </c:pt>
                <c:pt idx="1129">
                  <c:v>1332.4306122448979</c:v>
                </c:pt>
                <c:pt idx="1130">
                  <c:v>1331.6244897959184</c:v>
                </c:pt>
                <c:pt idx="1131">
                  <c:v>1331.2857142857142</c:v>
                </c:pt>
                <c:pt idx="1132">
                  <c:v>1330.5612244897961</c:v>
                </c:pt>
                <c:pt idx="1133">
                  <c:v>1330.3673469387754</c:v>
                </c:pt>
                <c:pt idx="1134">
                  <c:v>1330.2448979591838</c:v>
                </c:pt>
                <c:pt idx="1135">
                  <c:v>1329.5612244897961</c:v>
                </c:pt>
                <c:pt idx="1136">
                  <c:v>1329.1530612244899</c:v>
                </c:pt>
                <c:pt idx="1137">
                  <c:v>1328.5632653061225</c:v>
                </c:pt>
                <c:pt idx="1138">
                  <c:v>1327.3775510204082</c:v>
                </c:pt>
                <c:pt idx="1139">
                  <c:v>1325.9469387755103</c:v>
                </c:pt>
                <c:pt idx="1140">
                  <c:v>1324.0612244897957</c:v>
                </c:pt>
                <c:pt idx="1141">
                  <c:v>1321.7326530612245</c:v>
                </c:pt>
                <c:pt idx="1142">
                  <c:v>1318.6918367346937</c:v>
                </c:pt>
                <c:pt idx="1143">
                  <c:v>1315.6061224489795</c:v>
                </c:pt>
                <c:pt idx="1144">
                  <c:v>1312.7326530612245</c:v>
                </c:pt>
                <c:pt idx="1145">
                  <c:v>1309.5448979591838</c:v>
                </c:pt>
                <c:pt idx="1146">
                  <c:v>1306.918367346939</c:v>
                </c:pt>
                <c:pt idx="1147">
                  <c:v>1304.6775510204081</c:v>
                </c:pt>
                <c:pt idx="1148">
                  <c:v>1302.0306122448983</c:v>
                </c:pt>
                <c:pt idx="1149">
                  <c:v>1299.3163265306123</c:v>
                </c:pt>
                <c:pt idx="1150">
                  <c:v>1296.3673469387759</c:v>
                </c:pt>
                <c:pt idx="1151">
                  <c:v>1293.0020408163268</c:v>
                </c:pt>
                <c:pt idx="1152">
                  <c:v>1289.7591836734696</c:v>
                </c:pt>
                <c:pt idx="1153">
                  <c:v>1287.0163265306126</c:v>
                </c:pt>
                <c:pt idx="1154">
                  <c:v>1284.5081632653064</c:v>
                </c:pt>
                <c:pt idx="1155">
                  <c:v>1281.9020408163267</c:v>
                </c:pt>
                <c:pt idx="1156">
                  <c:v>1279.4469387755105</c:v>
                </c:pt>
                <c:pt idx="1157">
                  <c:v>1278.00612244898</c:v>
                </c:pt>
                <c:pt idx="1158">
                  <c:v>1277.7183673469392</c:v>
                </c:pt>
                <c:pt idx="1159">
                  <c:v>1277.3081632653066</c:v>
                </c:pt>
                <c:pt idx="1160">
                  <c:v>1276.9918367346945</c:v>
                </c:pt>
                <c:pt idx="1161">
                  <c:v>1277.1183673469391</c:v>
                </c:pt>
                <c:pt idx="1162">
                  <c:v>1277.1510204081635</c:v>
                </c:pt>
                <c:pt idx="1163">
                  <c:v>1276.4734693877556</c:v>
                </c:pt>
                <c:pt idx="1164">
                  <c:v>1275.2061224489798</c:v>
                </c:pt>
                <c:pt idx="1165">
                  <c:v>1274.2408163265309</c:v>
                </c:pt>
                <c:pt idx="1166">
                  <c:v>1274.2734693877553</c:v>
                </c:pt>
                <c:pt idx="1167">
                  <c:v>1274.6142857142859</c:v>
                </c:pt>
                <c:pt idx="1168">
                  <c:v>1275.1755102040818</c:v>
                </c:pt>
                <c:pt idx="1169">
                  <c:v>1275.661224489796</c:v>
                </c:pt>
                <c:pt idx="1170">
                  <c:v>1276.3469387755104</c:v>
                </c:pt>
                <c:pt idx="1171">
                  <c:v>1278.0448979591838</c:v>
                </c:pt>
                <c:pt idx="1172">
                  <c:v>1280.7979591836736</c:v>
                </c:pt>
                <c:pt idx="1173">
                  <c:v>1283.1428571428571</c:v>
                </c:pt>
                <c:pt idx="1174">
                  <c:v>1285.5612244897961</c:v>
                </c:pt>
                <c:pt idx="1175">
                  <c:v>1287.7122448979594</c:v>
                </c:pt>
                <c:pt idx="1176">
                  <c:v>1289.6877551020411</c:v>
                </c:pt>
                <c:pt idx="1177">
                  <c:v>1290.4489795918371</c:v>
                </c:pt>
                <c:pt idx="1178">
                  <c:v>1291.9000000000003</c:v>
                </c:pt>
                <c:pt idx="1179">
                  <c:v>1292.2346938775511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DBE-4D2B-BA5A-E39AF7E2E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6951583"/>
        <c:axId val="856950623"/>
      </c:lineChart>
      <c:catAx>
        <c:axId val="856951583"/>
        <c:scaling>
          <c:orientation val="minMax"/>
        </c:scaling>
        <c:delete val="0"/>
        <c:axPos val="b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50623"/>
        <c:crosses val="autoZero"/>
        <c:auto val="1"/>
        <c:lblAlgn val="ctr"/>
        <c:lblOffset val="100"/>
        <c:noMultiLvlLbl val="0"/>
      </c:catAx>
      <c:valAx>
        <c:axId val="856950623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95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140970</xdr:rowOff>
    </xdr:from>
    <xdr:to>
      <xdr:col>4</xdr:col>
      <xdr:colOff>403860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47E0E3-A3D0-600A-EAFE-138CA4EC4DF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586740</xdr:colOff>
      <xdr:row>0</xdr:row>
      <xdr:rowOff>83820</xdr:rowOff>
    </xdr:from>
    <xdr:to>
      <xdr:col>16</xdr:col>
      <xdr:colOff>41910</xdr:colOff>
      <xdr:row>22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E95BCE9-6266-4453-8EA4-FB333CE9EC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DC50-8CA0-4AF8-A13E-2AF9BCDCA0EB}">
  <dimension ref="A1:D5"/>
  <sheetViews>
    <sheetView showGridLines="0" tabSelected="1" workbookViewId="0">
      <selection activeCell="I27" sqref="I27"/>
    </sheetView>
  </sheetViews>
  <sheetFormatPr defaultRowHeight="13.2" x14ac:dyDescent="0.25"/>
  <cols>
    <col min="1" max="1" width="10.77734375" bestFit="1" customWidth="1"/>
    <col min="2" max="2" width="19.88671875" bestFit="1" customWidth="1"/>
    <col min="3" max="3" width="17.33203125" bestFit="1" customWidth="1"/>
    <col min="4" max="4" width="24.33203125" customWidth="1"/>
  </cols>
  <sheetData>
    <row r="1" spans="1:4" x14ac:dyDescent="0.25">
      <c r="A1" s="6" t="s">
        <v>4</v>
      </c>
      <c r="B1" s="6" t="s">
        <v>3</v>
      </c>
      <c r="C1" s="6" t="s">
        <v>9</v>
      </c>
      <c r="D1" s="6" t="s">
        <v>10</v>
      </c>
    </row>
    <row r="2" spans="1:4" ht="18.600000000000001" customHeight="1" x14ac:dyDescent="0.25">
      <c r="A2" s="6" t="s">
        <v>5</v>
      </c>
      <c r="B2" s="3">
        <f ca="1">TCS!F2</f>
        <v>-7.01532316811391E-2</v>
      </c>
      <c r="C2" s="3">
        <f ca="1">TCS!E2</f>
        <v>0.21880102996664563</v>
      </c>
    </row>
    <row r="3" spans="1:4" x14ac:dyDescent="0.25">
      <c r="A3" s="6" t="s">
        <v>6</v>
      </c>
      <c r="B3" s="3">
        <f ca="1">INFOSYS!F2</f>
        <v>-4.8925878084917662E-2</v>
      </c>
      <c r="C3" s="3">
        <f ca="1">INFOSYS!E2</f>
        <v>0.25480536098175299</v>
      </c>
    </row>
    <row r="4" spans="1:4" x14ac:dyDescent="0.25">
      <c r="A4" s="6" t="s">
        <v>7</v>
      </c>
      <c r="B4" s="3">
        <f ca="1">HDFC!F2</f>
        <v>3.2279812847089362E-2</v>
      </c>
      <c r="C4" s="3">
        <f ca="1">HDFC!E2</f>
        <v>0.20937814823930589</v>
      </c>
    </row>
    <row r="5" spans="1:4" x14ac:dyDescent="0.25">
      <c r="A5" s="6" t="s">
        <v>8</v>
      </c>
      <c r="B5" s="3">
        <f ca="1">ICICI!F2</f>
        <v>0.17423500242479087</v>
      </c>
      <c r="C5" s="3">
        <f ca="1">ICICI!E2</f>
        <v>0.20404636856640815</v>
      </c>
    </row>
  </sheetData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32382A6E-8534-4438-B4A7-FF093F8746CD}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ICICI!B2:B1230</xm:f>
              <xm:sqref>D5</xm:sqref>
            </x14:sparkline>
          </x14:sparklines>
        </x14:sparklineGroup>
        <x14:sparklineGroup displayEmptyCellsAs="gap" xr2:uid="{CFACA0D2-5CD0-43A3-823D-3ABA768F58AF}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HDFC!B2:B1230</xm:f>
              <xm:sqref>D4</xm:sqref>
            </x14:sparkline>
          </x14:sparklines>
        </x14:sparklineGroup>
        <x14:sparklineGroup displayEmptyCellsAs="gap" xr2:uid="{DD17328B-EFDA-422E-84FC-E9390D70758D}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INFOSYS!B2:B1230</xm:f>
              <xm:sqref>D3</xm:sqref>
            </x14:sparkline>
          </x14:sparklines>
        </x14:sparklineGroup>
        <x14:sparklineGroup displayEmptyCellsAs="gap" xr2:uid="{729E5A40-244D-40E6-A670-30CFFC7CBDBE}">
          <x14:colorSeries theme="7" tint="-0.249977111117893"/>
          <x14:colorNegative theme="8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TCS!B2:B1230</xm:f>
              <xm:sqref>D2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30"/>
  <sheetViews>
    <sheetView workbookViewId="0">
      <selection activeCell="F3" sqref="F3"/>
    </sheetView>
  </sheetViews>
  <sheetFormatPr defaultColWidth="17.6640625" defaultRowHeight="15.75" customHeight="1" x14ac:dyDescent="0.25"/>
  <cols>
    <col min="1" max="1" width="18.21875" bestFit="1" customWidth="1"/>
    <col min="2" max="2" width="9.6640625" customWidth="1"/>
    <col min="3" max="3" width="13.33203125" style="3" bestFit="1" customWidth="1"/>
    <col min="4" max="4" width="26.6640625" bestFit="1" customWidth="1"/>
    <col min="5" max="5" width="24.5546875" customWidth="1"/>
    <col min="6" max="6" width="21.109375" customWidth="1"/>
  </cols>
  <sheetData>
    <row r="1" spans="1:6" x14ac:dyDescent="0.25">
      <c r="A1" s="1" t="str">
        <f ca="1">IFERROR(__xludf.DUMMYFUNCTION("GOOGLEFINANCE(""NSE:TCS"", ""price"", TODAY()-1825, TODAY(), ""DAILY"")"),"Date")</f>
        <v>Date</v>
      </c>
      <c r="B1" s="1" t="str">
        <f ca="1">IFERROR(__xludf.DUMMYFUNCTION("""COMPUTED_VALUE"""),"Close")</f>
        <v>Close</v>
      </c>
      <c r="C1" s="3" t="s">
        <v>0</v>
      </c>
      <c r="D1" t="s">
        <v>1</v>
      </c>
      <c r="E1" s="4" t="s">
        <v>2</v>
      </c>
      <c r="F1" s="4" t="s">
        <v>3</v>
      </c>
    </row>
    <row r="2" spans="1:6" x14ac:dyDescent="0.25">
      <c r="A2" s="2">
        <f ca="1">IFERROR(__xludf.DUMMYFUNCTION("""COMPUTED_VALUE"""),44375.6458333333)</f>
        <v>44375.645833333299</v>
      </c>
      <c r="B2" s="1">
        <f ca="1">IFERROR(__xludf.DUMMYFUNCTION("""COMPUTED_VALUE"""),3336.75)</f>
        <v>3336.75</v>
      </c>
      <c r="E2" s="5">
        <f ca="1">_xlfn.STDEV.S(C:C) * SQRT(252)</f>
        <v>0.21880102996664563</v>
      </c>
      <c r="F2" s="5">
        <f ca="1">AVERAGE(C:C)*252</f>
        <v>-7.01532316811391E-2</v>
      </c>
    </row>
    <row r="3" spans="1:6" x14ac:dyDescent="0.25">
      <c r="A3" s="2">
        <f ca="1">IFERROR(__xludf.DUMMYFUNCTION("""COMPUTED_VALUE"""),44376.6458333333)</f>
        <v>44376.645833333299</v>
      </c>
      <c r="B3" s="1">
        <f ca="1">IFERROR(__xludf.DUMMYFUNCTION("""COMPUTED_VALUE"""),3340.85)</f>
        <v>3340.85</v>
      </c>
      <c r="C3" s="3">
        <f ca="1">(B3-B2)/B2</f>
        <v>1.2287405409455035E-3</v>
      </c>
    </row>
    <row r="4" spans="1:6" x14ac:dyDescent="0.25">
      <c r="A4" s="2">
        <f ca="1">IFERROR(__xludf.DUMMYFUNCTION("""COMPUTED_VALUE"""),44377.6458333333)</f>
        <v>44377.645833333299</v>
      </c>
      <c r="B4" s="1">
        <f ca="1">IFERROR(__xludf.DUMMYFUNCTION("""COMPUTED_VALUE"""),3345.75)</f>
        <v>3345.75</v>
      </c>
      <c r="C4" s="3">
        <f t="shared" ref="C4:C67" ca="1" si="0">(B4-B3)/B3</f>
        <v>1.4666926081686072E-3</v>
      </c>
    </row>
    <row r="5" spans="1:6" x14ac:dyDescent="0.25">
      <c r="A5" s="2">
        <f ca="1">IFERROR(__xludf.DUMMYFUNCTION("""COMPUTED_VALUE"""),44378.6458333333)</f>
        <v>44378.645833333299</v>
      </c>
      <c r="B5" s="1">
        <f ca="1">IFERROR(__xludf.DUMMYFUNCTION("""COMPUTED_VALUE"""),3341.5)</f>
        <v>3341.5</v>
      </c>
      <c r="C5" s="3">
        <f t="shared" ca="1" si="0"/>
        <v>-1.2702682507658969E-3</v>
      </c>
    </row>
    <row r="6" spans="1:6" x14ac:dyDescent="0.25">
      <c r="A6" s="2">
        <f ca="1">IFERROR(__xludf.DUMMYFUNCTION("""COMPUTED_VALUE"""),44379.6458333333)</f>
        <v>44379.645833333299</v>
      </c>
      <c r="B6" s="1">
        <f ca="1">IFERROR(__xludf.DUMMYFUNCTION("""COMPUTED_VALUE"""),3325.45)</f>
        <v>3325.45</v>
      </c>
      <c r="C6" s="3">
        <f t="shared" ca="1" si="0"/>
        <v>-4.8032320814006234E-3</v>
      </c>
    </row>
    <row r="7" spans="1:6" x14ac:dyDescent="0.25">
      <c r="A7" s="2">
        <f ca="1">IFERROR(__xludf.DUMMYFUNCTION("""COMPUTED_VALUE"""),44382.6458333333)</f>
        <v>44382.645833333299</v>
      </c>
      <c r="B7" s="1">
        <f ca="1">IFERROR(__xludf.DUMMYFUNCTION("""COMPUTED_VALUE"""),3321)</f>
        <v>3321</v>
      </c>
      <c r="C7" s="3">
        <f t="shared" ca="1" si="0"/>
        <v>-1.3381647596565332E-3</v>
      </c>
    </row>
    <row r="8" spans="1:6" x14ac:dyDescent="0.25">
      <c r="A8" s="2">
        <f ca="1">IFERROR(__xludf.DUMMYFUNCTION("""COMPUTED_VALUE"""),44383.6458333333)</f>
        <v>44383.645833333299</v>
      </c>
      <c r="B8" s="1">
        <f ca="1">IFERROR(__xludf.DUMMYFUNCTION("""COMPUTED_VALUE"""),3262.3)</f>
        <v>3262.3</v>
      </c>
      <c r="C8" s="3">
        <f t="shared" ca="1" si="0"/>
        <v>-1.7675398976211929E-2</v>
      </c>
    </row>
    <row r="9" spans="1:6" x14ac:dyDescent="0.25">
      <c r="A9" s="2">
        <f ca="1">IFERROR(__xludf.DUMMYFUNCTION("""COMPUTED_VALUE"""),44384.6458333333)</f>
        <v>44384.645833333299</v>
      </c>
      <c r="B9" s="1">
        <f ca="1">IFERROR(__xludf.DUMMYFUNCTION("""COMPUTED_VALUE"""),3274.95)</f>
        <v>3274.95</v>
      </c>
      <c r="C9" s="3">
        <f t="shared" ca="1" si="0"/>
        <v>3.8776323452777597E-3</v>
      </c>
    </row>
    <row r="10" spans="1:6" x14ac:dyDescent="0.25">
      <c r="A10" s="2">
        <f ca="1">IFERROR(__xludf.DUMMYFUNCTION("""COMPUTED_VALUE"""),44385.6458333333)</f>
        <v>44385.645833333299</v>
      </c>
      <c r="B10" s="1">
        <f ca="1">IFERROR(__xludf.DUMMYFUNCTION("""COMPUTED_VALUE"""),3258.5)</f>
        <v>3258.5</v>
      </c>
      <c r="C10" s="3">
        <f t="shared" ca="1" si="0"/>
        <v>-5.0229774500373499E-3</v>
      </c>
    </row>
    <row r="11" spans="1:6" x14ac:dyDescent="0.25">
      <c r="A11" s="2">
        <f ca="1">IFERROR(__xludf.DUMMYFUNCTION("""COMPUTED_VALUE"""),44386.6458333333)</f>
        <v>44386.645833333299</v>
      </c>
      <c r="B11" s="1">
        <f ca="1">IFERROR(__xludf.DUMMYFUNCTION("""COMPUTED_VALUE"""),3208.15)</f>
        <v>3208.15</v>
      </c>
      <c r="C11" s="3">
        <f t="shared" ca="1" si="0"/>
        <v>-1.5451895043731751E-2</v>
      </c>
    </row>
    <row r="12" spans="1:6" x14ac:dyDescent="0.25">
      <c r="A12" s="2">
        <f ca="1">IFERROR(__xludf.DUMMYFUNCTION("""COMPUTED_VALUE"""),44389.6458333333)</f>
        <v>44389.645833333299</v>
      </c>
      <c r="B12" s="1">
        <f ca="1">IFERROR(__xludf.DUMMYFUNCTION("""COMPUTED_VALUE"""),3193.1)</f>
        <v>3193.1</v>
      </c>
      <c r="C12" s="3">
        <f t="shared" ca="1" si="0"/>
        <v>-4.6911771581753291E-3</v>
      </c>
    </row>
    <row r="13" spans="1:6" x14ac:dyDescent="0.25">
      <c r="A13" s="2">
        <f ca="1">IFERROR(__xludf.DUMMYFUNCTION("""COMPUTED_VALUE"""),44390.6458333333)</f>
        <v>44390.645833333299</v>
      </c>
      <c r="B13" s="1">
        <f ca="1">IFERROR(__xludf.DUMMYFUNCTION("""COMPUTED_VALUE"""),3187.55)</f>
        <v>3187.55</v>
      </c>
      <c r="C13" s="3">
        <f t="shared" ca="1" si="0"/>
        <v>-1.7381228273463804E-3</v>
      </c>
    </row>
    <row r="14" spans="1:6" x14ac:dyDescent="0.25">
      <c r="A14" s="2">
        <f ca="1">IFERROR(__xludf.DUMMYFUNCTION("""COMPUTED_VALUE"""),44391.6458333333)</f>
        <v>44391.645833333299</v>
      </c>
      <c r="B14" s="1">
        <f ca="1">IFERROR(__xludf.DUMMYFUNCTION("""COMPUTED_VALUE"""),3214.55)</f>
        <v>3214.55</v>
      </c>
      <c r="C14" s="3">
        <f t="shared" ca="1" si="0"/>
        <v>8.4704553654060318E-3</v>
      </c>
    </row>
    <row r="15" spans="1:6" x14ac:dyDescent="0.25">
      <c r="A15" s="2">
        <f ca="1">IFERROR(__xludf.DUMMYFUNCTION("""COMPUTED_VALUE"""),44392.6458333333)</f>
        <v>44392.645833333299</v>
      </c>
      <c r="B15" s="1">
        <f ca="1">IFERROR(__xludf.DUMMYFUNCTION("""COMPUTED_VALUE"""),3202.95)</f>
        <v>3202.95</v>
      </c>
      <c r="C15" s="3">
        <f t="shared" ca="1" si="0"/>
        <v>-3.6085921824206696E-3</v>
      </c>
    </row>
    <row r="16" spans="1:6" x14ac:dyDescent="0.25">
      <c r="A16" s="2">
        <f ca="1">IFERROR(__xludf.DUMMYFUNCTION("""COMPUTED_VALUE"""),44393.6458333333)</f>
        <v>44393.645833333299</v>
      </c>
      <c r="B16" s="1">
        <f ca="1">IFERROR(__xludf.DUMMYFUNCTION("""COMPUTED_VALUE"""),3194.8)</f>
        <v>3194.8</v>
      </c>
      <c r="C16" s="3">
        <f t="shared" ca="1" si="0"/>
        <v>-2.5445292620864006E-3</v>
      </c>
    </row>
    <row r="17" spans="1:3" x14ac:dyDescent="0.25">
      <c r="A17" s="2">
        <f ca="1">IFERROR(__xludf.DUMMYFUNCTION("""COMPUTED_VALUE"""),44396.6458333333)</f>
        <v>44396.645833333299</v>
      </c>
      <c r="B17" s="1">
        <f ca="1">IFERROR(__xludf.DUMMYFUNCTION("""COMPUTED_VALUE"""),3184.6)</f>
        <v>3184.6</v>
      </c>
      <c r="C17" s="3">
        <f t="shared" ca="1" si="0"/>
        <v>-3.1926881181921474E-3</v>
      </c>
    </row>
    <row r="18" spans="1:3" x14ac:dyDescent="0.25">
      <c r="A18" s="2">
        <f ca="1">IFERROR(__xludf.DUMMYFUNCTION("""COMPUTED_VALUE"""),44397.6458333333)</f>
        <v>44397.645833333299</v>
      </c>
      <c r="B18" s="1">
        <f ca="1">IFERROR(__xludf.DUMMYFUNCTION("""COMPUTED_VALUE"""),3205.8)</f>
        <v>3205.8</v>
      </c>
      <c r="C18" s="3">
        <f t="shared" ca="1" si="0"/>
        <v>6.6570369905169487E-3</v>
      </c>
    </row>
    <row r="19" spans="1:3" x14ac:dyDescent="0.25">
      <c r="A19" s="2">
        <f ca="1">IFERROR(__xludf.DUMMYFUNCTION("""COMPUTED_VALUE"""),44399.6458333333)</f>
        <v>44399.645833333299</v>
      </c>
      <c r="B19" s="1">
        <f ca="1">IFERROR(__xludf.DUMMYFUNCTION("""COMPUTED_VALUE"""),3216.35)</f>
        <v>3216.35</v>
      </c>
      <c r="C19" s="3">
        <f t="shared" ca="1" si="0"/>
        <v>3.2909102252167092E-3</v>
      </c>
    </row>
    <row r="20" spans="1:3" x14ac:dyDescent="0.25">
      <c r="A20" s="2">
        <f ca="1">IFERROR(__xludf.DUMMYFUNCTION("""COMPUTED_VALUE"""),44400.6458333333)</f>
        <v>44400.645833333299</v>
      </c>
      <c r="B20" s="1">
        <f ca="1">IFERROR(__xludf.DUMMYFUNCTION("""COMPUTED_VALUE"""),3212.85)</f>
        <v>3212.85</v>
      </c>
      <c r="C20" s="3">
        <f t="shared" ca="1" si="0"/>
        <v>-1.0881900290702195E-3</v>
      </c>
    </row>
    <row r="21" spans="1:3" x14ac:dyDescent="0.25">
      <c r="A21" s="2">
        <f ca="1">IFERROR(__xludf.DUMMYFUNCTION("""COMPUTED_VALUE"""),44403.6458333333)</f>
        <v>44403.645833333299</v>
      </c>
      <c r="B21" s="1">
        <f ca="1">IFERROR(__xludf.DUMMYFUNCTION("""COMPUTED_VALUE"""),3197.55)</f>
        <v>3197.55</v>
      </c>
      <c r="C21" s="3">
        <f t="shared" ca="1" si="0"/>
        <v>-4.7621270834305139E-3</v>
      </c>
    </row>
    <row r="22" spans="1:3" x14ac:dyDescent="0.25">
      <c r="A22" s="2">
        <f ca="1">IFERROR(__xludf.DUMMYFUNCTION("""COMPUTED_VALUE"""),44404.6458333333)</f>
        <v>44404.645833333299</v>
      </c>
      <c r="B22" s="1">
        <f ca="1">IFERROR(__xludf.DUMMYFUNCTION("""COMPUTED_VALUE"""),3182.95)</f>
        <v>3182.95</v>
      </c>
      <c r="C22" s="3">
        <f t="shared" ca="1" si="0"/>
        <v>-4.5659958405655466E-3</v>
      </c>
    </row>
    <row r="23" spans="1:3" x14ac:dyDescent="0.25">
      <c r="A23" s="2">
        <f ca="1">IFERROR(__xludf.DUMMYFUNCTION("""COMPUTED_VALUE"""),44405.6458333333)</f>
        <v>44405.645833333299</v>
      </c>
      <c r="B23" s="1">
        <f ca="1">IFERROR(__xludf.DUMMYFUNCTION("""COMPUTED_VALUE"""),3197.8)</f>
        <v>3197.8</v>
      </c>
      <c r="C23" s="3">
        <f t="shared" ca="1" si="0"/>
        <v>4.665483278091194E-3</v>
      </c>
    </row>
    <row r="24" spans="1:3" x14ac:dyDescent="0.25">
      <c r="A24" s="2">
        <f ca="1">IFERROR(__xludf.DUMMYFUNCTION("""COMPUTED_VALUE"""),44406.6458333333)</f>
        <v>44406.645833333299</v>
      </c>
      <c r="B24" s="1">
        <f ca="1">IFERROR(__xludf.DUMMYFUNCTION("""COMPUTED_VALUE"""),3195.8)</f>
        <v>3195.8</v>
      </c>
      <c r="C24" s="3">
        <f t="shared" ca="1" si="0"/>
        <v>-6.2542998311339044E-4</v>
      </c>
    </row>
    <row r="25" spans="1:3" x14ac:dyDescent="0.25">
      <c r="A25" s="2">
        <f ca="1">IFERROR(__xludf.DUMMYFUNCTION("""COMPUTED_VALUE"""),44407.6458333333)</f>
        <v>44407.645833333299</v>
      </c>
      <c r="B25" s="1">
        <f ca="1">IFERROR(__xludf.DUMMYFUNCTION("""COMPUTED_VALUE"""),3167.45)</f>
        <v>3167.45</v>
      </c>
      <c r="C25" s="3">
        <f t="shared" ca="1" si="0"/>
        <v>-8.8710182114025791E-3</v>
      </c>
    </row>
    <row r="26" spans="1:3" x14ac:dyDescent="0.25">
      <c r="A26" s="2">
        <f ca="1">IFERROR(__xludf.DUMMYFUNCTION("""COMPUTED_VALUE"""),44410.6458333333)</f>
        <v>44410.645833333299</v>
      </c>
      <c r="B26" s="1">
        <f ca="1">IFERROR(__xludf.DUMMYFUNCTION("""COMPUTED_VALUE"""),3219.4)</f>
        <v>3219.4</v>
      </c>
      <c r="C26" s="3">
        <f t="shared" ca="1" si="0"/>
        <v>1.6401206017458925E-2</v>
      </c>
    </row>
    <row r="27" spans="1:3" x14ac:dyDescent="0.25">
      <c r="A27" s="2">
        <f ca="1">IFERROR(__xludf.DUMMYFUNCTION("""COMPUTED_VALUE"""),44411.6458333333)</f>
        <v>44411.645833333299</v>
      </c>
      <c r="B27" s="1">
        <f ca="1">IFERROR(__xludf.DUMMYFUNCTION("""COMPUTED_VALUE"""),3284.9)</f>
        <v>3284.9</v>
      </c>
      <c r="C27" s="3">
        <f t="shared" ca="1" si="0"/>
        <v>2.0345405976268868E-2</v>
      </c>
    </row>
    <row r="28" spans="1:3" x14ac:dyDescent="0.25">
      <c r="A28" s="2">
        <f ca="1">IFERROR(__xludf.DUMMYFUNCTION("""COMPUTED_VALUE"""),44412.6458333333)</f>
        <v>44412.645833333299</v>
      </c>
      <c r="B28" s="1">
        <f ca="1">IFERROR(__xludf.DUMMYFUNCTION("""COMPUTED_VALUE"""),3273.95)</f>
        <v>3273.95</v>
      </c>
      <c r="C28" s="3">
        <f t="shared" ca="1" si="0"/>
        <v>-3.3334348077567878E-3</v>
      </c>
    </row>
    <row r="29" spans="1:3" x14ac:dyDescent="0.25">
      <c r="A29" s="2">
        <f ca="1">IFERROR(__xludf.DUMMYFUNCTION("""COMPUTED_VALUE"""),44413.6458333333)</f>
        <v>44413.645833333299</v>
      </c>
      <c r="B29" s="1">
        <f ca="1">IFERROR(__xludf.DUMMYFUNCTION("""COMPUTED_VALUE"""),3283.95)</f>
        <v>3283.95</v>
      </c>
      <c r="C29" s="3">
        <f t="shared" ca="1" si="0"/>
        <v>3.0544143924006173E-3</v>
      </c>
    </row>
    <row r="30" spans="1:3" x14ac:dyDescent="0.25">
      <c r="A30" s="2">
        <f ca="1">IFERROR(__xludf.DUMMYFUNCTION("""COMPUTED_VALUE"""),44414.6458333333)</f>
        <v>44414.645833333299</v>
      </c>
      <c r="B30" s="1">
        <f ca="1">IFERROR(__xludf.DUMMYFUNCTION("""COMPUTED_VALUE"""),3309.8)</f>
        <v>3309.8</v>
      </c>
      <c r="C30" s="3">
        <f t="shared" ca="1" si="0"/>
        <v>7.871618020980943E-3</v>
      </c>
    </row>
    <row r="31" spans="1:3" x14ac:dyDescent="0.25">
      <c r="A31" s="2">
        <f ca="1">IFERROR(__xludf.DUMMYFUNCTION("""COMPUTED_VALUE"""),44417.6458333333)</f>
        <v>44417.645833333299</v>
      </c>
      <c r="B31" s="1">
        <f ca="1">IFERROR(__xludf.DUMMYFUNCTION("""COMPUTED_VALUE"""),3322.7)</f>
        <v>3322.7</v>
      </c>
      <c r="C31" s="3">
        <f t="shared" ca="1" si="0"/>
        <v>3.8975164662516273E-3</v>
      </c>
    </row>
    <row r="32" spans="1:3" x14ac:dyDescent="0.25">
      <c r="A32" s="2">
        <f ca="1">IFERROR(__xludf.DUMMYFUNCTION("""COMPUTED_VALUE"""),44418.6458333333)</f>
        <v>44418.645833333299</v>
      </c>
      <c r="B32" s="1">
        <f ca="1">IFERROR(__xludf.DUMMYFUNCTION("""COMPUTED_VALUE"""),3333.9)</f>
        <v>3333.9</v>
      </c>
      <c r="C32" s="3">
        <f t="shared" ca="1" si="0"/>
        <v>3.3707527011166442E-3</v>
      </c>
    </row>
    <row r="33" spans="1:3" x14ac:dyDescent="0.25">
      <c r="A33" s="2">
        <f ca="1">IFERROR(__xludf.DUMMYFUNCTION("""COMPUTED_VALUE"""),44419.6458333333)</f>
        <v>44419.645833333299</v>
      </c>
      <c r="B33" s="1">
        <f ca="1">IFERROR(__xludf.DUMMYFUNCTION("""COMPUTED_VALUE"""),3344.2)</f>
        <v>3344.2</v>
      </c>
      <c r="C33" s="3">
        <f t="shared" ca="1" si="0"/>
        <v>3.0894747892857397E-3</v>
      </c>
    </row>
    <row r="34" spans="1:3" x14ac:dyDescent="0.25">
      <c r="A34" s="2">
        <f ca="1">IFERROR(__xludf.DUMMYFUNCTION("""COMPUTED_VALUE"""),44420.6458333333)</f>
        <v>44420.645833333299</v>
      </c>
      <c r="B34" s="1">
        <f ca="1">IFERROR(__xludf.DUMMYFUNCTION("""COMPUTED_VALUE"""),3351.75)</f>
        <v>3351.75</v>
      </c>
      <c r="C34" s="3">
        <f t="shared" ca="1" si="0"/>
        <v>2.2576400932959101E-3</v>
      </c>
    </row>
    <row r="35" spans="1:3" x14ac:dyDescent="0.25">
      <c r="A35" s="2">
        <f ca="1">IFERROR(__xludf.DUMMYFUNCTION("""COMPUTED_VALUE"""),44421.6458333333)</f>
        <v>44421.645833333299</v>
      </c>
      <c r="B35" s="1">
        <f ca="1">IFERROR(__xludf.DUMMYFUNCTION("""COMPUTED_VALUE"""),3463.4)</f>
        <v>3463.4</v>
      </c>
      <c r="C35" s="3">
        <f t="shared" ca="1" si="0"/>
        <v>3.3310956962780663E-2</v>
      </c>
    </row>
    <row r="36" spans="1:3" x14ac:dyDescent="0.25">
      <c r="A36" s="2">
        <f ca="1">IFERROR(__xludf.DUMMYFUNCTION("""COMPUTED_VALUE"""),44424.6458333333)</f>
        <v>44424.645833333299</v>
      </c>
      <c r="B36" s="1">
        <f ca="1">IFERROR(__xludf.DUMMYFUNCTION("""COMPUTED_VALUE"""),3472.95)</f>
        <v>3472.95</v>
      </c>
      <c r="C36" s="3">
        <f t="shared" ca="1" si="0"/>
        <v>2.7574060172084447E-3</v>
      </c>
    </row>
    <row r="37" spans="1:3" x14ac:dyDescent="0.25">
      <c r="A37" s="2">
        <f ca="1">IFERROR(__xludf.DUMMYFUNCTION("""COMPUTED_VALUE"""),44425.6458333333)</f>
        <v>44425.645833333299</v>
      </c>
      <c r="B37" s="1">
        <f ca="1">IFERROR(__xludf.DUMMYFUNCTION("""COMPUTED_VALUE"""),3553.05)</f>
        <v>3553.05</v>
      </c>
      <c r="C37" s="3">
        <f t="shared" ca="1" si="0"/>
        <v>2.3063965792769942E-2</v>
      </c>
    </row>
    <row r="38" spans="1:3" x14ac:dyDescent="0.25">
      <c r="A38" s="2">
        <f ca="1">IFERROR(__xludf.DUMMYFUNCTION("""COMPUTED_VALUE"""),44426.6458333333)</f>
        <v>44426.645833333299</v>
      </c>
      <c r="B38" s="1">
        <f ca="1">IFERROR(__xludf.DUMMYFUNCTION("""COMPUTED_VALUE"""),3560.55)</f>
        <v>3560.55</v>
      </c>
      <c r="C38" s="3">
        <f t="shared" ca="1" si="0"/>
        <v>2.1108624984168532E-3</v>
      </c>
    </row>
    <row r="39" spans="1:3" x14ac:dyDescent="0.25">
      <c r="A39" s="2">
        <f ca="1">IFERROR(__xludf.DUMMYFUNCTION("""COMPUTED_VALUE"""),44428.6458333333)</f>
        <v>44428.645833333299</v>
      </c>
      <c r="B39" s="1">
        <f ca="1">IFERROR(__xludf.DUMMYFUNCTION("""COMPUTED_VALUE"""),3559.5)</f>
        <v>3559.5</v>
      </c>
      <c r="C39" s="3">
        <f t="shared" ca="1" si="0"/>
        <v>-2.9489826010031648E-4</v>
      </c>
    </row>
    <row r="40" spans="1:3" x14ac:dyDescent="0.25">
      <c r="A40" s="2">
        <f ca="1">IFERROR(__xludf.DUMMYFUNCTION("""COMPUTED_VALUE"""),44431.6458333333)</f>
        <v>44431.645833333299</v>
      </c>
      <c r="B40" s="1">
        <f ca="1">IFERROR(__xludf.DUMMYFUNCTION("""COMPUTED_VALUE"""),3637.4)</f>
        <v>3637.4</v>
      </c>
      <c r="C40" s="3">
        <f t="shared" ca="1" si="0"/>
        <v>2.1885096221379432E-2</v>
      </c>
    </row>
    <row r="41" spans="1:3" x14ac:dyDescent="0.25">
      <c r="A41" s="2">
        <f ca="1">IFERROR(__xludf.DUMMYFUNCTION("""COMPUTED_VALUE"""),44432.6458333333)</f>
        <v>44432.645833333299</v>
      </c>
      <c r="B41" s="1">
        <f ca="1">IFERROR(__xludf.DUMMYFUNCTION("""COMPUTED_VALUE"""),3613.2)</f>
        <v>3613.2</v>
      </c>
      <c r="C41" s="3">
        <f t="shared" ca="1" si="0"/>
        <v>-6.6531038653984366E-3</v>
      </c>
    </row>
    <row r="42" spans="1:3" x14ac:dyDescent="0.25">
      <c r="A42" s="2">
        <f ca="1">IFERROR(__xludf.DUMMYFUNCTION("""COMPUTED_VALUE"""),44433.6458333333)</f>
        <v>44433.645833333299</v>
      </c>
      <c r="B42" s="1">
        <f ca="1">IFERROR(__xludf.DUMMYFUNCTION("""COMPUTED_VALUE"""),3659)</f>
        <v>3659</v>
      </c>
      <c r="C42" s="3">
        <f t="shared" ca="1" si="0"/>
        <v>1.2675744492416745E-2</v>
      </c>
    </row>
    <row r="43" spans="1:3" x14ac:dyDescent="0.25">
      <c r="A43" s="2">
        <f ca="1">IFERROR(__xludf.DUMMYFUNCTION("""COMPUTED_VALUE"""),44434.6458333333)</f>
        <v>44434.645833333299</v>
      </c>
      <c r="B43" s="1">
        <f ca="1">IFERROR(__xludf.DUMMYFUNCTION("""COMPUTED_VALUE"""),3671.85)</f>
        <v>3671.85</v>
      </c>
      <c r="C43" s="3">
        <f t="shared" ca="1" si="0"/>
        <v>3.5118884941240528E-3</v>
      </c>
    </row>
    <row r="44" spans="1:3" x14ac:dyDescent="0.25">
      <c r="A44" s="2">
        <f ca="1">IFERROR(__xludf.DUMMYFUNCTION("""COMPUTED_VALUE"""),44435.6458333333)</f>
        <v>44435.645833333299</v>
      </c>
      <c r="B44" s="1">
        <f ca="1">IFERROR(__xludf.DUMMYFUNCTION("""COMPUTED_VALUE"""),3720.15)</f>
        <v>3720.15</v>
      </c>
      <c r="C44" s="3">
        <f t="shared" ca="1" si="0"/>
        <v>1.315413211323997E-2</v>
      </c>
    </row>
    <row r="45" spans="1:3" x14ac:dyDescent="0.25">
      <c r="A45" s="2">
        <f ca="1">IFERROR(__xludf.DUMMYFUNCTION("""COMPUTED_VALUE"""),44438.6458333333)</f>
        <v>44438.645833333299</v>
      </c>
      <c r="B45" s="1">
        <f ca="1">IFERROR(__xludf.DUMMYFUNCTION("""COMPUTED_VALUE"""),3701.3)</f>
        <v>3701.3</v>
      </c>
      <c r="C45" s="3">
        <f t="shared" ca="1" si="0"/>
        <v>-5.0669999865596569E-3</v>
      </c>
    </row>
    <row r="46" spans="1:3" x14ac:dyDescent="0.25">
      <c r="A46" s="2">
        <f ca="1">IFERROR(__xludf.DUMMYFUNCTION("""COMPUTED_VALUE"""),44439.6458333333)</f>
        <v>44439.645833333299</v>
      </c>
      <c r="B46" s="1">
        <f ca="1">IFERROR(__xludf.DUMMYFUNCTION("""COMPUTED_VALUE"""),3786.45)</f>
        <v>3786.45</v>
      </c>
      <c r="C46" s="3">
        <f t="shared" ca="1" si="0"/>
        <v>2.3005430524410241E-2</v>
      </c>
    </row>
    <row r="47" spans="1:3" x14ac:dyDescent="0.25">
      <c r="A47" s="2">
        <f ca="1">IFERROR(__xludf.DUMMYFUNCTION("""COMPUTED_VALUE"""),44440.6458333333)</f>
        <v>44440.645833333299</v>
      </c>
      <c r="B47" s="1">
        <f ca="1">IFERROR(__xludf.DUMMYFUNCTION("""COMPUTED_VALUE"""),3714.95)</f>
        <v>3714.95</v>
      </c>
      <c r="C47" s="3">
        <f t="shared" ca="1" si="0"/>
        <v>-1.888312271388768E-2</v>
      </c>
    </row>
    <row r="48" spans="1:3" x14ac:dyDescent="0.25">
      <c r="A48" s="2">
        <f ca="1">IFERROR(__xludf.DUMMYFUNCTION("""COMPUTED_VALUE"""),44441.6458333333)</f>
        <v>44441.645833333299</v>
      </c>
      <c r="B48" s="1">
        <f ca="1">IFERROR(__xludf.DUMMYFUNCTION("""COMPUTED_VALUE"""),3836.75)</f>
        <v>3836.75</v>
      </c>
      <c r="C48" s="3">
        <f t="shared" ca="1" si="0"/>
        <v>3.2786443962906683E-2</v>
      </c>
    </row>
    <row r="49" spans="1:4" x14ac:dyDescent="0.25">
      <c r="A49" s="2">
        <f ca="1">IFERROR(__xludf.DUMMYFUNCTION("""COMPUTED_VALUE"""),44442.6458333333)</f>
        <v>44442.645833333299</v>
      </c>
      <c r="B49" s="1">
        <f ca="1">IFERROR(__xludf.DUMMYFUNCTION("""COMPUTED_VALUE"""),3842.05)</f>
        <v>3842.05</v>
      </c>
      <c r="C49" s="3">
        <f t="shared" ca="1" si="0"/>
        <v>1.381377467909085E-3</v>
      </c>
    </row>
    <row r="50" spans="1:4" x14ac:dyDescent="0.25">
      <c r="A50" s="2">
        <f ca="1">IFERROR(__xludf.DUMMYFUNCTION("""COMPUTED_VALUE"""),44445.6458333333)</f>
        <v>44445.645833333299</v>
      </c>
      <c r="B50" s="1">
        <f ca="1">IFERROR(__xludf.DUMMYFUNCTION("""COMPUTED_VALUE"""),3852)</f>
        <v>3852</v>
      </c>
      <c r="C50" s="3">
        <f t="shared" ca="1" si="0"/>
        <v>2.5897632774169563E-3</v>
      </c>
    </row>
    <row r="51" spans="1:4" x14ac:dyDescent="0.25">
      <c r="A51" s="2">
        <f ca="1">IFERROR(__xludf.DUMMYFUNCTION("""COMPUTED_VALUE"""),44446.6458333333)</f>
        <v>44446.645833333299</v>
      </c>
      <c r="B51" s="1">
        <f ca="1">IFERROR(__xludf.DUMMYFUNCTION("""COMPUTED_VALUE"""),3815.9)</f>
        <v>3815.9</v>
      </c>
      <c r="C51" s="3">
        <f t="shared" ca="1" si="0"/>
        <v>-9.3717549325025729E-3</v>
      </c>
      <c r="D51">
        <f ca="1">AVERAGE(B2:B50)</f>
        <v>3390.5795918367339</v>
      </c>
    </row>
    <row r="52" spans="1:4" x14ac:dyDescent="0.25">
      <c r="A52" s="2">
        <f ca="1">IFERROR(__xludf.DUMMYFUNCTION("""COMPUTED_VALUE"""),44447.6458333333)</f>
        <v>44447.645833333299</v>
      </c>
      <c r="B52" s="1">
        <f ca="1">IFERROR(__xludf.DUMMYFUNCTION("""COMPUTED_VALUE"""),3774.15)</f>
        <v>3774.15</v>
      </c>
      <c r="C52" s="3">
        <f t="shared" ca="1" si="0"/>
        <v>-1.0941062396813334E-2</v>
      </c>
      <c r="D52">
        <f t="shared" ref="D52:D115" ca="1" si="1">AVERAGE(B3:B51)</f>
        <v>3400.3581632653054</v>
      </c>
    </row>
    <row r="53" spans="1:4" x14ac:dyDescent="0.25">
      <c r="A53" s="2">
        <f ca="1">IFERROR(__xludf.DUMMYFUNCTION("""COMPUTED_VALUE"""),44448.6458333333)</f>
        <v>44448.645833333299</v>
      </c>
      <c r="B53" s="1">
        <f ca="1">IFERROR(__xludf.DUMMYFUNCTION("""COMPUTED_VALUE"""),3791.4)</f>
        <v>3791.4</v>
      </c>
      <c r="C53" s="3">
        <f t="shared" ca="1" si="0"/>
        <v>4.5705655578077179E-3</v>
      </c>
      <c r="D53">
        <f t="shared" ca="1" si="1"/>
        <v>3409.2010204081621</v>
      </c>
    </row>
    <row r="54" spans="1:4" x14ac:dyDescent="0.25">
      <c r="A54" s="2">
        <f ca="1">IFERROR(__xludf.DUMMYFUNCTION("""COMPUTED_VALUE"""),44452.6458333333)</f>
        <v>44452.645833333299</v>
      </c>
      <c r="B54" s="1">
        <f ca="1">IFERROR(__xludf.DUMMYFUNCTION("""COMPUTED_VALUE"""),3845.35)</f>
        <v>3845.35</v>
      </c>
      <c r="C54" s="3">
        <f t="shared" ca="1" si="0"/>
        <v>1.4229572189692414E-2</v>
      </c>
      <c r="D54">
        <f t="shared" ca="1" si="1"/>
        <v>3418.2959183673465</v>
      </c>
    </row>
    <row r="55" spans="1:4" x14ac:dyDescent="0.25">
      <c r="A55" s="2">
        <f ca="1">IFERROR(__xludf.DUMMYFUNCTION("""COMPUTED_VALUE"""),44453.6458333333)</f>
        <v>44453.645833333299</v>
      </c>
      <c r="B55" s="1">
        <f ca="1">IFERROR(__xludf.DUMMYFUNCTION("""COMPUTED_VALUE"""),3885.9)</f>
        <v>3885.9</v>
      </c>
      <c r="C55" s="3">
        <f t="shared" ca="1" si="0"/>
        <v>1.0545203947625101E-2</v>
      </c>
      <c r="D55">
        <f t="shared" ca="1" si="1"/>
        <v>3428.5785714285707</v>
      </c>
    </row>
    <row r="56" spans="1:4" x14ac:dyDescent="0.25">
      <c r="A56" s="2">
        <f ca="1">IFERROR(__xludf.DUMMYFUNCTION("""COMPUTED_VALUE"""),44454.6458333333)</f>
        <v>44454.645833333299</v>
      </c>
      <c r="B56" s="1">
        <f ca="1">IFERROR(__xludf.DUMMYFUNCTION("""COMPUTED_VALUE"""),3954.55)</f>
        <v>3954.55</v>
      </c>
      <c r="C56" s="3">
        <f t="shared" ca="1" si="0"/>
        <v>1.7666435060089063E-2</v>
      </c>
      <c r="D56">
        <f t="shared" ca="1" si="1"/>
        <v>3440.0163265306114</v>
      </c>
    </row>
    <row r="57" spans="1:4" x14ac:dyDescent="0.25">
      <c r="A57" s="2">
        <f ca="1">IFERROR(__xludf.DUMMYFUNCTION("""COMPUTED_VALUE"""),44455.6458333333)</f>
        <v>44455.645833333299</v>
      </c>
      <c r="B57" s="1">
        <f ca="1">IFERROR(__xludf.DUMMYFUNCTION("""COMPUTED_VALUE"""),3903.3)</f>
        <v>3903.3</v>
      </c>
      <c r="C57" s="3">
        <f t="shared" ca="1" si="0"/>
        <v>-1.2959755218672162E-2</v>
      </c>
      <c r="D57">
        <f t="shared" ca="1" si="1"/>
        <v>3452.9459183673457</v>
      </c>
    </row>
    <row r="58" spans="1:4" x14ac:dyDescent="0.25">
      <c r="A58" s="2">
        <f ca="1">IFERROR(__xludf.DUMMYFUNCTION("""COMPUTED_VALUE"""),44456.6458333333)</f>
        <v>44456.645833333299</v>
      </c>
      <c r="B58" s="1">
        <f ca="1">IFERROR(__xludf.DUMMYFUNCTION("""COMPUTED_VALUE"""),3827.85)</f>
        <v>3827.85</v>
      </c>
      <c r="C58" s="3">
        <f t="shared" ca="1" si="0"/>
        <v>-1.9329797863346466E-2</v>
      </c>
      <c r="D58">
        <f t="shared" ca="1" si="1"/>
        <v>3466.0275510204065</v>
      </c>
    </row>
    <row r="59" spans="1:4" x14ac:dyDescent="0.25">
      <c r="A59" s="2">
        <f ca="1">IFERROR(__xludf.DUMMYFUNCTION("""COMPUTED_VALUE"""),44459.6458333333)</f>
        <v>44459.645833333299</v>
      </c>
      <c r="B59" s="1">
        <f ca="1">IFERROR(__xludf.DUMMYFUNCTION("""COMPUTED_VALUE"""),3823.5)</f>
        <v>3823.5</v>
      </c>
      <c r="C59" s="3">
        <f t="shared" ca="1" si="0"/>
        <v>-1.1364081664641795E-3</v>
      </c>
      <c r="D59">
        <f t="shared" ca="1" si="1"/>
        <v>3477.3112244897948</v>
      </c>
    </row>
    <row r="60" spans="1:4" x14ac:dyDescent="0.25">
      <c r="A60" s="2">
        <f ca="1">IFERROR(__xludf.DUMMYFUNCTION("""COMPUTED_VALUE"""),44460.6458333333)</f>
        <v>44460.645833333299</v>
      </c>
      <c r="B60" s="1">
        <f ca="1">IFERROR(__xludf.DUMMYFUNCTION("""COMPUTED_VALUE"""),3862.95)</f>
        <v>3862.95</v>
      </c>
      <c r="C60" s="3">
        <f t="shared" ca="1" si="0"/>
        <v>1.0317771675166685E-2</v>
      </c>
      <c r="D60">
        <f t="shared" ca="1" si="1"/>
        <v>3488.8418367346926</v>
      </c>
    </row>
    <row r="61" spans="1:4" x14ac:dyDescent="0.25">
      <c r="A61" s="2">
        <f ca="1">IFERROR(__xludf.DUMMYFUNCTION("""COMPUTED_VALUE"""),44461.6458333333)</f>
        <v>44461.645833333299</v>
      </c>
      <c r="B61" s="1">
        <f ca="1">IFERROR(__xludf.DUMMYFUNCTION("""COMPUTED_VALUE"""),3862.15)</f>
        <v>3862.15</v>
      </c>
      <c r="C61" s="3">
        <f t="shared" ca="1" si="0"/>
        <v>-2.0709561345596687E-4</v>
      </c>
      <c r="D61">
        <f t="shared" ca="1" si="1"/>
        <v>3502.2051020408153</v>
      </c>
    </row>
    <row r="62" spans="1:4" x14ac:dyDescent="0.25">
      <c r="A62" s="2">
        <f ca="1">IFERROR(__xludf.DUMMYFUNCTION("""COMPUTED_VALUE"""),44462.6458333333)</f>
        <v>44462.645833333299</v>
      </c>
      <c r="B62" s="1">
        <f ca="1">IFERROR(__xludf.DUMMYFUNCTION("""COMPUTED_VALUE"""),3869.25)</f>
        <v>3869.25</v>
      </c>
      <c r="C62" s="3">
        <f t="shared" ca="1" si="0"/>
        <v>1.8383542845306134E-3</v>
      </c>
      <c r="D62">
        <f t="shared" ca="1" si="1"/>
        <v>3515.859183673469</v>
      </c>
    </row>
    <row r="63" spans="1:4" x14ac:dyDescent="0.25">
      <c r="A63" s="2">
        <f ca="1">IFERROR(__xludf.DUMMYFUNCTION("""COMPUTED_VALUE"""),44463.6458333333)</f>
        <v>44463.645833333299</v>
      </c>
      <c r="B63" s="1">
        <f ca="1">IFERROR(__xludf.DUMMYFUNCTION("""COMPUTED_VALUE"""),3871.3)</f>
        <v>3871.3</v>
      </c>
      <c r="C63" s="3">
        <f t="shared" ca="1" si="0"/>
        <v>5.2981844026624852E-4</v>
      </c>
      <c r="D63">
        <f t="shared" ca="1" si="1"/>
        <v>3529.7714285714278</v>
      </c>
    </row>
    <row r="64" spans="1:4" x14ac:dyDescent="0.25">
      <c r="A64" s="2">
        <f ca="1">IFERROR(__xludf.DUMMYFUNCTION("""COMPUTED_VALUE"""),44466.6458333333)</f>
        <v>44466.645833333299</v>
      </c>
      <c r="B64" s="1">
        <f ca="1">IFERROR(__xludf.DUMMYFUNCTION("""COMPUTED_VALUE"""),3836.95)</f>
        <v>3836.95</v>
      </c>
      <c r="C64" s="3">
        <f t="shared" ca="1" si="0"/>
        <v>-8.8729884018289365E-3</v>
      </c>
      <c r="D64">
        <f t="shared" ca="1" si="1"/>
        <v>3543.1744897959175</v>
      </c>
    </row>
    <row r="65" spans="1:4" x14ac:dyDescent="0.25">
      <c r="A65" s="2">
        <f ca="1">IFERROR(__xludf.DUMMYFUNCTION("""COMPUTED_VALUE"""),44467.6458333333)</f>
        <v>44467.645833333299</v>
      </c>
      <c r="B65" s="1">
        <f ca="1">IFERROR(__xludf.DUMMYFUNCTION("""COMPUTED_VALUE"""),3779.15)</f>
        <v>3779.15</v>
      </c>
      <c r="C65" s="3">
        <f t="shared" ca="1" si="0"/>
        <v>-1.5064048267504068E-2</v>
      </c>
      <c r="D65">
        <f t="shared" ca="1" si="1"/>
        <v>3556.1132653061218</v>
      </c>
    </row>
    <row r="66" spans="1:4" x14ac:dyDescent="0.25">
      <c r="A66" s="2">
        <f ca="1">IFERROR(__xludf.DUMMYFUNCTION("""COMPUTED_VALUE"""),44468.6458333333)</f>
        <v>44468.645833333299</v>
      </c>
      <c r="B66" s="1">
        <f ca="1">IFERROR(__xludf.DUMMYFUNCTION("""COMPUTED_VALUE"""),3791.9)</f>
        <v>3791.9</v>
      </c>
      <c r="C66" s="3">
        <f t="shared" ca="1" si="0"/>
        <v>3.3737745260177554E-3</v>
      </c>
      <c r="D66">
        <f t="shared" ca="1" si="1"/>
        <v>3568.0387755102029</v>
      </c>
    </row>
    <row r="67" spans="1:4" x14ac:dyDescent="0.25">
      <c r="A67" s="2">
        <f ca="1">IFERROR(__xludf.DUMMYFUNCTION("""COMPUTED_VALUE"""),44469.6458333333)</f>
        <v>44469.645833333299</v>
      </c>
      <c r="B67" s="1">
        <f ca="1">IFERROR(__xludf.DUMMYFUNCTION("""COMPUTED_VALUE"""),3775.55)</f>
        <v>3775.55</v>
      </c>
      <c r="C67" s="3">
        <f t="shared" ca="1" si="0"/>
        <v>-4.3118225691605554E-3</v>
      </c>
      <c r="D67">
        <f t="shared" ca="1" si="1"/>
        <v>3580.4326530612234</v>
      </c>
    </row>
    <row r="68" spans="1:4" x14ac:dyDescent="0.25">
      <c r="A68" s="2">
        <f ca="1">IFERROR(__xludf.DUMMYFUNCTION("""COMPUTED_VALUE"""),44470.6458333333)</f>
        <v>44470.645833333299</v>
      </c>
      <c r="B68" s="1">
        <f ca="1">IFERROR(__xludf.DUMMYFUNCTION("""COMPUTED_VALUE"""),3730.2)</f>
        <v>3730.2</v>
      </c>
      <c r="C68" s="3">
        <f t="shared" ref="C68:C131" ca="1" si="2">(B68-B67)/B67</f>
        <v>-1.2011495013971571E-2</v>
      </c>
      <c r="D68">
        <f t="shared" ca="1" si="1"/>
        <v>3592.0602040816316</v>
      </c>
    </row>
    <row r="69" spans="1:4" x14ac:dyDescent="0.25">
      <c r="A69" s="2">
        <f ca="1">IFERROR(__xludf.DUMMYFUNCTION("""COMPUTED_VALUE"""),44473.6458333333)</f>
        <v>44473.645833333299</v>
      </c>
      <c r="B69" s="1">
        <f ca="1">IFERROR(__xludf.DUMMYFUNCTION("""COMPUTED_VALUE"""),3773.3)</f>
        <v>3773.3</v>
      </c>
      <c r="C69" s="3">
        <f t="shared" ca="1" si="2"/>
        <v>1.1554340249852652E-2</v>
      </c>
      <c r="D69">
        <f t="shared" ca="1" si="1"/>
        <v>3602.5469387755093</v>
      </c>
    </row>
    <row r="70" spans="1:4" x14ac:dyDescent="0.25">
      <c r="A70" s="2">
        <f ca="1">IFERROR(__xludf.DUMMYFUNCTION("""COMPUTED_VALUE"""),44474.6458333333)</f>
        <v>44474.645833333299</v>
      </c>
      <c r="B70" s="1">
        <f ca="1">IFERROR(__xludf.DUMMYFUNCTION("""COMPUTED_VALUE"""),3833.3)</f>
        <v>3833.3</v>
      </c>
      <c r="C70" s="3">
        <f t="shared" ca="1" si="2"/>
        <v>1.5901200540640818E-2</v>
      </c>
      <c r="D70">
        <f t="shared" ca="1" si="1"/>
        <v>3613.9846938775504</v>
      </c>
    </row>
    <row r="71" spans="1:4" x14ac:dyDescent="0.25">
      <c r="A71" s="2">
        <f ca="1">IFERROR(__xludf.DUMMYFUNCTION("""COMPUTED_VALUE"""),44475.6458333333)</f>
        <v>44475.645833333299</v>
      </c>
      <c r="B71" s="1">
        <f ca="1">IFERROR(__xludf.DUMMYFUNCTION("""COMPUTED_VALUE"""),3810.9)</f>
        <v>3810.9</v>
      </c>
      <c r="C71" s="3">
        <f t="shared" ca="1" si="2"/>
        <v>-5.8435290741658862E-3</v>
      </c>
      <c r="D71">
        <f t="shared" ca="1" si="1"/>
        <v>3626.9591836734689</v>
      </c>
    </row>
    <row r="72" spans="1:4" x14ac:dyDescent="0.25">
      <c r="A72" s="2">
        <f ca="1">IFERROR(__xludf.DUMMYFUNCTION("""COMPUTED_VALUE"""),44476.6458333333)</f>
        <v>44476.645833333299</v>
      </c>
      <c r="B72" s="1">
        <f ca="1">IFERROR(__xludf.DUMMYFUNCTION("""COMPUTED_VALUE"""),3892.9)</f>
        <v>3892.9</v>
      </c>
      <c r="C72" s="3">
        <f t="shared" ca="1" si="2"/>
        <v>2.151722690178173E-2</v>
      </c>
      <c r="D72">
        <f t="shared" ca="1" si="1"/>
        <v>3639.7744897959174</v>
      </c>
    </row>
    <row r="73" spans="1:4" x14ac:dyDescent="0.25">
      <c r="A73" s="2">
        <f ca="1">IFERROR(__xludf.DUMMYFUNCTION("""COMPUTED_VALUE"""),44477.6458333333)</f>
        <v>44477.645833333299</v>
      </c>
      <c r="B73" s="1">
        <f ca="1">IFERROR(__xludf.DUMMYFUNCTION("""COMPUTED_VALUE"""),3935.65)</f>
        <v>3935.65</v>
      </c>
      <c r="C73" s="3">
        <f t="shared" ca="1" si="2"/>
        <v>1.0981530478563539E-2</v>
      </c>
      <c r="D73">
        <f t="shared" ca="1" si="1"/>
        <v>3653.9602040816317</v>
      </c>
    </row>
    <row r="74" spans="1:4" x14ac:dyDescent="0.25">
      <c r="A74" s="2">
        <f ca="1">IFERROR(__xludf.DUMMYFUNCTION("""COMPUTED_VALUE"""),44480.6458333333)</f>
        <v>44480.645833333299</v>
      </c>
      <c r="B74" s="1">
        <f ca="1">IFERROR(__xludf.DUMMYFUNCTION("""COMPUTED_VALUE"""),3685.6)</f>
        <v>3685.6</v>
      </c>
      <c r="C74" s="3">
        <f t="shared" ca="1" si="2"/>
        <v>-6.3534613088054109E-2</v>
      </c>
      <c r="D74">
        <f t="shared" ca="1" si="1"/>
        <v>3669.0591836734679</v>
      </c>
    </row>
    <row r="75" spans="1:4" x14ac:dyDescent="0.25">
      <c r="A75" s="2">
        <f ca="1">IFERROR(__xludf.DUMMYFUNCTION("""COMPUTED_VALUE"""),44481.6458333333)</f>
        <v>44481.645833333299</v>
      </c>
      <c r="B75" s="1">
        <f ca="1">IFERROR(__xludf.DUMMYFUNCTION("""COMPUTED_VALUE"""),3652.85)</f>
        <v>3652.85</v>
      </c>
      <c r="C75" s="3">
        <f t="shared" ca="1" si="2"/>
        <v>-8.88593444757977E-3</v>
      </c>
      <c r="D75">
        <f t="shared" ca="1" si="1"/>
        <v>3679.6336734693864</v>
      </c>
    </row>
    <row r="76" spans="1:4" x14ac:dyDescent="0.25">
      <c r="A76" s="2">
        <f ca="1">IFERROR(__xludf.DUMMYFUNCTION("""COMPUTED_VALUE"""),44482.6458333333)</f>
        <v>44482.645833333299</v>
      </c>
      <c r="B76" s="1">
        <f ca="1">IFERROR(__xludf.DUMMYFUNCTION("""COMPUTED_VALUE"""),3655.2)</f>
        <v>3655.2</v>
      </c>
      <c r="C76" s="3">
        <f t="shared" ca="1" si="2"/>
        <v>6.4333328770683411E-4</v>
      </c>
      <c r="D76">
        <f t="shared" ca="1" si="1"/>
        <v>3688.4795918367336</v>
      </c>
    </row>
    <row r="77" spans="1:4" x14ac:dyDescent="0.25">
      <c r="A77" s="2">
        <f ca="1">IFERROR(__xludf.DUMMYFUNCTION("""COMPUTED_VALUE"""),44483.6458333333)</f>
        <v>44483.645833333299</v>
      </c>
      <c r="B77" s="1">
        <f ca="1">IFERROR(__xludf.DUMMYFUNCTION("""COMPUTED_VALUE"""),3611.45)</f>
        <v>3611.45</v>
      </c>
      <c r="C77" s="3">
        <f t="shared" ca="1" si="2"/>
        <v>-1.1969249288684614E-2</v>
      </c>
      <c r="D77">
        <f t="shared" ca="1" si="1"/>
        <v>3696.0367346938774</v>
      </c>
    </row>
    <row r="78" spans="1:4" x14ac:dyDescent="0.25">
      <c r="A78" s="2">
        <f ca="1">IFERROR(__xludf.DUMMYFUNCTION("""COMPUTED_VALUE"""),44487.6458333333)</f>
        <v>44487.645833333299</v>
      </c>
      <c r="B78" s="1">
        <f ca="1">IFERROR(__xludf.DUMMYFUNCTION("""COMPUTED_VALUE"""),3647.15)</f>
        <v>3647.15</v>
      </c>
      <c r="C78" s="3">
        <f t="shared" ca="1" si="2"/>
        <v>9.8852261556993098E-3</v>
      </c>
      <c r="D78">
        <f t="shared" ca="1" si="1"/>
        <v>3702.9244897959179</v>
      </c>
    </row>
    <row r="79" spans="1:4" x14ac:dyDescent="0.25">
      <c r="A79" s="2">
        <f ca="1">IFERROR(__xludf.DUMMYFUNCTION("""COMPUTED_VALUE"""),44488.6458333333)</f>
        <v>44488.645833333299</v>
      </c>
      <c r="B79" s="1">
        <f ca="1">IFERROR(__xludf.DUMMYFUNCTION("""COMPUTED_VALUE"""),3634.15)</f>
        <v>3634.15</v>
      </c>
      <c r="C79" s="3">
        <f t="shared" ca="1" si="2"/>
        <v>-3.5644270183567989E-3</v>
      </c>
      <c r="D79">
        <f t="shared" ca="1" si="1"/>
        <v>3710.3367346938771</v>
      </c>
    </row>
    <row r="80" spans="1:4" x14ac:dyDescent="0.25">
      <c r="A80" s="2">
        <f ca="1">IFERROR(__xludf.DUMMYFUNCTION("""COMPUTED_VALUE"""),44489.6458333333)</f>
        <v>44489.645833333299</v>
      </c>
      <c r="B80" s="1">
        <f ca="1">IFERROR(__xludf.DUMMYFUNCTION("""COMPUTED_VALUE"""),3608.85)</f>
        <v>3608.85</v>
      </c>
      <c r="C80" s="3">
        <f t="shared" ca="1" si="2"/>
        <v>-6.9617379579819715E-3</v>
      </c>
      <c r="D80">
        <f t="shared" ca="1" si="1"/>
        <v>3716.9561224489785</v>
      </c>
    </row>
    <row r="81" spans="1:4" x14ac:dyDescent="0.25">
      <c r="A81" s="2">
        <f ca="1">IFERROR(__xludf.DUMMYFUNCTION("""COMPUTED_VALUE"""),44490.6458333333)</f>
        <v>44490.645833333299</v>
      </c>
      <c r="B81" s="1">
        <f ca="1">IFERROR(__xludf.DUMMYFUNCTION("""COMPUTED_VALUE"""),3532.5)</f>
        <v>3532.5</v>
      </c>
      <c r="C81" s="3">
        <f t="shared" ca="1" si="2"/>
        <v>-2.1156324036742981E-2</v>
      </c>
      <c r="D81">
        <f t="shared" ca="1" si="1"/>
        <v>3722.7959183673465</v>
      </c>
    </row>
    <row r="82" spans="1:4" x14ac:dyDescent="0.25">
      <c r="A82" s="2">
        <f ca="1">IFERROR(__xludf.DUMMYFUNCTION("""COMPUTED_VALUE"""),44491.6458333333)</f>
        <v>44491.645833333299</v>
      </c>
      <c r="B82" s="1">
        <f ca="1">IFERROR(__xludf.DUMMYFUNCTION("""COMPUTED_VALUE"""),3498.85)</f>
        <v>3498.85</v>
      </c>
      <c r="C82" s="3">
        <f t="shared" ca="1" si="2"/>
        <v>-9.5258315640481504E-3</v>
      </c>
      <c r="D82">
        <f t="shared" ca="1" si="1"/>
        <v>3726.8489795918363</v>
      </c>
    </row>
    <row r="83" spans="1:4" x14ac:dyDescent="0.25">
      <c r="A83" s="2">
        <f ca="1">IFERROR(__xludf.DUMMYFUNCTION("""COMPUTED_VALUE"""),44494.6458333333)</f>
        <v>44494.645833333299</v>
      </c>
      <c r="B83" s="1">
        <f ca="1">IFERROR(__xludf.DUMMYFUNCTION("""COMPUTED_VALUE"""),3492.95)</f>
        <v>3492.95</v>
      </c>
      <c r="C83" s="3">
        <f t="shared" ca="1" si="2"/>
        <v>-1.6862683453134862E-3</v>
      </c>
      <c r="D83">
        <f t="shared" ca="1" si="1"/>
        <v>3730.0051020408159</v>
      </c>
    </row>
    <row r="84" spans="1:4" x14ac:dyDescent="0.25">
      <c r="A84" s="2">
        <f ca="1">IFERROR(__xludf.DUMMYFUNCTION("""COMPUTED_VALUE"""),44495.6458333333)</f>
        <v>44495.645833333299</v>
      </c>
      <c r="B84" s="1">
        <f ca="1">IFERROR(__xludf.DUMMYFUNCTION("""COMPUTED_VALUE"""),3482.6)</f>
        <v>3482.6</v>
      </c>
      <c r="C84" s="3">
        <f t="shared" ca="1" si="2"/>
        <v>-2.9631114101260855E-3</v>
      </c>
      <c r="D84">
        <f t="shared" ca="1" si="1"/>
        <v>3732.8867346938778</v>
      </c>
    </row>
    <row r="85" spans="1:4" x14ac:dyDescent="0.25">
      <c r="A85" s="2">
        <f ca="1">IFERROR(__xludf.DUMMYFUNCTION("""COMPUTED_VALUE"""),44496.6458333333)</f>
        <v>44496.645833333299</v>
      </c>
      <c r="B85" s="1">
        <f ca="1">IFERROR(__xludf.DUMMYFUNCTION("""COMPUTED_VALUE"""),3489.75)</f>
        <v>3489.75</v>
      </c>
      <c r="C85" s="3">
        <f t="shared" ca="1" si="2"/>
        <v>2.053063802905901E-3</v>
      </c>
      <c r="D85">
        <f t="shared" ca="1" si="1"/>
        <v>3733.2785714285719</v>
      </c>
    </row>
    <row r="86" spans="1:4" x14ac:dyDescent="0.25">
      <c r="A86" s="2">
        <f ca="1">IFERROR(__xludf.DUMMYFUNCTION("""COMPUTED_VALUE"""),44497.6458333333)</f>
        <v>44497.645833333299</v>
      </c>
      <c r="B86" s="1">
        <f ca="1">IFERROR(__xludf.DUMMYFUNCTION("""COMPUTED_VALUE"""),3421.65)</f>
        <v>3421.65</v>
      </c>
      <c r="C86" s="3">
        <f t="shared" ca="1" si="2"/>
        <v>-1.9514291854717359E-2</v>
      </c>
      <c r="D86">
        <f t="shared" ca="1" si="1"/>
        <v>3733.6214285714295</v>
      </c>
    </row>
    <row r="87" spans="1:4" x14ac:dyDescent="0.25">
      <c r="A87" s="2">
        <f ca="1">IFERROR(__xludf.DUMMYFUNCTION("""COMPUTED_VALUE"""),44498.6458333333)</f>
        <v>44498.645833333299</v>
      </c>
      <c r="B87" s="1">
        <f ca="1">IFERROR(__xludf.DUMMYFUNCTION("""COMPUTED_VALUE"""),3397.75)</f>
        <v>3397.75</v>
      </c>
      <c r="C87" s="3">
        <f t="shared" ca="1" si="2"/>
        <v>-6.9849341691874071E-3</v>
      </c>
      <c r="D87">
        <f t="shared" ca="1" si="1"/>
        <v>3730.9397959183684</v>
      </c>
    </row>
    <row r="88" spans="1:4" x14ac:dyDescent="0.25">
      <c r="A88" s="2">
        <f ca="1">IFERROR(__xludf.DUMMYFUNCTION("""COMPUTED_VALUE"""),44501.6458333333)</f>
        <v>44501.645833333299</v>
      </c>
      <c r="B88" s="1">
        <f ca="1">IFERROR(__xludf.DUMMYFUNCTION("""COMPUTED_VALUE"""),3476.4)</f>
        <v>3476.4</v>
      </c>
      <c r="C88" s="3">
        <f t="shared" ca="1" si="2"/>
        <v>2.3147671253035122E-2</v>
      </c>
      <c r="D88">
        <f t="shared" ca="1" si="1"/>
        <v>3727.6173469387759</v>
      </c>
    </row>
    <row r="89" spans="1:4" x14ac:dyDescent="0.25">
      <c r="A89" s="2">
        <f ca="1">IFERROR(__xludf.DUMMYFUNCTION("""COMPUTED_VALUE"""),44502.6458333333)</f>
        <v>44502.645833333299</v>
      </c>
      <c r="B89" s="1">
        <f ca="1">IFERROR(__xludf.DUMMYFUNCTION("""COMPUTED_VALUE"""),3484.2)</f>
        <v>3484.2</v>
      </c>
      <c r="C89" s="3">
        <f t="shared" ca="1" si="2"/>
        <v>2.2437003797030628E-3</v>
      </c>
      <c r="D89">
        <f t="shared" ca="1" si="1"/>
        <v>3725.9214285714293</v>
      </c>
    </row>
    <row r="90" spans="1:4" x14ac:dyDescent="0.25">
      <c r="A90" s="2">
        <f ca="1">IFERROR(__xludf.DUMMYFUNCTION("""COMPUTED_VALUE"""),44503.6458333333)</f>
        <v>44503.645833333299</v>
      </c>
      <c r="B90" s="1">
        <f ca="1">IFERROR(__xludf.DUMMYFUNCTION("""COMPUTED_VALUE"""),3492.25)</f>
        <v>3492.25</v>
      </c>
      <c r="C90" s="3">
        <f t="shared" ca="1" si="2"/>
        <v>2.3104299408760066E-3</v>
      </c>
      <c r="D90">
        <f t="shared" ca="1" si="1"/>
        <v>3722.7948979591847</v>
      </c>
    </row>
    <row r="91" spans="1:4" x14ac:dyDescent="0.25">
      <c r="A91" s="2">
        <f ca="1">IFERROR(__xludf.DUMMYFUNCTION("""COMPUTED_VALUE"""),44504.8020833333)</f>
        <v>44504.802083333299</v>
      </c>
      <c r="B91" s="1">
        <f ca="1">IFERROR(__xludf.DUMMYFUNCTION("""COMPUTED_VALUE"""),3508.65)</f>
        <v>3508.65</v>
      </c>
      <c r="C91" s="3">
        <f t="shared" ca="1" si="2"/>
        <v>4.6961128212470735E-3</v>
      </c>
      <c r="D91">
        <f t="shared" ca="1" si="1"/>
        <v>3720.3265306122453</v>
      </c>
    </row>
    <row r="92" spans="1:4" x14ac:dyDescent="0.25">
      <c r="A92" s="2">
        <f ca="1">IFERROR(__xludf.DUMMYFUNCTION("""COMPUTED_VALUE"""),44508.6458333333)</f>
        <v>44508.645833333299</v>
      </c>
      <c r="B92" s="1">
        <f ca="1">IFERROR(__xludf.DUMMYFUNCTION("""COMPUTED_VALUE"""),3502.75)</f>
        <v>3502.75</v>
      </c>
      <c r="C92" s="3">
        <f t="shared" ca="1" si="2"/>
        <v>-1.6815584341556128E-3</v>
      </c>
      <c r="D92">
        <f t="shared" ca="1" si="1"/>
        <v>3717.2581632653059</v>
      </c>
    </row>
    <row r="93" spans="1:4" x14ac:dyDescent="0.25">
      <c r="A93" s="2">
        <f ca="1">IFERROR(__xludf.DUMMYFUNCTION("""COMPUTED_VALUE"""),44509.6458333333)</f>
        <v>44509.645833333299</v>
      </c>
      <c r="B93" s="1">
        <f ca="1">IFERROR(__xludf.DUMMYFUNCTION("""COMPUTED_VALUE"""),3505.7)</f>
        <v>3505.7</v>
      </c>
      <c r="C93" s="3">
        <f t="shared" ca="1" si="2"/>
        <v>8.4219541788589484E-4</v>
      </c>
      <c r="D93">
        <f t="shared" ca="1" si="1"/>
        <v>3713.8071428571434</v>
      </c>
    </row>
    <row r="94" spans="1:4" x14ac:dyDescent="0.25">
      <c r="A94" s="2">
        <f ca="1">IFERROR(__xludf.DUMMYFUNCTION("""COMPUTED_VALUE"""),44510.6458333333)</f>
        <v>44510.645833333299</v>
      </c>
      <c r="B94" s="1">
        <f ca="1">IFERROR(__xludf.DUMMYFUNCTION("""COMPUTED_VALUE"""),3484.3)</f>
        <v>3484.3</v>
      </c>
      <c r="C94" s="3">
        <f t="shared" ca="1" si="2"/>
        <v>-6.1043443534813694E-3</v>
      </c>
      <c r="D94">
        <f t="shared" ca="1" si="1"/>
        <v>3709.4306122448979</v>
      </c>
    </row>
    <row r="95" spans="1:4" x14ac:dyDescent="0.25">
      <c r="A95" s="2">
        <f ca="1">IFERROR(__xludf.DUMMYFUNCTION("""COMPUTED_VALUE"""),44511.6458333333)</f>
        <v>44511.645833333299</v>
      </c>
      <c r="B95" s="1">
        <f ca="1">IFERROR(__xludf.DUMMYFUNCTION("""COMPUTED_VALUE"""),3488.2)</f>
        <v>3488.2</v>
      </c>
      <c r="C95" s="3">
        <f t="shared" ca="1" si="2"/>
        <v>1.1193066039088585E-3</v>
      </c>
      <c r="D95">
        <f t="shared" ca="1" si="1"/>
        <v>3705.0020408163268</v>
      </c>
    </row>
    <row r="96" spans="1:4" x14ac:dyDescent="0.25">
      <c r="A96" s="2">
        <f ca="1">IFERROR(__xludf.DUMMYFUNCTION("""COMPUTED_VALUE"""),44512.6458333333)</f>
        <v>44512.645833333299</v>
      </c>
      <c r="B96" s="1">
        <f ca="1">IFERROR(__xludf.DUMMYFUNCTION("""COMPUTED_VALUE"""),3526.05)</f>
        <v>3526.05</v>
      </c>
      <c r="C96" s="3">
        <f t="shared" ca="1" si="2"/>
        <v>1.0850868642853152E-2</v>
      </c>
      <c r="D96">
        <f t="shared" ca="1" si="1"/>
        <v>3698.9153061224492</v>
      </c>
    </row>
    <row r="97" spans="1:4" x14ac:dyDescent="0.25">
      <c r="A97" s="2">
        <f ca="1">IFERROR(__xludf.DUMMYFUNCTION("""COMPUTED_VALUE"""),44515.6458333333)</f>
        <v>44515.645833333299</v>
      </c>
      <c r="B97" s="1">
        <f ca="1">IFERROR(__xludf.DUMMYFUNCTION("""COMPUTED_VALUE"""),3553.3)</f>
        <v>3553.3</v>
      </c>
      <c r="C97" s="3">
        <f t="shared" ca="1" si="2"/>
        <v>7.7281944385360389E-3</v>
      </c>
      <c r="D97">
        <f t="shared" ca="1" si="1"/>
        <v>3695.0602040816325</v>
      </c>
    </row>
    <row r="98" spans="1:4" x14ac:dyDescent="0.25">
      <c r="A98" s="2">
        <f ca="1">IFERROR(__xludf.DUMMYFUNCTION("""COMPUTED_VALUE"""),44516.6458333333)</f>
        <v>44516.645833333299</v>
      </c>
      <c r="B98" s="1">
        <f ca="1">IFERROR(__xludf.DUMMYFUNCTION("""COMPUTED_VALUE"""),3556.4)</f>
        <v>3556.4</v>
      </c>
      <c r="C98" s="3">
        <f t="shared" ca="1" si="2"/>
        <v>8.7242844679591056E-4</v>
      </c>
      <c r="D98">
        <f t="shared" ca="1" si="1"/>
        <v>3689.275510204081</v>
      </c>
    </row>
    <row r="99" spans="1:4" x14ac:dyDescent="0.25">
      <c r="A99" s="2">
        <f ca="1">IFERROR(__xludf.DUMMYFUNCTION("""COMPUTED_VALUE"""),44517.6458333333)</f>
        <v>44517.645833333299</v>
      </c>
      <c r="B99" s="1">
        <f ca="1">IFERROR(__xludf.DUMMYFUNCTION("""COMPUTED_VALUE"""),3521.9)</f>
        <v>3521.9</v>
      </c>
      <c r="C99" s="3">
        <f t="shared" ca="1" si="2"/>
        <v>-9.7008210549994374E-3</v>
      </c>
      <c r="D99">
        <f t="shared" ca="1" si="1"/>
        <v>3683.4459183673466</v>
      </c>
    </row>
    <row r="100" spans="1:4" x14ac:dyDescent="0.25">
      <c r="A100" s="2">
        <f ca="1">IFERROR(__xludf.DUMMYFUNCTION("""COMPUTED_VALUE"""),44518.6458333333)</f>
        <v>44518.645833333299</v>
      </c>
      <c r="B100" s="1">
        <f ca="1">IFERROR(__xludf.DUMMYFUNCTION("""COMPUTED_VALUE"""),3475.7)</f>
        <v>3475.7</v>
      </c>
      <c r="C100" s="3">
        <f t="shared" ca="1" si="2"/>
        <v>-1.3117919304920716E-2</v>
      </c>
      <c r="D100">
        <f t="shared" ca="1" si="1"/>
        <v>3676.7091836734689</v>
      </c>
    </row>
    <row r="101" spans="1:4" x14ac:dyDescent="0.25">
      <c r="A101" s="2">
        <f ca="1">IFERROR(__xludf.DUMMYFUNCTION("""COMPUTED_VALUE"""),44522.6458333333)</f>
        <v>44522.645833333299</v>
      </c>
      <c r="B101" s="1">
        <f ca="1">IFERROR(__xludf.DUMMYFUNCTION("""COMPUTED_VALUE"""),3458.4)</f>
        <v>3458.4</v>
      </c>
      <c r="C101" s="3">
        <f t="shared" ca="1" si="2"/>
        <v>-4.9774146215150125E-3</v>
      </c>
      <c r="D101">
        <f t="shared" ca="1" si="1"/>
        <v>3669.7663265306119</v>
      </c>
    </row>
    <row r="102" spans="1:4" x14ac:dyDescent="0.25">
      <c r="A102" s="2">
        <f ca="1">IFERROR(__xludf.DUMMYFUNCTION("""COMPUTED_VALUE"""),44523.6458333333)</f>
        <v>44523.645833333299</v>
      </c>
      <c r="B102" s="1">
        <f ca="1">IFERROR(__xludf.DUMMYFUNCTION("""COMPUTED_VALUE"""),3464.25)</f>
        <v>3464.25</v>
      </c>
      <c r="C102" s="3">
        <f t="shared" ca="1" si="2"/>
        <v>1.6915336571824858E-3</v>
      </c>
      <c r="D102">
        <f t="shared" ca="1" si="1"/>
        <v>3663.3224489795916</v>
      </c>
    </row>
    <row r="103" spans="1:4" x14ac:dyDescent="0.25">
      <c r="A103" s="2">
        <f ca="1">IFERROR(__xludf.DUMMYFUNCTION("""COMPUTED_VALUE"""),44524.6458333333)</f>
        <v>44524.645833333299</v>
      </c>
      <c r="B103" s="1">
        <f ca="1">IFERROR(__xludf.DUMMYFUNCTION("""COMPUTED_VALUE"""),3443.3)</f>
        <v>3443.3</v>
      </c>
      <c r="C103" s="3">
        <f t="shared" ca="1" si="2"/>
        <v>-6.0474850256187684E-3</v>
      </c>
      <c r="D103">
        <f t="shared" ca="1" si="1"/>
        <v>3656.6459183673464</v>
      </c>
    </row>
    <row r="104" spans="1:4" x14ac:dyDescent="0.25">
      <c r="A104" s="2">
        <f ca="1">IFERROR(__xludf.DUMMYFUNCTION("""COMPUTED_VALUE"""),44525.6458333333)</f>
        <v>44525.645833333299</v>
      </c>
      <c r="B104" s="1">
        <f ca="1">IFERROR(__xludf.DUMMYFUNCTION("""COMPUTED_VALUE"""),3445.9)</f>
        <v>3445.9</v>
      </c>
      <c r="C104" s="3">
        <f t="shared" ca="1" si="2"/>
        <v>7.5508959428452612E-4</v>
      </c>
      <c r="D104">
        <f t="shared" ca="1" si="1"/>
        <v>3648.4408163265302</v>
      </c>
    </row>
    <row r="105" spans="1:4" x14ac:dyDescent="0.25">
      <c r="A105" s="2">
        <f ca="1">IFERROR(__xludf.DUMMYFUNCTION("""COMPUTED_VALUE"""),44526.6458333333)</f>
        <v>44526.645833333299</v>
      </c>
      <c r="B105" s="1">
        <f ca="1">IFERROR(__xludf.DUMMYFUNCTION("""COMPUTED_VALUE"""),3446.85)</f>
        <v>3446.85</v>
      </c>
      <c r="C105" s="3">
        <f t="shared" ca="1" si="2"/>
        <v>2.7568995037575614E-4</v>
      </c>
      <c r="D105">
        <f t="shared" ca="1" si="1"/>
        <v>3639.4612244897953</v>
      </c>
    </row>
    <row r="106" spans="1:4" x14ac:dyDescent="0.25">
      <c r="A106" s="2">
        <f ca="1">IFERROR(__xludf.DUMMYFUNCTION("""COMPUTED_VALUE"""),44529.6458333333)</f>
        <v>44529.645833333299</v>
      </c>
      <c r="B106" s="1">
        <f ca="1">IFERROR(__xludf.DUMMYFUNCTION("""COMPUTED_VALUE"""),3502)</f>
        <v>3502</v>
      </c>
      <c r="C106" s="3">
        <f t="shared" ca="1" si="2"/>
        <v>1.600011604798587E-2</v>
      </c>
      <c r="D106">
        <f t="shared" ca="1" si="1"/>
        <v>3629.0999999999995</v>
      </c>
    </row>
    <row r="107" spans="1:4" x14ac:dyDescent="0.25">
      <c r="A107" s="2">
        <f ca="1">IFERROR(__xludf.DUMMYFUNCTION("""COMPUTED_VALUE"""),44530.6458333333)</f>
        <v>44530.645833333299</v>
      </c>
      <c r="B107" s="1">
        <f ca="1">IFERROR(__xludf.DUMMYFUNCTION("""COMPUTED_VALUE"""),3529.15)</f>
        <v>3529.15</v>
      </c>
      <c r="C107" s="3">
        <f t="shared" ca="1" si="2"/>
        <v>7.7527127355796945E-3</v>
      </c>
      <c r="D107">
        <f t="shared" ca="1" si="1"/>
        <v>3620.9102040816315</v>
      </c>
    </row>
    <row r="108" spans="1:4" x14ac:dyDescent="0.25">
      <c r="A108" s="2">
        <f ca="1">IFERROR(__xludf.DUMMYFUNCTION("""COMPUTED_VALUE"""),44531.6458333333)</f>
        <v>44531.645833333299</v>
      </c>
      <c r="B108" s="1">
        <f ca="1">IFERROR(__xludf.DUMMYFUNCTION("""COMPUTED_VALUE"""),3577.8)</f>
        <v>3577.8</v>
      </c>
      <c r="C108" s="3">
        <f t="shared" ca="1" si="2"/>
        <v>1.3785189068189249E-2</v>
      </c>
      <c r="D108">
        <f t="shared" ca="1" si="1"/>
        <v>3614.8142857142843</v>
      </c>
    </row>
    <row r="109" spans="1:4" x14ac:dyDescent="0.25">
      <c r="A109" s="2">
        <f ca="1">IFERROR(__xludf.DUMMYFUNCTION("""COMPUTED_VALUE"""),44532.6458333333)</f>
        <v>44532.645833333299</v>
      </c>
      <c r="B109" s="1">
        <f ca="1">IFERROR(__xludf.DUMMYFUNCTION("""COMPUTED_VALUE"""),3642.9)</f>
        <v>3642.9</v>
      </c>
      <c r="C109" s="3">
        <f t="shared" ca="1" si="2"/>
        <v>1.8195539158141847E-2</v>
      </c>
      <c r="D109">
        <f t="shared" ca="1" si="1"/>
        <v>3609.7999999999984</v>
      </c>
    </row>
    <row r="110" spans="1:4" x14ac:dyDescent="0.25">
      <c r="A110" s="2">
        <f ca="1">IFERROR(__xludf.DUMMYFUNCTION("""COMPUTED_VALUE"""),44533.6458333333)</f>
        <v>44533.645833333299</v>
      </c>
      <c r="B110" s="1">
        <f ca="1">IFERROR(__xludf.DUMMYFUNCTION("""COMPUTED_VALUE"""),3640.45)</f>
        <v>3640.45</v>
      </c>
      <c r="C110" s="3">
        <f t="shared" ca="1" si="2"/>
        <v>-6.7254110735959617E-4</v>
      </c>
      <c r="D110">
        <f t="shared" ca="1" si="1"/>
        <v>3605.3091836734679</v>
      </c>
    </row>
    <row r="111" spans="1:4" x14ac:dyDescent="0.25">
      <c r="A111" s="2">
        <f ca="1">IFERROR(__xludf.DUMMYFUNCTION("""COMPUTED_VALUE"""),44536.6458333333)</f>
        <v>44536.645833333299</v>
      </c>
      <c r="B111" s="1">
        <f ca="1">IFERROR(__xludf.DUMMYFUNCTION("""COMPUTED_VALUE"""),3536.4)</f>
        <v>3536.4</v>
      </c>
      <c r="C111" s="3">
        <f t="shared" ca="1" si="2"/>
        <v>-2.8581631391723476E-2</v>
      </c>
      <c r="D111">
        <f t="shared" ca="1" si="1"/>
        <v>3600.7846938775506</v>
      </c>
    </row>
    <row r="112" spans="1:4" x14ac:dyDescent="0.25">
      <c r="A112" s="2">
        <f ca="1">IFERROR(__xludf.DUMMYFUNCTION("""COMPUTED_VALUE"""),44537.6458333333)</f>
        <v>44537.645833333299</v>
      </c>
      <c r="B112" s="1">
        <f ca="1">IFERROR(__xludf.DUMMYFUNCTION("""COMPUTED_VALUE"""),3584.5)</f>
        <v>3584.5</v>
      </c>
      <c r="C112" s="3">
        <f t="shared" ca="1" si="2"/>
        <v>1.3601402556271888E-2</v>
      </c>
      <c r="D112">
        <f t="shared" ca="1" si="1"/>
        <v>3593.9918367346927</v>
      </c>
    </row>
    <row r="113" spans="1:4" x14ac:dyDescent="0.25">
      <c r="A113" s="2">
        <f ca="1">IFERROR(__xludf.DUMMYFUNCTION("""COMPUTED_VALUE"""),44538.6458333333)</f>
        <v>44538.645833333299</v>
      </c>
      <c r="B113" s="1">
        <f ca="1">IFERROR(__xludf.DUMMYFUNCTION("""COMPUTED_VALUE"""),3626.9)</f>
        <v>3626.9</v>
      </c>
      <c r="C113" s="3">
        <f t="shared" ca="1" si="2"/>
        <v>1.1828706932626613E-2</v>
      </c>
      <c r="D113">
        <f t="shared" ca="1" si="1"/>
        <v>3588.1387755102028</v>
      </c>
    </row>
    <row r="114" spans="1:4" x14ac:dyDescent="0.25">
      <c r="A114" s="2">
        <f ca="1">IFERROR(__xludf.DUMMYFUNCTION("""COMPUTED_VALUE"""),44539.6458333333)</f>
        <v>44539.645833333299</v>
      </c>
      <c r="B114" s="1">
        <f ca="1">IFERROR(__xludf.DUMMYFUNCTION("""COMPUTED_VALUE"""),3601.75)</f>
        <v>3601.75</v>
      </c>
      <c r="C114" s="3">
        <f t="shared" ca="1" si="2"/>
        <v>-6.9342965066586035E-3</v>
      </c>
      <c r="D114">
        <f t="shared" ca="1" si="1"/>
        <v>3583.8520408163254</v>
      </c>
    </row>
    <row r="115" spans="1:4" x14ac:dyDescent="0.25">
      <c r="A115" s="2">
        <f ca="1">IFERROR(__xludf.DUMMYFUNCTION("""COMPUTED_VALUE"""),44540.6458333333)</f>
        <v>44540.645833333299</v>
      </c>
      <c r="B115" s="1">
        <f ca="1">IFERROR(__xludf.DUMMYFUNCTION("""COMPUTED_VALUE"""),3636.8)</f>
        <v>3636.8</v>
      </c>
      <c r="C115" s="3">
        <f t="shared" ca="1" si="2"/>
        <v>9.7313805788853142E-3</v>
      </c>
      <c r="D115">
        <f t="shared" ca="1" si="1"/>
        <v>3580.2316326530595</v>
      </c>
    </row>
    <row r="116" spans="1:4" x14ac:dyDescent="0.25">
      <c r="A116" s="2">
        <f ca="1">IFERROR(__xludf.DUMMYFUNCTION("""COMPUTED_VALUE"""),44543.6458333333)</f>
        <v>44543.645833333299</v>
      </c>
      <c r="B116" s="1">
        <f ca="1">IFERROR(__xludf.DUMMYFUNCTION("""COMPUTED_VALUE"""),3609.65)</f>
        <v>3609.65</v>
      </c>
      <c r="C116" s="3">
        <f t="shared" ca="1" si="2"/>
        <v>-7.4653541575011246E-3</v>
      </c>
      <c r="D116">
        <f t="shared" ref="D116:D179" ca="1" si="3">AVERAGE(B67:B115)</f>
        <v>3577.0663265306102</v>
      </c>
    </row>
    <row r="117" spans="1:4" x14ac:dyDescent="0.25">
      <c r="A117" s="2">
        <f ca="1">IFERROR(__xludf.DUMMYFUNCTION("""COMPUTED_VALUE"""),44544.6458333333)</f>
        <v>44544.645833333299</v>
      </c>
      <c r="B117" s="1">
        <f ca="1">IFERROR(__xludf.DUMMYFUNCTION("""COMPUTED_VALUE"""),3623.8)</f>
        <v>3623.8</v>
      </c>
      <c r="C117" s="3">
        <f t="shared" ca="1" si="2"/>
        <v>3.9200476500491988E-3</v>
      </c>
      <c r="D117">
        <f t="shared" ca="1" si="3"/>
        <v>3573.6806122448961</v>
      </c>
    </row>
    <row r="118" spans="1:4" x14ac:dyDescent="0.25">
      <c r="A118" s="2">
        <f ca="1">IFERROR(__xludf.DUMMYFUNCTION("""COMPUTED_VALUE"""),44545.6458333333)</f>
        <v>44545.645833333299</v>
      </c>
      <c r="B118" s="1">
        <f ca="1">IFERROR(__xludf.DUMMYFUNCTION("""COMPUTED_VALUE"""),3570.35)</f>
        <v>3570.35</v>
      </c>
      <c r="C118" s="3">
        <f t="shared" ca="1" si="2"/>
        <v>-1.4749710248910058E-2</v>
      </c>
      <c r="D118">
        <f t="shared" ca="1" si="3"/>
        <v>3571.5091836734673</v>
      </c>
    </row>
    <row r="119" spans="1:4" x14ac:dyDescent="0.25">
      <c r="A119" s="2">
        <f ca="1">IFERROR(__xludf.DUMMYFUNCTION("""COMPUTED_VALUE"""),44546.6458333333)</f>
        <v>44546.645833333299</v>
      </c>
      <c r="B119" s="1">
        <f ca="1">IFERROR(__xludf.DUMMYFUNCTION("""COMPUTED_VALUE"""),3581.6)</f>
        <v>3581.6</v>
      </c>
      <c r="C119" s="3">
        <f t="shared" ca="1" si="2"/>
        <v>3.1509515873793885E-3</v>
      </c>
      <c r="D119">
        <f t="shared" ca="1" si="3"/>
        <v>3567.3673469387745</v>
      </c>
    </row>
    <row r="120" spans="1:4" x14ac:dyDescent="0.25">
      <c r="A120" s="2">
        <f ca="1">IFERROR(__xludf.DUMMYFUNCTION("""COMPUTED_VALUE"""),44547.6458333333)</f>
        <v>44547.645833333299</v>
      </c>
      <c r="B120" s="1">
        <f ca="1">IFERROR(__xludf.DUMMYFUNCTION("""COMPUTED_VALUE"""),3584.35)</f>
        <v>3584.35</v>
      </c>
      <c r="C120" s="3">
        <f t="shared" ca="1" si="2"/>
        <v>7.6781326781326788E-4</v>
      </c>
      <c r="D120">
        <f t="shared" ca="1" si="3"/>
        <v>3562.2306122448972</v>
      </c>
    </row>
    <row r="121" spans="1:4" x14ac:dyDescent="0.25">
      <c r="A121" s="2">
        <f ca="1">IFERROR(__xludf.DUMMYFUNCTION("""COMPUTED_VALUE"""),44550.6458333333)</f>
        <v>44550.645833333299</v>
      </c>
      <c r="B121" s="1">
        <f ca="1">IFERROR(__xludf.DUMMYFUNCTION("""COMPUTED_VALUE"""),3556.9)</f>
        <v>3556.9</v>
      </c>
      <c r="C121" s="3">
        <f t="shared" ca="1" si="2"/>
        <v>-7.6582922984641064E-3</v>
      </c>
      <c r="D121">
        <f t="shared" ca="1" si="3"/>
        <v>3557.6071428571418</v>
      </c>
    </row>
    <row r="122" spans="1:4" x14ac:dyDescent="0.25">
      <c r="A122" s="2">
        <f ca="1">IFERROR(__xludf.DUMMYFUNCTION("""COMPUTED_VALUE"""),44551.6458333333)</f>
        <v>44551.645833333299</v>
      </c>
      <c r="B122" s="1">
        <f ca="1">IFERROR(__xludf.DUMMYFUNCTION("""COMPUTED_VALUE"""),3608.3)</f>
        <v>3608.3</v>
      </c>
      <c r="C122" s="3">
        <f t="shared" ca="1" si="2"/>
        <v>1.4450785796620678E-2</v>
      </c>
      <c r="D122">
        <f t="shared" ca="1" si="3"/>
        <v>3550.7499999999986</v>
      </c>
    </row>
    <row r="123" spans="1:4" x14ac:dyDescent="0.25">
      <c r="A123" s="2">
        <f ca="1">IFERROR(__xludf.DUMMYFUNCTION("""COMPUTED_VALUE"""),44552.6458333333)</f>
        <v>44552.645833333299</v>
      </c>
      <c r="B123" s="1">
        <f ca="1">IFERROR(__xludf.DUMMYFUNCTION("""COMPUTED_VALUE"""),3630.75)</f>
        <v>3630.75</v>
      </c>
      <c r="C123" s="3">
        <f t="shared" ca="1" si="2"/>
        <v>6.2217664828311996E-3</v>
      </c>
      <c r="D123">
        <f t="shared" ca="1" si="3"/>
        <v>3544.0693877551007</v>
      </c>
    </row>
    <row r="124" spans="1:4" x14ac:dyDescent="0.25">
      <c r="A124" s="2">
        <f ca="1">IFERROR(__xludf.DUMMYFUNCTION("""COMPUTED_VALUE"""),44553.6458333333)</f>
        <v>44553.645833333299</v>
      </c>
      <c r="B124" s="1">
        <f ca="1">IFERROR(__xludf.DUMMYFUNCTION("""COMPUTED_VALUE"""),3662.7)</f>
        <v>3662.7</v>
      </c>
      <c r="C124" s="3">
        <f t="shared" ca="1" si="2"/>
        <v>8.79983474488737E-3</v>
      </c>
      <c r="D124">
        <f t="shared" ca="1" si="3"/>
        <v>3542.9499999999985</v>
      </c>
    </row>
    <row r="125" spans="1:4" x14ac:dyDescent="0.25">
      <c r="A125" s="2">
        <f ca="1">IFERROR(__xludf.DUMMYFUNCTION("""COMPUTED_VALUE"""),44554.6458333333)</f>
        <v>44554.645833333299</v>
      </c>
      <c r="B125" s="1">
        <f ca="1">IFERROR(__xludf.DUMMYFUNCTION("""COMPUTED_VALUE"""),3670.9)</f>
        <v>3670.9</v>
      </c>
      <c r="C125" s="3">
        <f t="shared" ca="1" si="2"/>
        <v>2.2387855953259271E-3</v>
      </c>
      <c r="D125">
        <f t="shared" ca="1" si="3"/>
        <v>3543.1510204081619</v>
      </c>
    </row>
    <row r="126" spans="1:4" x14ac:dyDescent="0.25">
      <c r="A126" s="2">
        <f ca="1">IFERROR(__xludf.DUMMYFUNCTION("""COMPUTED_VALUE"""),44557.6458333333)</f>
        <v>44557.645833333299</v>
      </c>
      <c r="B126" s="1">
        <f ca="1">IFERROR(__xludf.DUMMYFUNCTION("""COMPUTED_VALUE"""),3696.1)</f>
        <v>3696.1</v>
      </c>
      <c r="C126" s="3">
        <f t="shared" ca="1" si="2"/>
        <v>6.864801547304426E-3</v>
      </c>
      <c r="D126">
        <f t="shared" ca="1" si="3"/>
        <v>3543.4714285714267</v>
      </c>
    </row>
    <row r="127" spans="1:4" x14ac:dyDescent="0.25">
      <c r="A127" s="2">
        <f ca="1">IFERROR(__xludf.DUMMYFUNCTION("""COMPUTED_VALUE"""),44558.6458333333)</f>
        <v>44558.645833333299</v>
      </c>
      <c r="B127" s="1">
        <f ca="1">IFERROR(__xludf.DUMMYFUNCTION("""COMPUTED_VALUE"""),3706.55)</f>
        <v>3706.55</v>
      </c>
      <c r="C127" s="3">
        <f t="shared" ca="1" si="2"/>
        <v>2.8273044560483411E-3</v>
      </c>
      <c r="D127">
        <f t="shared" ca="1" si="3"/>
        <v>3545.1989795918357</v>
      </c>
    </row>
    <row r="128" spans="1:4" x14ac:dyDescent="0.25">
      <c r="A128" s="2">
        <f ca="1">IFERROR(__xludf.DUMMYFUNCTION("""COMPUTED_VALUE"""),44559.6458333333)</f>
        <v>44559.645833333299</v>
      </c>
      <c r="B128" s="1">
        <f ca="1">IFERROR(__xludf.DUMMYFUNCTION("""COMPUTED_VALUE"""),3694.7)</f>
        <v>3694.7</v>
      </c>
      <c r="C128" s="3">
        <f t="shared" ca="1" si="2"/>
        <v>-3.1970430723989593E-3</v>
      </c>
      <c r="D128">
        <f t="shared" ca="1" si="3"/>
        <v>3546.4112244897947</v>
      </c>
    </row>
    <row r="129" spans="1:4" x14ac:dyDescent="0.25">
      <c r="A129" s="2">
        <f ca="1">IFERROR(__xludf.DUMMYFUNCTION("""COMPUTED_VALUE"""),44560.6458333333)</f>
        <v>44560.645833333299</v>
      </c>
      <c r="B129" s="1">
        <f ca="1">IFERROR(__xludf.DUMMYFUNCTION("""COMPUTED_VALUE"""),3733.75)</f>
        <v>3733.75</v>
      </c>
      <c r="C129" s="3">
        <f t="shared" ca="1" si="2"/>
        <v>1.0569193709908838E-2</v>
      </c>
      <c r="D129">
        <f t="shared" ca="1" si="3"/>
        <v>3547.6469387755096</v>
      </c>
    </row>
    <row r="130" spans="1:4" x14ac:dyDescent="0.25">
      <c r="A130" s="2">
        <f ca="1">IFERROR(__xludf.DUMMYFUNCTION("""COMPUTED_VALUE"""),44561.6458333333)</f>
        <v>44561.645833333299</v>
      </c>
      <c r="B130" s="1">
        <f ca="1">IFERROR(__xludf.DUMMYFUNCTION("""COMPUTED_VALUE"""),3738.35)</f>
        <v>3738.35</v>
      </c>
      <c r="C130" s="3">
        <f t="shared" ca="1" si="2"/>
        <v>1.232005356545004E-3</v>
      </c>
      <c r="D130">
        <f t="shared" ca="1" si="3"/>
        <v>3550.1959183673466</v>
      </c>
    </row>
    <row r="131" spans="1:4" x14ac:dyDescent="0.25">
      <c r="A131" s="2">
        <f ca="1">IFERROR(__xludf.DUMMYFUNCTION("""COMPUTED_VALUE"""),44564.6458333333)</f>
        <v>44564.645833333299</v>
      </c>
      <c r="B131" s="1">
        <f ca="1">IFERROR(__xludf.DUMMYFUNCTION("""COMPUTED_VALUE"""),3817.75)</f>
        <v>3817.75</v>
      </c>
      <c r="C131" s="3">
        <f t="shared" ca="1" si="2"/>
        <v>2.1239316810892531E-2</v>
      </c>
      <c r="D131">
        <f t="shared" ca="1" si="3"/>
        <v>3554.3969387755096</v>
      </c>
    </row>
    <row r="132" spans="1:4" x14ac:dyDescent="0.25">
      <c r="A132" s="2">
        <f ca="1">IFERROR(__xludf.DUMMYFUNCTION("""COMPUTED_VALUE"""),44565.6458333333)</f>
        <v>44565.645833333299</v>
      </c>
      <c r="B132" s="1">
        <f ca="1">IFERROR(__xludf.DUMMYFUNCTION("""COMPUTED_VALUE"""),3884.75)</f>
        <v>3884.75</v>
      </c>
      <c r="C132" s="3">
        <f t="shared" ref="C132:C195" ca="1" si="4">(B132-B131)/B131</f>
        <v>1.7549603824242026E-2</v>
      </c>
      <c r="D132">
        <f t="shared" ca="1" si="3"/>
        <v>3560.905102040816</v>
      </c>
    </row>
    <row r="133" spans="1:4" x14ac:dyDescent="0.25">
      <c r="A133" s="2">
        <f ca="1">IFERROR(__xludf.DUMMYFUNCTION("""COMPUTED_VALUE"""),44566.6458333333)</f>
        <v>44566.645833333299</v>
      </c>
      <c r="B133" s="1">
        <f ca="1">IFERROR(__xludf.DUMMYFUNCTION("""COMPUTED_VALUE"""),3860.95)</f>
        <v>3860.95</v>
      </c>
      <c r="C133" s="3">
        <f t="shared" ca="1" si="4"/>
        <v>-6.1265203681061028E-3</v>
      </c>
      <c r="D133">
        <f t="shared" ca="1" si="3"/>
        <v>3568.9010204081637</v>
      </c>
    </row>
    <row r="134" spans="1:4" x14ac:dyDescent="0.25">
      <c r="A134" s="2">
        <f ca="1">IFERROR(__xludf.DUMMYFUNCTION("""COMPUTED_VALUE"""),44567.6458333333)</f>
        <v>44567.645833333299</v>
      </c>
      <c r="B134" s="1">
        <f ca="1">IFERROR(__xludf.DUMMYFUNCTION("""COMPUTED_VALUE"""),3807.45)</f>
        <v>3807.45</v>
      </c>
      <c r="C134" s="3">
        <f t="shared" ca="1" si="4"/>
        <v>-1.3856693300871548E-2</v>
      </c>
      <c r="D134">
        <f t="shared" ca="1" si="3"/>
        <v>3576.6224489795923</v>
      </c>
    </row>
    <row r="135" spans="1:4" x14ac:dyDescent="0.25">
      <c r="A135" s="2">
        <f ca="1">IFERROR(__xludf.DUMMYFUNCTION("""COMPUTED_VALUE"""),44568.6458333333)</f>
        <v>44568.645833333299</v>
      </c>
      <c r="B135" s="1">
        <f ca="1">IFERROR(__xludf.DUMMYFUNCTION("""COMPUTED_VALUE"""),3853.5)</f>
        <v>3853.5</v>
      </c>
      <c r="C135" s="3">
        <f t="shared" ca="1" si="4"/>
        <v>1.2094709057243086E-2</v>
      </c>
      <c r="D135">
        <f t="shared" ca="1" si="3"/>
        <v>3583.1061224489804</v>
      </c>
    </row>
    <row r="136" spans="1:4" x14ac:dyDescent="0.25">
      <c r="A136" s="2">
        <f ca="1">IFERROR(__xludf.DUMMYFUNCTION("""COMPUTED_VALUE"""),44571.6458333333)</f>
        <v>44571.645833333299</v>
      </c>
      <c r="B136" s="1">
        <f ca="1">IFERROR(__xludf.DUMMYFUNCTION("""COMPUTED_VALUE"""),3879.85)</f>
        <v>3879.85</v>
      </c>
      <c r="C136" s="3">
        <f t="shared" ca="1" si="4"/>
        <v>6.8379395354871957E-3</v>
      </c>
      <c r="D136">
        <f t="shared" ca="1" si="3"/>
        <v>3591.9193877551029</v>
      </c>
    </row>
    <row r="137" spans="1:4" x14ac:dyDescent="0.25">
      <c r="A137" s="2">
        <f ca="1">IFERROR(__xludf.DUMMYFUNCTION("""COMPUTED_VALUE"""),44572.6458333333)</f>
        <v>44572.645833333299</v>
      </c>
      <c r="B137" s="1">
        <f ca="1">IFERROR(__xludf.DUMMYFUNCTION("""COMPUTED_VALUE"""),3915.9)</f>
        <v>3915.9</v>
      </c>
      <c r="C137" s="3">
        <f t="shared" ca="1" si="4"/>
        <v>9.2915963246002244E-3</v>
      </c>
      <c r="D137">
        <f t="shared" ca="1" si="3"/>
        <v>3601.7581632653064</v>
      </c>
    </row>
    <row r="138" spans="1:4" x14ac:dyDescent="0.25">
      <c r="A138" s="2">
        <f ca="1">IFERROR(__xludf.DUMMYFUNCTION("""COMPUTED_VALUE"""),44573.6458333333)</f>
        <v>44573.645833333299</v>
      </c>
      <c r="B138" s="1">
        <f ca="1">IFERROR(__xludf.DUMMYFUNCTION("""COMPUTED_VALUE"""),3859.9)</f>
        <v>3859.9</v>
      </c>
      <c r="C138" s="3">
        <f t="shared" ca="1" si="4"/>
        <v>-1.4300671620827906E-2</v>
      </c>
      <c r="D138">
        <f t="shared" ca="1" si="3"/>
        <v>3610.7275510204086</v>
      </c>
    </row>
    <row r="139" spans="1:4" x14ac:dyDescent="0.25">
      <c r="A139" s="2">
        <f ca="1">IFERROR(__xludf.DUMMYFUNCTION("""COMPUTED_VALUE"""),44574.6458333333)</f>
        <v>44574.645833333299</v>
      </c>
      <c r="B139" s="1">
        <f ca="1">IFERROR(__xludf.DUMMYFUNCTION("""COMPUTED_VALUE"""),3897.9)</f>
        <v>3897.9</v>
      </c>
      <c r="C139" s="3">
        <f t="shared" ca="1" si="4"/>
        <v>9.8448146325034319E-3</v>
      </c>
      <c r="D139">
        <f t="shared" ca="1" si="3"/>
        <v>3618.3948979591837</v>
      </c>
    </row>
    <row r="140" spans="1:4" x14ac:dyDescent="0.25">
      <c r="A140" s="2">
        <f ca="1">IFERROR(__xludf.DUMMYFUNCTION("""COMPUTED_VALUE"""),44575.6458333333)</f>
        <v>44575.645833333299</v>
      </c>
      <c r="B140" s="1">
        <f ca="1">IFERROR(__xludf.DUMMYFUNCTION("""COMPUTED_VALUE"""),3968.15)</f>
        <v>3968.15</v>
      </c>
      <c r="C140" s="3">
        <f t="shared" ca="1" si="4"/>
        <v>1.8022524949331691E-2</v>
      </c>
      <c r="D140">
        <f t="shared" ca="1" si="3"/>
        <v>3626.6734693877556</v>
      </c>
    </row>
    <row r="141" spans="1:4" x14ac:dyDescent="0.25">
      <c r="A141" s="2">
        <f ca="1">IFERROR(__xludf.DUMMYFUNCTION("""COMPUTED_VALUE"""),44578.6458333333)</f>
        <v>44578.645833333299</v>
      </c>
      <c r="B141" s="1">
        <f ca="1">IFERROR(__xludf.DUMMYFUNCTION("""COMPUTED_VALUE"""),4019.15)</f>
        <v>4019.15</v>
      </c>
      <c r="C141" s="3">
        <f t="shared" ca="1" si="4"/>
        <v>1.2852336731222358E-2</v>
      </c>
      <c r="D141">
        <f t="shared" ca="1" si="3"/>
        <v>3636.0510204081638</v>
      </c>
    </row>
    <row r="142" spans="1:4" x14ac:dyDescent="0.25">
      <c r="A142" s="2">
        <f ca="1">IFERROR(__xludf.DUMMYFUNCTION("""COMPUTED_VALUE"""),44579.6458333333)</f>
        <v>44579.645833333299</v>
      </c>
      <c r="B142" s="1">
        <f ca="1">IFERROR(__xludf.DUMMYFUNCTION("""COMPUTED_VALUE"""),3990.6)</f>
        <v>3990.6</v>
      </c>
      <c r="C142" s="3">
        <f t="shared" ca="1" si="4"/>
        <v>-7.1034920318973366E-3</v>
      </c>
      <c r="D142">
        <f t="shared" ca="1" si="3"/>
        <v>3646.5897959183676</v>
      </c>
    </row>
    <row r="143" spans="1:4" x14ac:dyDescent="0.25">
      <c r="A143" s="2">
        <f ca="1">IFERROR(__xludf.DUMMYFUNCTION("""COMPUTED_VALUE"""),44580.6458333333)</f>
        <v>44580.645833333299</v>
      </c>
      <c r="B143" s="1">
        <f ca="1">IFERROR(__xludf.DUMMYFUNCTION("""COMPUTED_VALUE"""),3914.65)</f>
        <v>3914.65</v>
      </c>
      <c r="C143" s="3">
        <f t="shared" ca="1" si="4"/>
        <v>-1.9032225730466552E-2</v>
      </c>
      <c r="D143">
        <f t="shared" ca="1" si="3"/>
        <v>3656.4857142857145</v>
      </c>
    </row>
    <row r="144" spans="1:4" x14ac:dyDescent="0.25">
      <c r="A144" s="2">
        <f ca="1">IFERROR(__xludf.DUMMYFUNCTION("""COMPUTED_VALUE"""),44581.6458333333)</f>
        <v>44581.645833333299</v>
      </c>
      <c r="B144" s="1">
        <f ca="1">IFERROR(__xludf.DUMMYFUNCTION("""COMPUTED_VALUE"""),3826.55)</f>
        <v>3826.55</v>
      </c>
      <c r="C144" s="3">
        <f t="shared" ca="1" si="4"/>
        <v>-2.2505204807581752E-2</v>
      </c>
      <c r="D144">
        <f t="shared" ca="1" si="3"/>
        <v>3665.2683673469392</v>
      </c>
    </row>
    <row r="145" spans="1:4" x14ac:dyDescent="0.25">
      <c r="A145" s="2">
        <f ca="1">IFERROR(__xludf.DUMMYFUNCTION("""COMPUTED_VALUE"""),44582.6458333333)</f>
        <v>44582.645833333299</v>
      </c>
      <c r="B145" s="1">
        <f ca="1">IFERROR(__xludf.DUMMYFUNCTION("""COMPUTED_VALUE"""),3833.5)</f>
        <v>3833.5</v>
      </c>
      <c r="C145" s="3">
        <f t="shared" ca="1" si="4"/>
        <v>1.8162574642954666E-3</v>
      </c>
      <c r="D145">
        <f t="shared" ca="1" si="3"/>
        <v>3672.1734693877552</v>
      </c>
    </row>
    <row r="146" spans="1:4" x14ac:dyDescent="0.25">
      <c r="A146" s="2">
        <f ca="1">IFERROR(__xludf.DUMMYFUNCTION("""COMPUTED_VALUE"""),44585.6458333333)</f>
        <v>44585.645833333299</v>
      </c>
      <c r="B146" s="1">
        <f ca="1">IFERROR(__xludf.DUMMYFUNCTION("""COMPUTED_VALUE"""),3771.35)</f>
        <v>3771.35</v>
      </c>
      <c r="C146" s="3">
        <f t="shared" ca="1" si="4"/>
        <v>-1.6212338593974199E-2</v>
      </c>
      <c r="D146">
        <f t="shared" ca="1" si="3"/>
        <v>3678.4479591836739</v>
      </c>
    </row>
    <row r="147" spans="1:4" x14ac:dyDescent="0.25">
      <c r="A147" s="2">
        <f ca="1">IFERROR(__xludf.DUMMYFUNCTION("""COMPUTED_VALUE"""),44586.6458333333)</f>
        <v>44586.645833333299</v>
      </c>
      <c r="B147" s="1">
        <f ca="1">IFERROR(__xludf.DUMMYFUNCTION("""COMPUTED_VALUE"""),3769.9)</f>
        <v>3769.9</v>
      </c>
      <c r="C147" s="3">
        <f t="shared" ca="1" si="4"/>
        <v>-3.8447770692187627E-4</v>
      </c>
      <c r="D147">
        <f t="shared" ca="1" si="3"/>
        <v>3682.8979591836733</v>
      </c>
    </row>
    <row r="148" spans="1:4" x14ac:dyDescent="0.25">
      <c r="A148" s="2">
        <f ca="1">IFERROR(__xludf.DUMMYFUNCTION("""COMPUTED_VALUE"""),44588.6458333333)</f>
        <v>44588.645833333299</v>
      </c>
      <c r="B148" s="1">
        <f ca="1">IFERROR(__xludf.DUMMYFUNCTION("""COMPUTED_VALUE"""),3649.25)</f>
        <v>3649.25</v>
      </c>
      <c r="C148" s="3">
        <f t="shared" ca="1" si="4"/>
        <v>-3.2003501419135806E-2</v>
      </c>
      <c r="D148">
        <f t="shared" ca="1" si="3"/>
        <v>3687.2551020408164</v>
      </c>
    </row>
    <row r="149" spans="1:4" x14ac:dyDescent="0.25">
      <c r="A149" s="2">
        <f ca="1">IFERROR(__xludf.DUMMYFUNCTION("""COMPUTED_VALUE"""),44589.6458333333)</f>
        <v>44589.645833333299</v>
      </c>
      <c r="B149" s="1">
        <f ca="1">IFERROR(__xludf.DUMMYFUNCTION("""COMPUTED_VALUE"""),3690.05)</f>
        <v>3690.05</v>
      </c>
      <c r="C149" s="3">
        <f t="shared" ca="1" si="4"/>
        <v>1.1180379530040469E-2</v>
      </c>
      <c r="D149">
        <f t="shared" ca="1" si="3"/>
        <v>3689.8540816326527</v>
      </c>
    </row>
    <row r="150" spans="1:4" x14ac:dyDescent="0.25">
      <c r="A150" s="2">
        <f ca="1">IFERROR(__xludf.DUMMYFUNCTION("""COMPUTED_VALUE"""),44592.6458333333)</f>
        <v>44592.645833333299</v>
      </c>
      <c r="B150" s="1">
        <f ca="1">IFERROR(__xludf.DUMMYFUNCTION("""COMPUTED_VALUE"""),3736.25)</f>
        <v>3736.25</v>
      </c>
      <c r="C150" s="3">
        <f t="shared" ca="1" si="4"/>
        <v>1.2520155553447735E-2</v>
      </c>
      <c r="D150">
        <f t="shared" ca="1" si="3"/>
        <v>3694.2285714285713</v>
      </c>
    </row>
    <row r="151" spans="1:4" x14ac:dyDescent="0.25">
      <c r="A151" s="2">
        <f ca="1">IFERROR(__xludf.DUMMYFUNCTION("""COMPUTED_VALUE"""),44593.6458333333)</f>
        <v>44593.645833333299</v>
      </c>
      <c r="B151" s="1">
        <f ca="1">IFERROR(__xludf.DUMMYFUNCTION("""COMPUTED_VALUE"""),3800.65)</f>
        <v>3800.65</v>
      </c>
      <c r="C151" s="3">
        <f t="shared" ca="1" si="4"/>
        <v>1.7236533957845458E-2</v>
      </c>
      <c r="D151">
        <f t="shared" ca="1" si="3"/>
        <v>3699.898979591836</v>
      </c>
    </row>
    <row r="152" spans="1:4" x14ac:dyDescent="0.25">
      <c r="A152" s="2">
        <f ca="1">IFERROR(__xludf.DUMMYFUNCTION("""COMPUTED_VALUE"""),44594.6458333333)</f>
        <v>44594.645833333299</v>
      </c>
      <c r="B152" s="1">
        <f ca="1">IFERROR(__xludf.DUMMYFUNCTION("""COMPUTED_VALUE"""),3856.2)</f>
        <v>3856.2</v>
      </c>
      <c r="C152" s="3">
        <f t="shared" ca="1" si="4"/>
        <v>1.4615920960888196E-2</v>
      </c>
      <c r="D152">
        <f t="shared" ca="1" si="3"/>
        <v>3706.7642857142846</v>
      </c>
    </row>
    <row r="153" spans="1:4" x14ac:dyDescent="0.25">
      <c r="A153" s="2">
        <f ca="1">IFERROR(__xludf.DUMMYFUNCTION("""COMPUTED_VALUE"""),44595.6458333333)</f>
        <v>44595.645833333299</v>
      </c>
      <c r="B153" s="1">
        <f ca="1">IFERROR(__xludf.DUMMYFUNCTION("""COMPUTED_VALUE"""),3824.6)</f>
        <v>3824.6</v>
      </c>
      <c r="C153" s="3">
        <f t="shared" ca="1" si="4"/>
        <v>-8.1945957159898115E-3</v>
      </c>
      <c r="D153">
        <f t="shared" ca="1" si="3"/>
        <v>3715.1908163265302</v>
      </c>
    </row>
    <row r="154" spans="1:4" x14ac:dyDescent="0.25">
      <c r="A154" s="2">
        <f ca="1">IFERROR(__xludf.DUMMYFUNCTION("""COMPUTED_VALUE"""),44596.6458333333)</f>
        <v>44596.645833333299</v>
      </c>
      <c r="B154" s="1">
        <f ca="1">IFERROR(__xludf.DUMMYFUNCTION("""COMPUTED_VALUE"""),3814.9)</f>
        <v>3814.9</v>
      </c>
      <c r="C154" s="3">
        <f t="shared" ca="1" si="4"/>
        <v>-2.5362129373005852E-3</v>
      </c>
      <c r="D154">
        <f t="shared" ca="1" si="3"/>
        <v>3722.919387755102</v>
      </c>
    </row>
    <row r="155" spans="1:4" x14ac:dyDescent="0.25">
      <c r="A155" s="2">
        <f ca="1">IFERROR(__xludf.DUMMYFUNCTION("""COMPUTED_VALUE"""),44599.6458333333)</f>
        <v>44599.645833333299</v>
      </c>
      <c r="B155" s="1">
        <f ca="1">IFERROR(__xludf.DUMMYFUNCTION("""COMPUTED_VALUE"""),3779)</f>
        <v>3779</v>
      </c>
      <c r="C155" s="3">
        <f t="shared" ca="1" si="4"/>
        <v>-9.4104694749534961E-3</v>
      </c>
      <c r="D155">
        <f t="shared" ca="1" si="3"/>
        <v>3730.4306122448975</v>
      </c>
    </row>
    <row r="156" spans="1:4" x14ac:dyDescent="0.25">
      <c r="A156" s="2">
        <f ca="1">IFERROR(__xludf.DUMMYFUNCTION("""COMPUTED_VALUE"""),44600.6458333333)</f>
        <v>44600.645833333299</v>
      </c>
      <c r="B156" s="1">
        <f ca="1">IFERROR(__xludf.DUMMYFUNCTION("""COMPUTED_VALUE"""),3743.45)</f>
        <v>3743.45</v>
      </c>
      <c r="C156" s="3">
        <f t="shared" ca="1" si="4"/>
        <v>-9.4072505953956553E-3</v>
      </c>
      <c r="D156">
        <f t="shared" ca="1" si="3"/>
        <v>3736.0836734693867</v>
      </c>
    </row>
    <row r="157" spans="1:4" x14ac:dyDescent="0.25">
      <c r="A157" s="2">
        <f ca="1">IFERROR(__xludf.DUMMYFUNCTION("""COMPUTED_VALUE"""),44601.6458333333)</f>
        <v>44601.645833333299</v>
      </c>
      <c r="B157" s="1">
        <f ca="1">IFERROR(__xludf.DUMMYFUNCTION("""COMPUTED_VALUE"""),3760.55)</f>
        <v>3760.55</v>
      </c>
      <c r="C157" s="3">
        <f t="shared" ca="1" si="4"/>
        <v>4.5679787361926471E-3</v>
      </c>
      <c r="D157">
        <f t="shared" ca="1" si="3"/>
        <v>3740.4571428571426</v>
      </c>
    </row>
    <row r="158" spans="1:4" x14ac:dyDescent="0.25">
      <c r="A158" s="2">
        <f ca="1">IFERROR(__xludf.DUMMYFUNCTION("""COMPUTED_VALUE"""),44602.6458333333)</f>
        <v>44602.645833333299</v>
      </c>
      <c r="B158" s="1">
        <f ca="1">IFERROR(__xludf.DUMMYFUNCTION("""COMPUTED_VALUE"""),3770.35)</f>
        <v>3770.35</v>
      </c>
      <c r="C158" s="3">
        <f t="shared" ca="1" si="4"/>
        <v>2.6060017816542068E-3</v>
      </c>
      <c r="D158">
        <f t="shared" ca="1" si="3"/>
        <v>3744.186734693877</v>
      </c>
    </row>
    <row r="159" spans="1:4" x14ac:dyDescent="0.25">
      <c r="A159" s="2">
        <f ca="1">IFERROR(__xludf.DUMMYFUNCTION("""COMPUTED_VALUE"""),44603.6458333333)</f>
        <v>44603.645833333299</v>
      </c>
      <c r="B159" s="1">
        <f ca="1">IFERROR(__xludf.DUMMYFUNCTION("""COMPUTED_VALUE"""),3694.95)</f>
        <v>3694.95</v>
      </c>
      <c r="C159" s="3">
        <f t="shared" ca="1" si="4"/>
        <v>-1.9998143408436909E-2</v>
      </c>
      <c r="D159">
        <f t="shared" ca="1" si="3"/>
        <v>3746.7877551020401</v>
      </c>
    </row>
    <row r="160" spans="1:4" x14ac:dyDescent="0.25">
      <c r="A160" s="2">
        <f ca="1">IFERROR(__xludf.DUMMYFUNCTION("""COMPUTED_VALUE"""),44606.6458333333)</f>
        <v>44606.645833333299</v>
      </c>
      <c r="B160" s="1">
        <f ca="1">IFERROR(__xludf.DUMMYFUNCTION("""COMPUTED_VALUE"""),3733.75)</f>
        <v>3733.75</v>
      </c>
      <c r="C160" s="3">
        <f t="shared" ca="1" si="4"/>
        <v>1.0500818684961957E-2</v>
      </c>
      <c r="D160">
        <f t="shared" ca="1" si="3"/>
        <v>3747.8999999999996</v>
      </c>
    </row>
    <row r="161" spans="1:4" x14ac:dyDescent="0.25">
      <c r="A161" s="2">
        <f ca="1">IFERROR(__xludf.DUMMYFUNCTION("""COMPUTED_VALUE"""),44607.6458333333)</f>
        <v>44607.645833333299</v>
      </c>
      <c r="B161" s="1">
        <f ca="1">IFERROR(__xludf.DUMMYFUNCTION("""COMPUTED_VALUE"""),3817.8)</f>
        <v>3817.8</v>
      </c>
      <c r="C161" s="3">
        <f t="shared" ca="1" si="4"/>
        <v>2.2510880482089102E-2</v>
      </c>
      <c r="D161">
        <f t="shared" ca="1" si="3"/>
        <v>3751.9275510204079</v>
      </c>
    </row>
    <row r="162" spans="1:4" x14ac:dyDescent="0.25">
      <c r="A162" s="2">
        <f ca="1">IFERROR(__xludf.DUMMYFUNCTION("""COMPUTED_VALUE"""),44608.6458333333)</f>
        <v>44608.645833333299</v>
      </c>
      <c r="B162" s="1">
        <f ca="1">IFERROR(__xludf.DUMMYFUNCTION("""COMPUTED_VALUE"""),3813.1)</f>
        <v>3813.1</v>
      </c>
      <c r="C162" s="3">
        <f t="shared" ca="1" si="4"/>
        <v>-1.2310754885013024E-3</v>
      </c>
      <c r="D162">
        <f t="shared" ca="1" si="3"/>
        <v>3756.6887755102034</v>
      </c>
    </row>
    <row r="163" spans="1:4" x14ac:dyDescent="0.25">
      <c r="A163" s="2">
        <f ca="1">IFERROR(__xludf.DUMMYFUNCTION("""COMPUTED_VALUE"""),44609.6458333333)</f>
        <v>44609.645833333299</v>
      </c>
      <c r="B163" s="1">
        <f ca="1">IFERROR(__xludf.DUMMYFUNCTION("""COMPUTED_VALUE"""),3784.2)</f>
        <v>3784.2</v>
      </c>
      <c r="C163" s="3">
        <f t="shared" ca="1" si="4"/>
        <v>-7.5791350869371622E-3</v>
      </c>
      <c r="D163">
        <f t="shared" ca="1" si="3"/>
        <v>3760.4887755102036</v>
      </c>
    </row>
    <row r="164" spans="1:4" x14ac:dyDescent="0.25">
      <c r="A164" s="2">
        <f ca="1">IFERROR(__xludf.DUMMYFUNCTION("""COMPUTED_VALUE"""),44610.6458333333)</f>
        <v>44610.645833333299</v>
      </c>
      <c r="B164" s="1">
        <f ca="1">IFERROR(__xludf.DUMMYFUNCTION("""COMPUTED_VALUE"""),3793.9)</f>
        <v>3793.9</v>
      </c>
      <c r="C164" s="3">
        <f t="shared" ca="1" si="4"/>
        <v>2.5632894667301604E-3</v>
      </c>
      <c r="D164">
        <f t="shared" ca="1" si="3"/>
        <v>3764.212244897959</v>
      </c>
    </row>
    <row r="165" spans="1:4" x14ac:dyDescent="0.25">
      <c r="A165" s="2">
        <f ca="1">IFERROR(__xludf.DUMMYFUNCTION("""COMPUTED_VALUE"""),44613.6458333333)</f>
        <v>44613.645833333299</v>
      </c>
      <c r="B165" s="1">
        <f ca="1">IFERROR(__xludf.DUMMYFUNCTION("""COMPUTED_VALUE"""),3719.4)</f>
        <v>3719.4</v>
      </c>
      <c r="C165" s="3">
        <f t="shared" ca="1" si="4"/>
        <v>-1.9636785365982234E-2</v>
      </c>
      <c r="D165">
        <f t="shared" ca="1" si="3"/>
        <v>3767.4183673469388</v>
      </c>
    </row>
    <row r="166" spans="1:4" x14ac:dyDescent="0.25">
      <c r="A166" s="2">
        <f ca="1">IFERROR(__xludf.DUMMYFUNCTION("""COMPUTED_VALUE"""),44614.6458333333)</f>
        <v>44614.645833333299</v>
      </c>
      <c r="B166" s="1">
        <f ca="1">IFERROR(__xludf.DUMMYFUNCTION("""COMPUTED_VALUE"""),3586.4)</f>
        <v>3586.4</v>
      </c>
      <c r="C166" s="3">
        <f t="shared" ca="1" si="4"/>
        <v>-3.5758455664892184E-2</v>
      </c>
      <c r="D166">
        <f t="shared" ca="1" si="3"/>
        <v>3769.658163265306</v>
      </c>
    </row>
    <row r="167" spans="1:4" x14ac:dyDescent="0.25">
      <c r="A167" s="2">
        <f ca="1">IFERROR(__xludf.DUMMYFUNCTION("""COMPUTED_VALUE"""),44615.6458333333)</f>
        <v>44615.645833333299</v>
      </c>
      <c r="B167" s="1">
        <f ca="1">IFERROR(__xludf.DUMMYFUNCTION("""COMPUTED_VALUE"""),3563.8)</f>
        <v>3563.8</v>
      </c>
      <c r="C167" s="3">
        <f t="shared" ca="1" si="4"/>
        <v>-6.301583760874389E-3</v>
      </c>
      <c r="D167">
        <f t="shared" ca="1" si="3"/>
        <v>3768.8948979591833</v>
      </c>
    </row>
    <row r="168" spans="1:4" x14ac:dyDescent="0.25">
      <c r="A168" s="2">
        <f ca="1">IFERROR(__xludf.DUMMYFUNCTION("""COMPUTED_VALUE"""),44616.6458333333)</f>
        <v>44616.645833333299</v>
      </c>
      <c r="B168" s="1">
        <f ca="1">IFERROR(__xludf.DUMMYFUNCTION("""COMPUTED_VALUE"""),3401.65)</f>
        <v>3401.65</v>
      </c>
      <c r="C168" s="3">
        <f t="shared" ca="1" si="4"/>
        <v>-4.5499186261855347E-2</v>
      </c>
      <c r="D168">
        <f t="shared" ca="1" si="3"/>
        <v>3768.761224489795</v>
      </c>
    </row>
    <row r="169" spans="1:4" x14ac:dyDescent="0.25">
      <c r="A169" s="2">
        <f ca="1">IFERROR(__xludf.DUMMYFUNCTION("""COMPUTED_VALUE"""),44617.6458333333)</f>
        <v>44617.645833333299</v>
      </c>
      <c r="B169" s="1">
        <f ca="1">IFERROR(__xludf.DUMMYFUNCTION("""COMPUTED_VALUE"""),3520.75)</f>
        <v>3520.75</v>
      </c>
      <c r="C169" s="3">
        <f t="shared" ca="1" si="4"/>
        <v>3.5012420443020269E-2</v>
      </c>
      <c r="D169">
        <f t="shared" ca="1" si="3"/>
        <v>3765.088775510203</v>
      </c>
    </row>
    <row r="170" spans="1:4" x14ac:dyDescent="0.25">
      <c r="A170" s="2">
        <f ca="1">IFERROR(__xludf.DUMMYFUNCTION("""COMPUTED_VALUE"""),44620.6458333333)</f>
        <v>44620.645833333299</v>
      </c>
      <c r="B170" s="1">
        <f ca="1">IFERROR(__xludf.DUMMYFUNCTION("""COMPUTED_VALUE"""),3554.2)</f>
        <v>3554.2</v>
      </c>
      <c r="C170" s="3">
        <f t="shared" ca="1" si="4"/>
        <v>9.5008165873747968E-3</v>
      </c>
      <c r="D170">
        <f t="shared" ca="1" si="3"/>
        <v>3763.7908163265292</v>
      </c>
    </row>
    <row r="171" spans="1:4" x14ac:dyDescent="0.25">
      <c r="A171" s="2">
        <f ca="1">IFERROR(__xludf.DUMMYFUNCTION("""COMPUTED_VALUE"""),44622.6458333333)</f>
        <v>44622.645833333299</v>
      </c>
      <c r="B171" s="1">
        <f ca="1">IFERROR(__xludf.DUMMYFUNCTION("""COMPUTED_VALUE"""),3546.15)</f>
        <v>3546.15</v>
      </c>
      <c r="C171" s="3">
        <f t="shared" ca="1" si="4"/>
        <v>-2.264926003038582E-3</v>
      </c>
      <c r="D171">
        <f t="shared" ca="1" si="3"/>
        <v>3763.7357142857136</v>
      </c>
    </row>
    <row r="172" spans="1:4" x14ac:dyDescent="0.25">
      <c r="A172" s="2">
        <f ca="1">IFERROR(__xludf.DUMMYFUNCTION("""COMPUTED_VALUE"""),44623.6458333333)</f>
        <v>44623.645833333299</v>
      </c>
      <c r="B172" s="1">
        <f ca="1">IFERROR(__xludf.DUMMYFUNCTION("""COMPUTED_VALUE"""),3544.4)</f>
        <v>3544.4</v>
      </c>
      <c r="C172" s="3">
        <f t="shared" ca="1" si="4"/>
        <v>-4.9349294305091438E-4</v>
      </c>
      <c r="D172">
        <f t="shared" ca="1" si="3"/>
        <v>3762.4673469387749</v>
      </c>
    </row>
    <row r="173" spans="1:4" x14ac:dyDescent="0.25">
      <c r="A173" s="2">
        <f ca="1">IFERROR(__xludf.DUMMYFUNCTION("""COMPUTED_VALUE"""),44624.6458333333)</f>
        <v>44624.645833333299</v>
      </c>
      <c r="B173" s="1">
        <f ca="1">IFERROR(__xludf.DUMMYFUNCTION("""COMPUTED_VALUE"""),3524.35)</f>
        <v>3524.35</v>
      </c>
      <c r="C173" s="3">
        <f t="shared" ca="1" si="4"/>
        <v>-5.6568107437084359E-3</v>
      </c>
      <c r="D173">
        <f t="shared" ca="1" si="3"/>
        <v>3760.7051020408162</v>
      </c>
    </row>
    <row r="174" spans="1:4" x14ac:dyDescent="0.25">
      <c r="A174" s="2">
        <f ca="1">IFERROR(__xludf.DUMMYFUNCTION("""COMPUTED_VALUE"""),44627.6458333333)</f>
        <v>44627.645833333299</v>
      </c>
      <c r="B174" s="1">
        <f ca="1">IFERROR(__xludf.DUMMYFUNCTION("""COMPUTED_VALUE"""),3484.9)</f>
        <v>3484.9</v>
      </c>
      <c r="C174" s="3">
        <f t="shared" ca="1" si="4"/>
        <v>-1.1193553421198184E-2</v>
      </c>
      <c r="D174">
        <f t="shared" ca="1" si="3"/>
        <v>3757.8816326530609</v>
      </c>
    </row>
    <row r="175" spans="1:4" x14ac:dyDescent="0.25">
      <c r="A175" s="2">
        <f ca="1">IFERROR(__xludf.DUMMYFUNCTION("""COMPUTED_VALUE"""),44628.6458333333)</f>
        <v>44628.645833333299</v>
      </c>
      <c r="B175" s="1">
        <f ca="1">IFERROR(__xludf.DUMMYFUNCTION("""COMPUTED_VALUE"""),3599.95)</f>
        <v>3599.95</v>
      </c>
      <c r="C175" s="3">
        <f t="shared" ca="1" si="4"/>
        <v>3.3013859795115993E-2</v>
      </c>
      <c r="D175">
        <f t="shared" ca="1" si="3"/>
        <v>3754.0857142857139</v>
      </c>
    </row>
    <row r="176" spans="1:4" x14ac:dyDescent="0.25">
      <c r="A176" s="2">
        <f ca="1">IFERROR(__xludf.DUMMYFUNCTION("""COMPUTED_VALUE"""),44629.6458333333)</f>
        <v>44629.645833333299</v>
      </c>
      <c r="B176" s="1">
        <f ca="1">IFERROR(__xludf.DUMMYFUNCTION("""COMPUTED_VALUE"""),3632.6)</f>
        <v>3632.6</v>
      </c>
      <c r="C176" s="3">
        <f t="shared" ca="1" si="4"/>
        <v>9.0695704107001743E-3</v>
      </c>
      <c r="D176">
        <f t="shared" ca="1" si="3"/>
        <v>3752.123469387755</v>
      </c>
    </row>
    <row r="177" spans="1:4" x14ac:dyDescent="0.25">
      <c r="A177" s="2">
        <f ca="1">IFERROR(__xludf.DUMMYFUNCTION("""COMPUTED_VALUE"""),44630.6458333333)</f>
        <v>44630.645833333299</v>
      </c>
      <c r="B177" s="1">
        <f ca="1">IFERROR(__xludf.DUMMYFUNCTION("""COMPUTED_VALUE"""),3620.95)</f>
        <v>3620.95</v>
      </c>
      <c r="C177" s="3">
        <f t="shared" ca="1" si="4"/>
        <v>-3.2070693167428541E-3</v>
      </c>
      <c r="D177">
        <f t="shared" ca="1" si="3"/>
        <v>3750.6142857142859</v>
      </c>
    </row>
    <row r="178" spans="1:4" x14ac:dyDescent="0.25">
      <c r="A178" s="2">
        <f ca="1">IFERROR(__xludf.DUMMYFUNCTION("""COMPUTED_VALUE"""),44631.6458333333)</f>
        <v>44631.645833333299</v>
      </c>
      <c r="B178" s="1">
        <f ca="1">IFERROR(__xludf.DUMMYFUNCTION("""COMPUTED_VALUE"""),3599.15)</f>
        <v>3599.15</v>
      </c>
      <c r="C178" s="3">
        <f t="shared" ca="1" si="4"/>
        <v>-6.0205194769327739E-3</v>
      </c>
      <c r="D178">
        <f t="shared" ca="1" si="3"/>
        <v>3749.1091836734695</v>
      </c>
    </row>
    <row r="179" spans="1:4" x14ac:dyDescent="0.25">
      <c r="A179" s="2">
        <f ca="1">IFERROR(__xludf.DUMMYFUNCTION("""COMPUTED_VALUE"""),44634.6458333333)</f>
        <v>44634.645833333299</v>
      </c>
      <c r="B179" s="1">
        <f ca="1">IFERROR(__xludf.DUMMYFUNCTION("""COMPUTED_VALUE"""),3643)</f>
        <v>3643</v>
      </c>
      <c r="C179" s="3">
        <f t="shared" ca="1" si="4"/>
        <v>1.2183432199269246E-2</v>
      </c>
      <c r="D179">
        <f t="shared" ca="1" si="3"/>
        <v>3746.362244897959</v>
      </c>
    </row>
    <row r="180" spans="1:4" x14ac:dyDescent="0.25">
      <c r="A180" s="2">
        <f ca="1">IFERROR(__xludf.DUMMYFUNCTION("""COMPUTED_VALUE"""),44635.6458333333)</f>
        <v>44635.645833333299</v>
      </c>
      <c r="B180" s="1">
        <f ca="1">IFERROR(__xludf.DUMMYFUNCTION("""COMPUTED_VALUE"""),3593.9)</f>
        <v>3593.9</v>
      </c>
      <c r="C180" s="3">
        <f t="shared" ca="1" si="4"/>
        <v>-1.347790282734008E-2</v>
      </c>
      <c r="D180">
        <f t="shared" ref="D180:D243" ca="1" si="5">AVERAGE(B131:B179)</f>
        <v>3744.416326530612</v>
      </c>
    </row>
    <row r="181" spans="1:4" x14ac:dyDescent="0.25">
      <c r="A181" s="2">
        <f ca="1">IFERROR(__xludf.DUMMYFUNCTION("""COMPUTED_VALUE"""),44636.6458333333)</f>
        <v>44636.645833333299</v>
      </c>
      <c r="B181" s="1">
        <f ca="1">IFERROR(__xludf.DUMMYFUNCTION("""COMPUTED_VALUE"""),3655.9)</f>
        <v>3655.9</v>
      </c>
      <c r="C181" s="3">
        <f t="shared" ca="1" si="4"/>
        <v>1.7251453852360946E-2</v>
      </c>
      <c r="D181">
        <f t="shared" ca="1" si="5"/>
        <v>3739.847959183674</v>
      </c>
    </row>
    <row r="182" spans="1:4" x14ac:dyDescent="0.25">
      <c r="A182" s="2">
        <f ca="1">IFERROR(__xludf.DUMMYFUNCTION("""COMPUTED_VALUE"""),44637.6458333333)</f>
        <v>44637.645833333299</v>
      </c>
      <c r="B182" s="1">
        <f ca="1">IFERROR(__xludf.DUMMYFUNCTION("""COMPUTED_VALUE"""),3672.75)</f>
        <v>3672.75</v>
      </c>
      <c r="C182" s="3">
        <f t="shared" ca="1" si="4"/>
        <v>4.6089882108372518E-3</v>
      </c>
      <c r="D182">
        <f t="shared" ca="1" si="5"/>
        <v>3735.1775510204079</v>
      </c>
    </row>
    <row r="183" spans="1:4" x14ac:dyDescent="0.25">
      <c r="A183" s="2">
        <f ca="1">IFERROR(__xludf.DUMMYFUNCTION("""COMPUTED_VALUE"""),44641.6458333333)</f>
        <v>44641.645833333299</v>
      </c>
      <c r="B183" s="1">
        <f ca="1">IFERROR(__xludf.DUMMYFUNCTION("""COMPUTED_VALUE"""),3626.7)</f>
        <v>3626.7</v>
      </c>
      <c r="C183" s="3">
        <f t="shared" ca="1" si="4"/>
        <v>-1.2538288748213241E-2</v>
      </c>
      <c r="D183">
        <f t="shared" ca="1" si="5"/>
        <v>3731.3367346938776</v>
      </c>
    </row>
    <row r="184" spans="1:4" x14ac:dyDescent="0.25">
      <c r="A184" s="2">
        <f ca="1">IFERROR(__xludf.DUMMYFUNCTION("""COMPUTED_VALUE"""),44642.6458333333)</f>
        <v>44642.645833333299</v>
      </c>
      <c r="B184" s="1">
        <f ca="1">IFERROR(__xludf.DUMMYFUNCTION("""COMPUTED_VALUE"""),3700.95)</f>
        <v>3700.95</v>
      </c>
      <c r="C184" s="3">
        <f t="shared" ca="1" si="4"/>
        <v>2.0473157415832575E-2</v>
      </c>
      <c r="D184">
        <f t="shared" ca="1" si="5"/>
        <v>3727.6479591836733</v>
      </c>
    </row>
    <row r="185" spans="1:4" x14ac:dyDescent="0.25">
      <c r="A185" s="2">
        <f ca="1">IFERROR(__xludf.DUMMYFUNCTION("""COMPUTED_VALUE"""),44643.6458333333)</f>
        <v>44643.645833333299</v>
      </c>
      <c r="B185" s="1">
        <f ca="1">IFERROR(__xludf.DUMMYFUNCTION("""COMPUTED_VALUE"""),3712.4)</f>
        <v>3712.4</v>
      </c>
      <c r="C185" s="3">
        <f t="shared" ca="1" si="4"/>
        <v>3.0938002404788697E-3</v>
      </c>
      <c r="D185">
        <f t="shared" ca="1" si="5"/>
        <v>3724.534693877551</v>
      </c>
    </row>
    <row r="186" spans="1:4" x14ac:dyDescent="0.25">
      <c r="A186" s="2">
        <f ca="1">IFERROR(__xludf.DUMMYFUNCTION("""COMPUTED_VALUE"""),44644.6458333333)</f>
        <v>44644.645833333299</v>
      </c>
      <c r="B186" s="1">
        <f ca="1">IFERROR(__xludf.DUMMYFUNCTION("""COMPUTED_VALUE"""),3749.85)</f>
        <v>3749.85</v>
      </c>
      <c r="C186" s="3">
        <f t="shared" ca="1" si="4"/>
        <v>1.0087813813166636E-2</v>
      </c>
      <c r="D186">
        <f t="shared" ca="1" si="5"/>
        <v>3721.1173469387754</v>
      </c>
    </row>
    <row r="187" spans="1:4" x14ac:dyDescent="0.25">
      <c r="A187" s="2">
        <f ca="1">IFERROR(__xludf.DUMMYFUNCTION("""COMPUTED_VALUE"""),44645.6458333333)</f>
        <v>44645.645833333299</v>
      </c>
      <c r="B187" s="1">
        <f ca="1">IFERROR(__xludf.DUMMYFUNCTION("""COMPUTED_VALUE"""),3707.45)</f>
        <v>3707.45</v>
      </c>
      <c r="C187" s="3">
        <f t="shared" ca="1" si="4"/>
        <v>-1.1307118951424748E-2</v>
      </c>
      <c r="D187">
        <f t="shared" ca="1" si="5"/>
        <v>3717.7285714285717</v>
      </c>
    </row>
    <row r="188" spans="1:4" x14ac:dyDescent="0.25">
      <c r="A188" s="2">
        <f ca="1">IFERROR(__xludf.DUMMYFUNCTION("""COMPUTED_VALUE"""),44648.6458333333)</f>
        <v>44648.645833333299</v>
      </c>
      <c r="B188" s="1">
        <f ca="1">IFERROR(__xludf.DUMMYFUNCTION("""COMPUTED_VALUE"""),3707.7)</f>
        <v>3707.7</v>
      </c>
      <c r="C188" s="3">
        <f t="shared" ca="1" si="4"/>
        <v>6.7431792741641834E-5</v>
      </c>
      <c r="D188">
        <f t="shared" ca="1" si="5"/>
        <v>3714.6173469387759</v>
      </c>
    </row>
    <row r="189" spans="1:4" x14ac:dyDescent="0.25">
      <c r="A189" s="2">
        <f ca="1">IFERROR(__xludf.DUMMYFUNCTION("""COMPUTED_VALUE"""),44649.6458333333)</f>
        <v>44649.645833333299</v>
      </c>
      <c r="B189" s="1">
        <f ca="1">IFERROR(__xludf.DUMMYFUNCTION("""COMPUTED_VALUE"""),3705.35)</f>
        <v>3705.35</v>
      </c>
      <c r="C189" s="3">
        <f t="shared" ca="1" si="4"/>
        <v>-6.3381611241468004E-4</v>
      </c>
      <c r="D189">
        <f t="shared" ca="1" si="5"/>
        <v>3710.7357142857145</v>
      </c>
    </row>
    <row r="190" spans="1:4" x14ac:dyDescent="0.25">
      <c r="A190" s="2">
        <f ca="1">IFERROR(__xludf.DUMMYFUNCTION("""COMPUTED_VALUE"""),44650.6458333333)</f>
        <v>44650.645833333299</v>
      </c>
      <c r="B190" s="1">
        <f ca="1">IFERROR(__xludf.DUMMYFUNCTION("""COMPUTED_VALUE"""),3731.55)</f>
        <v>3731.55</v>
      </c>
      <c r="C190" s="3">
        <f t="shared" ca="1" si="4"/>
        <v>7.0708570040617681E-3</v>
      </c>
      <c r="D190">
        <f t="shared" ca="1" si="5"/>
        <v>3705.3724489795918</v>
      </c>
    </row>
    <row r="191" spans="1:4" x14ac:dyDescent="0.25">
      <c r="A191" s="2">
        <f ca="1">IFERROR(__xludf.DUMMYFUNCTION("""COMPUTED_VALUE"""),44651.6458333333)</f>
        <v>44651.645833333299</v>
      </c>
      <c r="B191" s="1">
        <f ca="1">IFERROR(__xludf.DUMMYFUNCTION("""COMPUTED_VALUE"""),3739.95)</f>
        <v>3739.95</v>
      </c>
      <c r="C191" s="3">
        <f t="shared" ca="1" si="4"/>
        <v>2.2510752904288125E-3</v>
      </c>
      <c r="D191">
        <f t="shared" ca="1" si="5"/>
        <v>3699.5030612244896</v>
      </c>
    </row>
    <row r="192" spans="1:4" x14ac:dyDescent="0.25">
      <c r="A192" s="2">
        <f ca="1">IFERROR(__xludf.DUMMYFUNCTION("""COMPUTED_VALUE"""),44652.6458333333)</f>
        <v>44652.645833333299</v>
      </c>
      <c r="B192" s="1">
        <f ca="1">IFERROR(__xludf.DUMMYFUNCTION("""COMPUTED_VALUE"""),3758.75)</f>
        <v>3758.75</v>
      </c>
      <c r="C192" s="3">
        <f t="shared" ca="1" si="4"/>
        <v>5.0268051711921773E-3</v>
      </c>
      <c r="D192">
        <f t="shared" ca="1" si="5"/>
        <v>3694.387755102041</v>
      </c>
    </row>
    <row r="193" spans="1:4" x14ac:dyDescent="0.25">
      <c r="A193" s="2">
        <f ca="1">IFERROR(__xludf.DUMMYFUNCTION("""COMPUTED_VALUE"""),44655.6458333333)</f>
        <v>44655.645833333299</v>
      </c>
      <c r="B193" s="1">
        <f ca="1">IFERROR(__xludf.DUMMYFUNCTION("""COMPUTED_VALUE"""),3770.35)</f>
        <v>3770.35</v>
      </c>
      <c r="C193" s="3">
        <f t="shared" ca="1" si="4"/>
        <v>3.0861323578317019E-3</v>
      </c>
      <c r="D193">
        <f t="shared" ca="1" si="5"/>
        <v>3691.2061224489798</v>
      </c>
    </row>
    <row r="194" spans="1:4" x14ac:dyDescent="0.25">
      <c r="A194" s="2">
        <f ca="1">IFERROR(__xludf.DUMMYFUNCTION("""COMPUTED_VALUE"""),44656.6458333333)</f>
        <v>44656.645833333299</v>
      </c>
      <c r="B194" s="1">
        <f ca="1">IFERROR(__xludf.DUMMYFUNCTION("""COMPUTED_VALUE"""),3814.8)</f>
        <v>3814.8</v>
      </c>
      <c r="C194" s="3">
        <f t="shared" ca="1" si="4"/>
        <v>1.1789356425796087E-2</v>
      </c>
      <c r="D194">
        <f t="shared" ca="1" si="5"/>
        <v>3690.0591836734698</v>
      </c>
    </row>
    <row r="195" spans="1:4" x14ac:dyDescent="0.25">
      <c r="A195" s="2">
        <f ca="1">IFERROR(__xludf.DUMMYFUNCTION("""COMPUTED_VALUE"""),44657.6458333333)</f>
        <v>44657.645833333299</v>
      </c>
      <c r="B195" s="1">
        <f ca="1">IFERROR(__xludf.DUMMYFUNCTION("""COMPUTED_VALUE"""),3755.35)</f>
        <v>3755.35</v>
      </c>
      <c r="C195" s="3">
        <f t="shared" ca="1" si="4"/>
        <v>-1.5584041103072316E-2</v>
      </c>
      <c r="D195">
        <f t="shared" ca="1" si="5"/>
        <v>3689.6775510204084</v>
      </c>
    </row>
    <row r="196" spans="1:4" x14ac:dyDescent="0.25">
      <c r="A196" s="2">
        <f ca="1">IFERROR(__xludf.DUMMYFUNCTION("""COMPUTED_VALUE"""),44658.6458333333)</f>
        <v>44658.645833333299</v>
      </c>
      <c r="B196" s="1">
        <f ca="1">IFERROR(__xludf.DUMMYFUNCTION("""COMPUTED_VALUE"""),3684.15)</f>
        <v>3684.15</v>
      </c>
      <c r="C196" s="3">
        <f t="shared" ref="C196:C259" ca="1" si="6">(B196-B195)/B195</f>
        <v>-1.8959617612206537E-2</v>
      </c>
      <c r="D196">
        <f t="shared" ca="1" si="5"/>
        <v>3689.3510204081631</v>
      </c>
    </row>
    <row r="197" spans="1:4" x14ac:dyDescent="0.25">
      <c r="A197" s="2">
        <f ca="1">IFERROR(__xludf.DUMMYFUNCTION("""COMPUTED_VALUE"""),44659.6458333333)</f>
        <v>44659.645833333299</v>
      </c>
      <c r="B197" s="1">
        <f ca="1">IFERROR(__xludf.DUMMYFUNCTION("""COMPUTED_VALUE"""),3685.65)</f>
        <v>3685.65</v>
      </c>
      <c r="C197" s="3">
        <f t="shared" ca="1" si="6"/>
        <v>4.0714954602825618E-4</v>
      </c>
      <c r="D197">
        <f t="shared" ca="1" si="5"/>
        <v>3687.6010204081631</v>
      </c>
    </row>
    <row r="198" spans="1:4" x14ac:dyDescent="0.25">
      <c r="A198" s="2">
        <f ca="1">IFERROR(__xludf.DUMMYFUNCTION("""COMPUTED_VALUE"""),44662.6458333333)</f>
        <v>44662.645833333299</v>
      </c>
      <c r="B198" s="1">
        <f ca="1">IFERROR(__xludf.DUMMYFUNCTION("""COMPUTED_VALUE"""),3696.4)</f>
        <v>3696.4</v>
      </c>
      <c r="C198" s="3">
        <f t="shared" ca="1" si="6"/>
        <v>2.9167175396470095E-3</v>
      </c>
      <c r="D198">
        <f t="shared" ca="1" si="5"/>
        <v>3688.3438775510199</v>
      </c>
    </row>
    <row r="199" spans="1:4" x14ac:dyDescent="0.25">
      <c r="A199" s="2">
        <f ca="1">IFERROR(__xludf.DUMMYFUNCTION("""COMPUTED_VALUE"""),44663.6458333333)</f>
        <v>44663.645833333299</v>
      </c>
      <c r="B199" s="1">
        <f ca="1">IFERROR(__xludf.DUMMYFUNCTION("""COMPUTED_VALUE"""),3691.1)</f>
        <v>3691.1</v>
      </c>
      <c r="C199" s="3">
        <f t="shared" ca="1" si="6"/>
        <v>-1.4338275078455203E-3</v>
      </c>
      <c r="D199">
        <f t="shared" ca="1" si="5"/>
        <v>3688.4734693877549</v>
      </c>
    </row>
    <row r="200" spans="1:4" x14ac:dyDescent="0.25">
      <c r="A200" s="2">
        <f ca="1">IFERROR(__xludf.DUMMYFUNCTION("""COMPUTED_VALUE"""),44664.6458333333)</f>
        <v>44664.645833333299</v>
      </c>
      <c r="B200" s="1">
        <f ca="1">IFERROR(__xludf.DUMMYFUNCTION("""COMPUTED_VALUE"""),3661.95)</f>
        <v>3661.95</v>
      </c>
      <c r="C200" s="3">
        <f t="shared" ca="1" si="6"/>
        <v>-7.8973747663298455E-3</v>
      </c>
      <c r="D200">
        <f t="shared" ca="1" si="5"/>
        <v>3687.5520408163256</v>
      </c>
    </row>
    <row r="201" spans="1:4" x14ac:dyDescent="0.25">
      <c r="A201" s="2">
        <f ca="1">IFERROR(__xludf.DUMMYFUNCTION("""COMPUTED_VALUE"""),44669.6458333333)</f>
        <v>44669.645833333299</v>
      </c>
      <c r="B201" s="1">
        <f ca="1">IFERROR(__xludf.DUMMYFUNCTION("""COMPUTED_VALUE"""),3528.05)</f>
        <v>3528.05</v>
      </c>
      <c r="C201" s="3">
        <f t="shared" ca="1" si="6"/>
        <v>-3.6565217984953276E-2</v>
      </c>
      <c r="D201">
        <f t="shared" ca="1" si="5"/>
        <v>3684.7214285714281</v>
      </c>
    </row>
    <row r="202" spans="1:4" x14ac:dyDescent="0.25">
      <c r="A202" s="2">
        <f ca="1">IFERROR(__xludf.DUMMYFUNCTION("""COMPUTED_VALUE"""),44670.6458333333)</f>
        <v>44670.645833333299</v>
      </c>
      <c r="B202" s="1">
        <f ca="1">IFERROR(__xludf.DUMMYFUNCTION("""COMPUTED_VALUE"""),3471.9)</f>
        <v>3471.9</v>
      </c>
      <c r="C202" s="3">
        <f t="shared" ca="1" si="6"/>
        <v>-1.5915307322742048E-2</v>
      </c>
      <c r="D202">
        <f t="shared" ca="1" si="5"/>
        <v>3678.0244897959174</v>
      </c>
    </row>
    <row r="203" spans="1:4" x14ac:dyDescent="0.25">
      <c r="A203" s="2">
        <f ca="1">IFERROR(__xludf.DUMMYFUNCTION("""COMPUTED_VALUE"""),44671.6458333333)</f>
        <v>44671.645833333299</v>
      </c>
      <c r="B203" s="1">
        <f ca="1">IFERROR(__xludf.DUMMYFUNCTION("""COMPUTED_VALUE"""),3556.8)</f>
        <v>3556.8</v>
      </c>
      <c r="C203" s="3">
        <f t="shared" ca="1" si="6"/>
        <v>2.4453469281949389E-2</v>
      </c>
      <c r="D203">
        <f t="shared" ca="1" si="5"/>
        <v>3670.8265306122439</v>
      </c>
    </row>
    <row r="204" spans="1:4" x14ac:dyDescent="0.25">
      <c r="A204" s="2">
        <f ca="1">IFERROR(__xludf.DUMMYFUNCTION("""COMPUTED_VALUE"""),44672.6458333333)</f>
        <v>44672.645833333299</v>
      </c>
      <c r="B204" s="1">
        <f ca="1">IFERROR(__xludf.DUMMYFUNCTION("""COMPUTED_VALUE"""),3628.65)</f>
        <v>3628.65</v>
      </c>
      <c r="C204" s="3">
        <f t="shared" ca="1" si="6"/>
        <v>2.0200742240215896E-2</v>
      </c>
      <c r="D204">
        <f t="shared" ca="1" si="5"/>
        <v>3665.5591836734689</v>
      </c>
    </row>
    <row r="205" spans="1:4" x14ac:dyDescent="0.25">
      <c r="A205" s="2">
        <f ca="1">IFERROR(__xludf.DUMMYFUNCTION("""COMPUTED_VALUE"""),44673.6458333333)</f>
        <v>44673.645833333299</v>
      </c>
      <c r="B205" s="1">
        <f ca="1">IFERROR(__xludf.DUMMYFUNCTION("""COMPUTED_VALUE"""),3612.55)</f>
        <v>3612.55</v>
      </c>
      <c r="C205" s="3">
        <f t="shared" ca="1" si="6"/>
        <v>-4.4369117991539305E-3</v>
      </c>
      <c r="D205">
        <f t="shared" ca="1" si="5"/>
        <v>3662.49081632653</v>
      </c>
    </row>
    <row r="206" spans="1:4" x14ac:dyDescent="0.25">
      <c r="A206" s="2">
        <f ca="1">IFERROR(__xludf.DUMMYFUNCTION("""COMPUTED_VALUE"""),44676.6458333333)</f>
        <v>44676.645833333299</v>
      </c>
      <c r="B206" s="1">
        <f ca="1">IFERROR(__xludf.DUMMYFUNCTION("""COMPUTED_VALUE"""),3548.2)</f>
        <v>3548.2</v>
      </c>
      <c r="C206" s="3">
        <f t="shared" ca="1" si="6"/>
        <v>-1.7812902243567665E-2</v>
      </c>
      <c r="D206">
        <f t="shared" ca="1" si="5"/>
        <v>3659.8193877551007</v>
      </c>
    </row>
    <row r="207" spans="1:4" x14ac:dyDescent="0.25">
      <c r="A207" s="2">
        <f ca="1">IFERROR(__xludf.DUMMYFUNCTION("""COMPUTED_VALUE"""),44677.6458333333)</f>
        <v>44677.645833333299</v>
      </c>
      <c r="B207" s="1">
        <f ca="1">IFERROR(__xludf.DUMMYFUNCTION("""COMPUTED_VALUE"""),3546.3)</f>
        <v>3546.3</v>
      </c>
      <c r="C207" s="3">
        <f t="shared" ca="1" si="6"/>
        <v>-5.3548278000102481E-4</v>
      </c>
      <c r="D207">
        <f t="shared" ca="1" si="5"/>
        <v>3655.4857142857127</v>
      </c>
    </row>
    <row r="208" spans="1:4" x14ac:dyDescent="0.25">
      <c r="A208" s="2">
        <f ca="1">IFERROR(__xludf.DUMMYFUNCTION("""COMPUTED_VALUE"""),44678.6458333333)</f>
        <v>44678.645833333299</v>
      </c>
      <c r="B208" s="1">
        <f ca="1">IFERROR(__xludf.DUMMYFUNCTION("""COMPUTED_VALUE"""),3561.2)</f>
        <v>3561.2</v>
      </c>
      <c r="C208" s="3">
        <f t="shared" ca="1" si="6"/>
        <v>4.2015621915798534E-3</v>
      </c>
      <c r="D208">
        <f t="shared" ca="1" si="5"/>
        <v>3650.913265306121</v>
      </c>
    </row>
    <row r="209" spans="1:4" x14ac:dyDescent="0.25">
      <c r="A209" s="2">
        <f ca="1">IFERROR(__xludf.DUMMYFUNCTION("""COMPUTED_VALUE"""),44679.6458333333)</f>
        <v>44679.645833333299</v>
      </c>
      <c r="B209" s="1">
        <f ca="1">IFERROR(__xludf.DUMMYFUNCTION("""COMPUTED_VALUE"""),3584.3)</f>
        <v>3584.3</v>
      </c>
      <c r="C209" s="3">
        <f t="shared" ca="1" si="6"/>
        <v>6.4865775581265765E-3</v>
      </c>
      <c r="D209">
        <f t="shared" ca="1" si="5"/>
        <v>3648.1836734693866</v>
      </c>
    </row>
    <row r="210" spans="1:4" x14ac:dyDescent="0.25">
      <c r="A210" s="2">
        <f ca="1">IFERROR(__xludf.DUMMYFUNCTION("""COMPUTED_VALUE"""),44680.6458333333)</f>
        <v>44680.645833333299</v>
      </c>
      <c r="B210" s="1">
        <f ca="1">IFERROR(__xludf.DUMMYFUNCTION("""COMPUTED_VALUE"""),3546.7)</f>
        <v>3546.7</v>
      </c>
      <c r="C210" s="3">
        <f t="shared" ca="1" si="6"/>
        <v>-1.0490193343191239E-2</v>
      </c>
      <c r="D210">
        <f t="shared" ca="1" si="5"/>
        <v>3645.1336734693868</v>
      </c>
    </row>
    <row r="211" spans="1:4" x14ac:dyDescent="0.25">
      <c r="A211" s="2">
        <f ca="1">IFERROR(__xludf.DUMMYFUNCTION("""COMPUTED_VALUE"""),44683.6458333333)</f>
        <v>44683.645833333299</v>
      </c>
      <c r="B211" s="1">
        <f ca="1">IFERROR(__xludf.DUMMYFUNCTION("""COMPUTED_VALUE"""),3542.4)</f>
        <v>3542.4</v>
      </c>
      <c r="C211" s="3">
        <f t="shared" ca="1" si="6"/>
        <v>-1.2123946203512355E-3</v>
      </c>
      <c r="D211">
        <f t="shared" ca="1" si="5"/>
        <v>3639.6010204081631</v>
      </c>
    </row>
    <row r="212" spans="1:4" x14ac:dyDescent="0.25">
      <c r="A212" s="2">
        <f ca="1">IFERROR(__xludf.DUMMYFUNCTION("""COMPUTED_VALUE"""),44685.6458333333)</f>
        <v>44685.645833333299</v>
      </c>
      <c r="B212" s="1">
        <f ca="1">IFERROR(__xludf.DUMMYFUNCTION("""COMPUTED_VALUE"""),3479.75)</f>
        <v>3479.75</v>
      </c>
      <c r="C212" s="3">
        <f t="shared" ca="1" si="6"/>
        <v>-1.7685749774164435E-2</v>
      </c>
      <c r="D212">
        <f t="shared" ca="1" si="5"/>
        <v>3634.0765306122444</v>
      </c>
    </row>
    <row r="213" spans="1:4" x14ac:dyDescent="0.25">
      <c r="A213" s="2">
        <f ca="1">IFERROR(__xludf.DUMMYFUNCTION("""COMPUTED_VALUE"""),44686.6458333333)</f>
        <v>44686.645833333299</v>
      </c>
      <c r="B213" s="1">
        <f ca="1">IFERROR(__xludf.DUMMYFUNCTION("""COMPUTED_VALUE"""),3513.4)</f>
        <v>3513.4</v>
      </c>
      <c r="C213" s="3">
        <f t="shared" ca="1" si="6"/>
        <v>9.6702349306703322E-3</v>
      </c>
      <c r="D213">
        <f t="shared" ca="1" si="5"/>
        <v>3627.8632653061218</v>
      </c>
    </row>
    <row r="214" spans="1:4" x14ac:dyDescent="0.25">
      <c r="A214" s="2">
        <f ca="1">IFERROR(__xludf.DUMMYFUNCTION("""COMPUTED_VALUE"""),44687.6458333333)</f>
        <v>44687.645833333299</v>
      </c>
      <c r="B214" s="1">
        <f ca="1">IFERROR(__xludf.DUMMYFUNCTION("""COMPUTED_VALUE"""),3432.6)</f>
        <v>3432.6</v>
      </c>
      <c r="C214" s="3">
        <f t="shared" ca="1" si="6"/>
        <v>-2.2997666078442586E-2</v>
      </c>
      <c r="D214">
        <f t="shared" ca="1" si="5"/>
        <v>3622.1387755102032</v>
      </c>
    </row>
    <row r="215" spans="1:4" x14ac:dyDescent="0.25">
      <c r="A215" s="2">
        <f ca="1">IFERROR(__xludf.DUMMYFUNCTION("""COMPUTED_VALUE"""),44690.6458333333)</f>
        <v>44690.645833333299</v>
      </c>
      <c r="B215" s="1">
        <f ca="1">IFERROR(__xludf.DUMMYFUNCTION("""COMPUTED_VALUE"""),3445.1)</f>
        <v>3445.1</v>
      </c>
      <c r="C215" s="3">
        <f t="shared" ca="1" si="6"/>
        <v>3.6415545067878577E-3</v>
      </c>
      <c r="D215">
        <f t="shared" ca="1" si="5"/>
        <v>3616.2857142857138</v>
      </c>
    </row>
    <row r="216" spans="1:4" x14ac:dyDescent="0.25">
      <c r="A216" s="2">
        <f ca="1">IFERROR(__xludf.DUMMYFUNCTION("""COMPUTED_VALUE"""),44691.6458333333)</f>
        <v>44691.645833333299</v>
      </c>
      <c r="B216" s="1">
        <f ca="1">IFERROR(__xludf.DUMMYFUNCTION("""COMPUTED_VALUE"""),3438.75)</f>
        <v>3438.75</v>
      </c>
      <c r="C216" s="3">
        <f t="shared" ca="1" si="6"/>
        <v>-1.8431975849757362E-3</v>
      </c>
      <c r="D216">
        <f t="shared" ca="1" si="5"/>
        <v>3613.402040816326</v>
      </c>
    </row>
    <row r="217" spans="1:4" x14ac:dyDescent="0.25">
      <c r="A217" s="2">
        <f ca="1">IFERROR(__xludf.DUMMYFUNCTION("""COMPUTED_VALUE"""),44692.6458333333)</f>
        <v>44692.645833333299</v>
      </c>
      <c r="B217" s="1">
        <f ca="1">IFERROR(__xludf.DUMMYFUNCTION("""COMPUTED_VALUE"""),3412)</f>
        <v>3412</v>
      </c>
      <c r="C217" s="3">
        <f t="shared" ca="1" si="6"/>
        <v>-7.7789894583787716E-3</v>
      </c>
      <c r="D217">
        <f t="shared" ca="1" si="5"/>
        <v>3610.85</v>
      </c>
    </row>
    <row r="218" spans="1:4" x14ac:dyDescent="0.25">
      <c r="A218" s="2">
        <f ca="1">IFERROR(__xludf.DUMMYFUNCTION("""COMPUTED_VALUE"""),44693.6458333333)</f>
        <v>44693.645833333299</v>
      </c>
      <c r="B218" s="1">
        <f ca="1">IFERROR(__xludf.DUMMYFUNCTION("""COMPUTED_VALUE"""),3408.65)</f>
        <v>3408.65</v>
      </c>
      <c r="C218" s="3">
        <f t="shared" ca="1" si="6"/>
        <v>-9.818288393903603E-4</v>
      </c>
      <c r="D218">
        <f t="shared" ca="1" si="5"/>
        <v>3611.0612244897961</v>
      </c>
    </row>
    <row r="219" spans="1:4" x14ac:dyDescent="0.25">
      <c r="A219" s="2">
        <f ca="1">IFERROR(__xludf.DUMMYFUNCTION("""COMPUTED_VALUE"""),44694.6458333333)</f>
        <v>44694.645833333299</v>
      </c>
      <c r="B219" s="1">
        <f ca="1">IFERROR(__xludf.DUMMYFUNCTION("""COMPUTED_VALUE"""),3414.9)</f>
        <v>3414.9</v>
      </c>
      <c r="C219" s="3">
        <f t="shared" ca="1" si="6"/>
        <v>1.8335704751147814E-3</v>
      </c>
      <c r="D219">
        <f t="shared" ca="1" si="5"/>
        <v>3608.7734693877551</v>
      </c>
    </row>
    <row r="220" spans="1:4" x14ac:dyDescent="0.25">
      <c r="A220" s="2">
        <f ca="1">IFERROR(__xludf.DUMMYFUNCTION("""COMPUTED_VALUE"""),44697.6458333333)</f>
        <v>44697.645833333299</v>
      </c>
      <c r="B220" s="1">
        <f ca="1">IFERROR(__xludf.DUMMYFUNCTION("""COMPUTED_VALUE"""),3376.8)</f>
        <v>3376.8</v>
      </c>
      <c r="C220" s="3">
        <f t="shared" ca="1" si="6"/>
        <v>-1.1156988491610269E-2</v>
      </c>
      <c r="D220">
        <f t="shared" ca="1" si="5"/>
        <v>3605.9306122448975</v>
      </c>
    </row>
    <row r="221" spans="1:4" x14ac:dyDescent="0.25">
      <c r="A221" s="2">
        <f ca="1">IFERROR(__xludf.DUMMYFUNCTION("""COMPUTED_VALUE"""),44698.6458333333)</f>
        <v>44698.645833333299</v>
      </c>
      <c r="B221" s="1">
        <f ca="1">IFERROR(__xludf.DUMMYFUNCTION("""COMPUTED_VALUE"""),3451.6)</f>
        <v>3451.6</v>
      </c>
      <c r="C221" s="3">
        <f t="shared" ca="1" si="6"/>
        <v>2.2151149016820578E-2</v>
      </c>
      <c r="D221">
        <f t="shared" ca="1" si="5"/>
        <v>3602.4744897959176</v>
      </c>
    </row>
    <row r="222" spans="1:4" x14ac:dyDescent="0.25">
      <c r="A222" s="2">
        <f ca="1">IFERROR(__xludf.DUMMYFUNCTION("""COMPUTED_VALUE"""),44699.6458333333)</f>
        <v>44699.645833333299</v>
      </c>
      <c r="B222" s="1">
        <f ca="1">IFERROR(__xludf.DUMMYFUNCTION("""COMPUTED_VALUE"""),3448.8)</f>
        <v>3448.8</v>
      </c>
      <c r="C222" s="3">
        <f t="shared" ca="1" si="6"/>
        <v>-8.1121798586155031E-4</v>
      </c>
      <c r="D222">
        <f t="shared" ca="1" si="5"/>
        <v>3600.5806122448976</v>
      </c>
    </row>
    <row r="223" spans="1:4" x14ac:dyDescent="0.25">
      <c r="A223" s="2">
        <f ca="1">IFERROR(__xludf.DUMMYFUNCTION("""COMPUTED_VALUE"""),44700.6458333333)</f>
        <v>44700.645833333299</v>
      </c>
      <c r="B223" s="1">
        <f ca="1">IFERROR(__xludf.DUMMYFUNCTION("""COMPUTED_VALUE"""),3261.95)</f>
        <v>3261.95</v>
      </c>
      <c r="C223" s="3">
        <f t="shared" ca="1" si="6"/>
        <v>-5.4178264903734737E-2</v>
      </c>
      <c r="D223">
        <f t="shared" ca="1" si="5"/>
        <v>3599.0387755102033</v>
      </c>
    </row>
    <row r="224" spans="1:4" x14ac:dyDescent="0.25">
      <c r="A224" s="2">
        <f ca="1">IFERROR(__xludf.DUMMYFUNCTION("""COMPUTED_VALUE"""),44701.6458333333)</f>
        <v>44701.645833333299</v>
      </c>
      <c r="B224" s="1">
        <f ca="1">IFERROR(__xludf.DUMMYFUNCTION("""COMPUTED_VALUE"""),3293)</f>
        <v>3293</v>
      </c>
      <c r="C224" s="3">
        <f t="shared" ca="1" si="6"/>
        <v>9.5188460889959019E-3</v>
      </c>
      <c r="D224">
        <f t="shared" ca="1" si="5"/>
        <v>3594.4887755102036</v>
      </c>
    </row>
    <row r="225" spans="1:4" x14ac:dyDescent="0.25">
      <c r="A225" s="2">
        <f ca="1">IFERROR(__xludf.DUMMYFUNCTION("""COMPUTED_VALUE"""),44704.6458333333)</f>
        <v>44704.645833333299</v>
      </c>
      <c r="B225" s="1">
        <f ca="1">IFERROR(__xludf.DUMMYFUNCTION("""COMPUTED_VALUE"""),3321.75)</f>
        <v>3321.75</v>
      </c>
      <c r="C225" s="3">
        <f t="shared" ca="1" si="6"/>
        <v>8.7306407531126638E-3</v>
      </c>
      <c r="D225">
        <f t="shared" ca="1" si="5"/>
        <v>3588.2244897959176</v>
      </c>
    </row>
    <row r="226" spans="1:4" x14ac:dyDescent="0.25">
      <c r="A226" s="2">
        <f ca="1">IFERROR(__xludf.DUMMYFUNCTION("""COMPUTED_VALUE"""),44705.6458333333)</f>
        <v>44705.645833333299</v>
      </c>
      <c r="B226" s="1">
        <f ca="1">IFERROR(__xludf.DUMMYFUNCTION("""COMPUTED_VALUE"""),3288)</f>
        <v>3288</v>
      </c>
      <c r="C226" s="3">
        <f t="shared" ca="1" si="6"/>
        <v>-1.0160307067058026E-2</v>
      </c>
      <c r="D226">
        <f t="shared" ca="1" si="5"/>
        <v>3581.8806122448973</v>
      </c>
    </row>
    <row r="227" spans="1:4" x14ac:dyDescent="0.25">
      <c r="A227" s="2">
        <f ca="1">IFERROR(__xludf.DUMMYFUNCTION("""COMPUTED_VALUE"""),44706.6458333333)</f>
        <v>44706.645833333299</v>
      </c>
      <c r="B227" s="1">
        <f ca="1">IFERROR(__xludf.DUMMYFUNCTION("""COMPUTED_VALUE"""),3167.65)</f>
        <v>3167.65</v>
      </c>
      <c r="C227" s="3">
        <f t="shared" ca="1" si="6"/>
        <v>-3.6602798053527952E-2</v>
      </c>
      <c r="D227">
        <f t="shared" ca="1" si="5"/>
        <v>3575.0857142857135</v>
      </c>
    </row>
    <row r="228" spans="1:4" x14ac:dyDescent="0.25">
      <c r="A228" s="2">
        <f ca="1">IFERROR(__xludf.DUMMYFUNCTION("""COMPUTED_VALUE"""),44707.6458333333)</f>
        <v>44707.645833333299</v>
      </c>
      <c r="B228" s="1">
        <f ca="1">IFERROR(__xludf.DUMMYFUNCTION("""COMPUTED_VALUE"""),3226.95)</f>
        <v>3226.95</v>
      </c>
      <c r="C228" s="3">
        <f t="shared" ca="1" si="6"/>
        <v>1.8720502580777461E-2</v>
      </c>
      <c r="D228">
        <f t="shared" ca="1" si="5"/>
        <v>3566.2795918367337</v>
      </c>
    </row>
    <row r="229" spans="1:4" x14ac:dyDescent="0.25">
      <c r="A229" s="2">
        <f ca="1">IFERROR(__xludf.DUMMYFUNCTION("""COMPUTED_VALUE"""),44708.6458333333)</f>
        <v>44708.645833333299</v>
      </c>
      <c r="B229" s="1">
        <f ca="1">IFERROR(__xludf.DUMMYFUNCTION("""COMPUTED_VALUE"""),3261.3)</f>
        <v>3261.3</v>
      </c>
      <c r="C229" s="3">
        <f t="shared" ca="1" si="6"/>
        <v>1.0644726444475547E-2</v>
      </c>
      <c r="D229">
        <f t="shared" ca="1" si="5"/>
        <v>3557.7887755102033</v>
      </c>
    </row>
    <row r="230" spans="1:4" x14ac:dyDescent="0.25">
      <c r="A230" s="2">
        <f ca="1">IFERROR(__xludf.DUMMYFUNCTION("""COMPUTED_VALUE"""),44711.6458333333)</f>
        <v>44711.645833333299</v>
      </c>
      <c r="B230" s="1">
        <f ca="1">IFERROR(__xludf.DUMMYFUNCTION("""COMPUTED_VALUE"""),3375.25)</f>
        <v>3375.25</v>
      </c>
      <c r="C230" s="3">
        <f t="shared" ca="1" si="6"/>
        <v>3.4940054579462122E-2</v>
      </c>
      <c r="D230">
        <f t="shared" ca="1" si="5"/>
        <v>3551.0010204081632</v>
      </c>
    </row>
    <row r="231" spans="1:4" x14ac:dyDescent="0.25">
      <c r="A231" s="2">
        <f ca="1">IFERROR(__xludf.DUMMYFUNCTION("""COMPUTED_VALUE"""),44712.6458333333)</f>
        <v>44712.645833333299</v>
      </c>
      <c r="B231" s="1">
        <f ca="1">IFERROR(__xludf.DUMMYFUNCTION("""COMPUTED_VALUE"""),3364.35)</f>
        <v>3364.35</v>
      </c>
      <c r="C231" s="3">
        <f t="shared" ca="1" si="6"/>
        <v>-3.2293904155248029E-3</v>
      </c>
      <c r="D231">
        <f t="shared" ca="1" si="5"/>
        <v>3545.2734693877542</v>
      </c>
    </row>
    <row r="232" spans="1:4" x14ac:dyDescent="0.25">
      <c r="A232" s="2">
        <f ca="1">IFERROR(__xludf.DUMMYFUNCTION("""COMPUTED_VALUE"""),44713.6458333333)</f>
        <v>44713.645833333299</v>
      </c>
      <c r="B232" s="1">
        <f ca="1">IFERROR(__xludf.DUMMYFUNCTION("""COMPUTED_VALUE"""),3355.2)</f>
        <v>3355.2</v>
      </c>
      <c r="C232" s="3">
        <f t="shared" ca="1" si="6"/>
        <v>-2.7196932542690538E-3</v>
      </c>
      <c r="D232">
        <f t="shared" ca="1" si="5"/>
        <v>3538.979591836734</v>
      </c>
    </row>
    <row r="233" spans="1:4" x14ac:dyDescent="0.25">
      <c r="A233" s="2">
        <f ca="1">IFERROR(__xludf.DUMMYFUNCTION("""COMPUTED_VALUE"""),44714.6458333333)</f>
        <v>44714.645833333299</v>
      </c>
      <c r="B233" s="1">
        <f ca="1">IFERROR(__xludf.DUMMYFUNCTION("""COMPUTED_VALUE"""),3423)</f>
        <v>3423</v>
      </c>
      <c r="C233" s="3">
        <f t="shared" ca="1" si="6"/>
        <v>2.0207439198855565E-2</v>
      </c>
      <c r="D233">
        <f t="shared" ca="1" si="5"/>
        <v>3533.4387755102039</v>
      </c>
    </row>
    <row r="234" spans="1:4" x14ac:dyDescent="0.25">
      <c r="A234" s="2">
        <f ca="1">IFERROR(__xludf.DUMMYFUNCTION("""COMPUTED_VALUE"""),44715.6458333333)</f>
        <v>44715.645833333299</v>
      </c>
      <c r="B234" s="1">
        <f ca="1">IFERROR(__xludf.DUMMYFUNCTION("""COMPUTED_VALUE"""),3440.15)</f>
        <v>3440.15</v>
      </c>
      <c r="C234" s="3">
        <f t="shared" ca="1" si="6"/>
        <v>5.0102249488752819E-3</v>
      </c>
      <c r="D234">
        <f t="shared" ca="1" si="5"/>
        <v>3527.7663265306119</v>
      </c>
    </row>
    <row r="235" spans="1:4" x14ac:dyDescent="0.25">
      <c r="A235" s="2">
        <f ca="1">IFERROR(__xludf.DUMMYFUNCTION("""COMPUTED_VALUE"""),44718.6458333333)</f>
        <v>44718.645833333299</v>
      </c>
      <c r="B235" s="1">
        <f ca="1">IFERROR(__xludf.DUMMYFUNCTION("""COMPUTED_VALUE"""),3430.95)</f>
        <v>3430.95</v>
      </c>
      <c r="C235" s="3">
        <f t="shared" ca="1" si="6"/>
        <v>-2.6743019926457486E-3</v>
      </c>
      <c r="D235">
        <f t="shared" ca="1" si="5"/>
        <v>3522.210204081633</v>
      </c>
    </row>
    <row r="236" spans="1:4" x14ac:dyDescent="0.25">
      <c r="A236" s="2">
        <f ca="1">IFERROR(__xludf.DUMMYFUNCTION("""COMPUTED_VALUE"""),44719.6458333333)</f>
        <v>44719.645833333299</v>
      </c>
      <c r="B236" s="1">
        <f ca="1">IFERROR(__xludf.DUMMYFUNCTION("""COMPUTED_VALUE"""),3362.7)</f>
        <v>3362.7</v>
      </c>
      <c r="C236" s="3">
        <f t="shared" ca="1" si="6"/>
        <v>-1.9892449613080926E-2</v>
      </c>
      <c r="D236">
        <f t="shared" ca="1" si="5"/>
        <v>3515.7020408163271</v>
      </c>
    </row>
    <row r="237" spans="1:4" x14ac:dyDescent="0.25">
      <c r="A237" s="2">
        <f ca="1">IFERROR(__xludf.DUMMYFUNCTION("""COMPUTED_VALUE"""),44720.6458333333)</f>
        <v>44720.645833333299</v>
      </c>
      <c r="B237" s="1">
        <f ca="1">IFERROR(__xludf.DUMMYFUNCTION("""COMPUTED_VALUE"""),3404.15)</f>
        <v>3404.15</v>
      </c>
      <c r="C237" s="3">
        <f t="shared" ca="1" si="6"/>
        <v>1.2326404377434881E-2</v>
      </c>
      <c r="D237">
        <f t="shared" ca="1" si="5"/>
        <v>3508.6663265306129</v>
      </c>
    </row>
    <row r="238" spans="1:4" x14ac:dyDescent="0.25">
      <c r="A238" s="2">
        <f ca="1">IFERROR(__xludf.DUMMYFUNCTION("""COMPUTED_VALUE"""),44721.6458333333)</f>
        <v>44721.645833333299</v>
      </c>
      <c r="B238" s="1">
        <f ca="1">IFERROR(__xludf.DUMMYFUNCTION("""COMPUTED_VALUE"""),3427.1)</f>
        <v>3427.1</v>
      </c>
      <c r="C238" s="3">
        <f t="shared" ca="1" si="6"/>
        <v>6.7417710735425337E-3</v>
      </c>
      <c r="D238">
        <f t="shared" ca="1" si="5"/>
        <v>3502.4714285714294</v>
      </c>
    </row>
    <row r="239" spans="1:4" x14ac:dyDescent="0.25">
      <c r="A239" s="2">
        <f ca="1">IFERROR(__xludf.DUMMYFUNCTION("""COMPUTED_VALUE"""),44722.6458333333)</f>
        <v>44722.645833333299</v>
      </c>
      <c r="B239" s="1">
        <f ca="1">IFERROR(__xludf.DUMMYFUNCTION("""COMPUTED_VALUE"""),3359.9)</f>
        <v>3359.9</v>
      </c>
      <c r="C239" s="3">
        <f t="shared" ca="1" si="6"/>
        <v>-1.9608415278223518E-2</v>
      </c>
      <c r="D239">
        <f t="shared" ca="1" si="5"/>
        <v>3496.7928571428579</v>
      </c>
    </row>
    <row r="240" spans="1:4" x14ac:dyDescent="0.25">
      <c r="A240" s="2">
        <f ca="1">IFERROR(__xludf.DUMMYFUNCTION("""COMPUTED_VALUE"""),44725.6458333333)</f>
        <v>44725.645833333299</v>
      </c>
      <c r="B240" s="1">
        <f ca="1">IFERROR(__xludf.DUMMYFUNCTION("""COMPUTED_VALUE"""),3219.6)</f>
        <v>3219.6</v>
      </c>
      <c r="C240" s="3">
        <f t="shared" ca="1" si="6"/>
        <v>-4.1757195154617753E-2</v>
      </c>
      <c r="D240">
        <f t="shared" ca="1" si="5"/>
        <v>3489.2081632653062</v>
      </c>
    </row>
    <row r="241" spans="1:4" x14ac:dyDescent="0.25">
      <c r="A241" s="2">
        <f ca="1">IFERROR(__xludf.DUMMYFUNCTION("""COMPUTED_VALUE"""),44726.6458333333)</f>
        <v>44726.645833333299</v>
      </c>
      <c r="B241" s="1">
        <f ca="1">IFERROR(__xludf.DUMMYFUNCTION("""COMPUTED_VALUE"""),3210.55)</f>
        <v>3210.55</v>
      </c>
      <c r="C241" s="3">
        <f t="shared" ca="1" si="6"/>
        <v>-2.8109081873523814E-3</v>
      </c>
      <c r="D241">
        <f t="shared" ca="1" si="5"/>
        <v>3478.5887755102049</v>
      </c>
    </row>
    <row r="242" spans="1:4" x14ac:dyDescent="0.25">
      <c r="A242" s="2">
        <f ca="1">IFERROR(__xludf.DUMMYFUNCTION("""COMPUTED_VALUE"""),44727.6458333333)</f>
        <v>44727.645833333299</v>
      </c>
      <c r="B242" s="1">
        <f ca="1">IFERROR(__xludf.DUMMYFUNCTION("""COMPUTED_VALUE"""),3206.3)</f>
        <v>3206.3</v>
      </c>
      <c r="C242" s="3">
        <f t="shared" ca="1" si="6"/>
        <v>-1.3237607263552973E-3</v>
      </c>
      <c r="D242">
        <f t="shared" ca="1" si="5"/>
        <v>3467.4010204081637</v>
      </c>
    </row>
    <row r="243" spans="1:4" x14ac:dyDescent="0.25">
      <c r="A243" s="2">
        <f ca="1">IFERROR(__xludf.DUMMYFUNCTION("""COMPUTED_VALUE"""),44728.6458333333)</f>
        <v>44728.645833333299</v>
      </c>
      <c r="B243" s="1">
        <f ca="1">IFERROR(__xludf.DUMMYFUNCTION("""COMPUTED_VALUE"""),3142)</f>
        <v>3142</v>
      </c>
      <c r="C243" s="3">
        <f t="shared" ca="1" si="6"/>
        <v>-2.005426815956092E-2</v>
      </c>
      <c r="D243">
        <f t="shared" ca="1" si="5"/>
        <v>3455.8897959183673</v>
      </c>
    </row>
    <row r="244" spans="1:4" x14ac:dyDescent="0.25">
      <c r="A244" s="2">
        <f ca="1">IFERROR(__xludf.DUMMYFUNCTION("""COMPUTED_VALUE"""),44729.6458333333)</f>
        <v>44729.645833333299</v>
      </c>
      <c r="B244" s="1">
        <f ca="1">IFERROR(__xludf.DUMMYFUNCTION("""COMPUTED_VALUE"""),3088.9)</f>
        <v>3088.9</v>
      </c>
      <c r="C244" s="3">
        <f t="shared" ca="1" si="6"/>
        <v>-1.6900063653723714E-2</v>
      </c>
      <c r="D244">
        <f t="shared" ref="D244:D307" ca="1" si="7">AVERAGE(B195:B243)</f>
        <v>3442.1591836734697</v>
      </c>
    </row>
    <row r="245" spans="1:4" x14ac:dyDescent="0.25">
      <c r="A245" s="2">
        <f ca="1">IFERROR(__xludf.DUMMYFUNCTION("""COMPUTED_VALUE"""),44732.6458333333)</f>
        <v>44732.645833333299</v>
      </c>
      <c r="B245" s="1">
        <f ca="1">IFERROR(__xludf.DUMMYFUNCTION("""COMPUTED_VALUE"""),3112.4)</f>
        <v>3112.4</v>
      </c>
      <c r="C245" s="3">
        <f t="shared" ca="1" si="6"/>
        <v>7.6078863025672563E-3</v>
      </c>
      <c r="D245">
        <f t="shared" ca="1" si="7"/>
        <v>3428.5581632653057</v>
      </c>
    </row>
    <row r="246" spans="1:4" x14ac:dyDescent="0.25">
      <c r="A246" s="2">
        <f ca="1">IFERROR(__xludf.DUMMYFUNCTION("""COMPUTED_VALUE"""),44733.6458333333)</f>
        <v>44733.645833333299</v>
      </c>
      <c r="B246" s="1">
        <f ca="1">IFERROR(__xludf.DUMMYFUNCTION("""COMPUTED_VALUE"""),3211.95)</f>
        <v>3211.95</v>
      </c>
      <c r="C246" s="3">
        <f t="shared" ca="1" si="6"/>
        <v>3.1984963372317092E-2</v>
      </c>
      <c r="D246">
        <f t="shared" ca="1" si="7"/>
        <v>3416.8897959183669</v>
      </c>
    </row>
    <row r="247" spans="1:4" x14ac:dyDescent="0.25">
      <c r="A247" s="2">
        <f ca="1">IFERROR(__xludf.DUMMYFUNCTION("""COMPUTED_VALUE"""),44734.6458333333)</f>
        <v>44734.645833333299</v>
      </c>
      <c r="B247" s="1">
        <f ca="1">IFERROR(__xludf.DUMMYFUNCTION("""COMPUTED_VALUE"""),3222.95)</f>
        <v>3222.95</v>
      </c>
      <c r="C247" s="3">
        <f t="shared" ca="1" si="6"/>
        <v>3.4247108454365728E-3</v>
      </c>
      <c r="D247">
        <f t="shared" ca="1" si="7"/>
        <v>3407.2224489795917</v>
      </c>
    </row>
    <row r="248" spans="1:4" x14ac:dyDescent="0.25">
      <c r="A248" s="2">
        <f ca="1">IFERROR(__xludf.DUMMYFUNCTION("""COMPUTED_VALUE"""),44735.6458333333)</f>
        <v>44735.645833333299</v>
      </c>
      <c r="B248" s="1">
        <f ca="1">IFERROR(__xludf.DUMMYFUNCTION("""COMPUTED_VALUE"""),3308.8)</f>
        <v>3308.8</v>
      </c>
      <c r="C248" s="3">
        <f t="shared" ca="1" si="6"/>
        <v>2.6637087140663172E-2</v>
      </c>
      <c r="D248">
        <f t="shared" ca="1" si="7"/>
        <v>3397.5602040816325</v>
      </c>
    </row>
    <row r="249" spans="1:4" x14ac:dyDescent="0.25">
      <c r="A249" s="2">
        <f ca="1">IFERROR(__xludf.DUMMYFUNCTION("""COMPUTED_VALUE"""),44736.6458333333)</f>
        <v>44736.645833333299</v>
      </c>
      <c r="B249" s="1">
        <f ca="1">IFERROR(__xludf.DUMMYFUNCTION("""COMPUTED_VALUE"""),3293.1)</f>
        <v>3293.1</v>
      </c>
      <c r="C249" s="3">
        <f t="shared" ca="1" si="6"/>
        <v>-4.7449226305610109E-3</v>
      </c>
      <c r="D249">
        <f t="shared" ca="1" si="7"/>
        <v>3389.7581632653055</v>
      </c>
    </row>
    <row r="250" spans="1:4" x14ac:dyDescent="0.25">
      <c r="A250" s="2">
        <f ca="1">IFERROR(__xludf.DUMMYFUNCTION("""COMPUTED_VALUE"""),44739.6458333333)</f>
        <v>44739.645833333299</v>
      </c>
      <c r="B250" s="1">
        <f ca="1">IFERROR(__xludf.DUMMYFUNCTION("""COMPUTED_VALUE"""),3314.7)</f>
        <v>3314.7</v>
      </c>
      <c r="C250" s="3">
        <f t="shared" ca="1" si="6"/>
        <v>6.5591691719048646E-3</v>
      </c>
      <c r="D250">
        <f t="shared" ca="1" si="7"/>
        <v>3382.2306122448977</v>
      </c>
    </row>
    <row r="251" spans="1:4" x14ac:dyDescent="0.25">
      <c r="A251" s="2">
        <f ca="1">IFERROR(__xludf.DUMMYFUNCTION("""COMPUTED_VALUE"""),44740.6458333333)</f>
        <v>44740.645833333299</v>
      </c>
      <c r="B251" s="1">
        <f ca="1">IFERROR(__xludf.DUMMYFUNCTION("""COMPUTED_VALUE"""),3318.15)</f>
        <v>3318.15</v>
      </c>
      <c r="C251" s="3">
        <f t="shared" ca="1" si="6"/>
        <v>1.0408181735904526E-3</v>
      </c>
      <c r="D251">
        <f t="shared" ca="1" si="7"/>
        <v>3377.8765306122446</v>
      </c>
    </row>
    <row r="252" spans="1:4" x14ac:dyDescent="0.25">
      <c r="A252" s="2">
        <f ca="1">IFERROR(__xludf.DUMMYFUNCTION("""COMPUTED_VALUE"""),44741.6458333333)</f>
        <v>44741.645833333299</v>
      </c>
      <c r="B252" s="1">
        <f ca="1">IFERROR(__xludf.DUMMYFUNCTION("""COMPUTED_VALUE"""),3290.5)</f>
        <v>3290.5</v>
      </c>
      <c r="C252" s="3">
        <f t="shared" ca="1" si="6"/>
        <v>-8.3329566173922492E-3</v>
      </c>
      <c r="D252">
        <f t="shared" ca="1" si="7"/>
        <v>3374.7387755102036</v>
      </c>
    </row>
    <row r="253" spans="1:4" x14ac:dyDescent="0.25">
      <c r="A253" s="2">
        <f ca="1">IFERROR(__xludf.DUMMYFUNCTION("""COMPUTED_VALUE"""),44742.6458333333)</f>
        <v>44742.645833333299</v>
      </c>
      <c r="B253" s="1">
        <f ca="1">IFERROR(__xludf.DUMMYFUNCTION("""COMPUTED_VALUE"""),3267.1)</f>
        <v>3267.1</v>
      </c>
      <c r="C253" s="3">
        <f t="shared" ca="1" si="6"/>
        <v>-7.1113812490503237E-3</v>
      </c>
      <c r="D253">
        <f t="shared" ca="1" si="7"/>
        <v>3369.3040816326529</v>
      </c>
    </row>
    <row r="254" spans="1:4" x14ac:dyDescent="0.25">
      <c r="A254" s="2">
        <f ca="1">IFERROR(__xludf.DUMMYFUNCTION("""COMPUTED_VALUE"""),44743.6458333333)</f>
        <v>44743.645833333299</v>
      </c>
      <c r="B254" s="1">
        <f ca="1">IFERROR(__xludf.DUMMYFUNCTION("""COMPUTED_VALUE"""),3315.1)</f>
        <v>3315.1</v>
      </c>
      <c r="C254" s="3">
        <f t="shared" ca="1" si="6"/>
        <v>1.4691928621713446E-2</v>
      </c>
      <c r="D254">
        <f t="shared" ca="1" si="7"/>
        <v>3361.9255102040815</v>
      </c>
    </row>
    <row r="255" spans="1:4" x14ac:dyDescent="0.25">
      <c r="A255" s="2">
        <f ca="1">IFERROR(__xludf.DUMMYFUNCTION("""COMPUTED_VALUE"""),44746.6458333333)</f>
        <v>44746.645833333299</v>
      </c>
      <c r="B255" s="1">
        <f ca="1">IFERROR(__xludf.DUMMYFUNCTION("""COMPUTED_VALUE"""),3235.05)</f>
        <v>3235.05</v>
      </c>
      <c r="C255" s="3">
        <f t="shared" ca="1" si="6"/>
        <v>-2.4147084552502106E-2</v>
      </c>
      <c r="D255">
        <f t="shared" ca="1" si="7"/>
        <v>3355.8551020408167</v>
      </c>
    </row>
    <row r="256" spans="1:4" x14ac:dyDescent="0.25">
      <c r="A256" s="2">
        <f ca="1">IFERROR(__xludf.DUMMYFUNCTION("""COMPUTED_VALUE"""),44747.6458333333)</f>
        <v>44747.645833333299</v>
      </c>
      <c r="B256" s="1">
        <f ca="1">IFERROR(__xludf.DUMMYFUNCTION("""COMPUTED_VALUE"""),3216.3)</f>
        <v>3216.3</v>
      </c>
      <c r="C256" s="3">
        <f t="shared" ca="1" si="6"/>
        <v>-5.795891871841239E-3</v>
      </c>
      <c r="D256">
        <f t="shared" ca="1" si="7"/>
        <v>3349.4642857142862</v>
      </c>
    </row>
    <row r="257" spans="1:4" x14ac:dyDescent="0.25">
      <c r="A257" s="2">
        <f ca="1">IFERROR(__xludf.DUMMYFUNCTION("""COMPUTED_VALUE"""),44748.6458333333)</f>
        <v>44748.645833333299</v>
      </c>
      <c r="B257" s="1">
        <f ca="1">IFERROR(__xludf.DUMMYFUNCTION("""COMPUTED_VALUE"""),3260.75)</f>
        <v>3260.75</v>
      </c>
      <c r="C257" s="3">
        <f t="shared" ca="1" si="6"/>
        <v>1.3820228212542305E-2</v>
      </c>
      <c r="D257">
        <f t="shared" ca="1" si="7"/>
        <v>3342.729591836734</v>
      </c>
    </row>
    <row r="258" spans="1:4" x14ac:dyDescent="0.25">
      <c r="A258" s="2">
        <f ca="1">IFERROR(__xludf.DUMMYFUNCTION("""COMPUTED_VALUE"""),44749.6458333333)</f>
        <v>44749.645833333299</v>
      </c>
      <c r="B258" s="1">
        <f ca="1">IFERROR(__xludf.DUMMYFUNCTION("""COMPUTED_VALUE"""),3287.85)</f>
        <v>3287.85</v>
      </c>
      <c r="C258" s="3">
        <f t="shared" ca="1" si="6"/>
        <v>8.3109714022847232E-3</v>
      </c>
      <c r="D258">
        <f t="shared" ca="1" si="7"/>
        <v>3336.5979591836731</v>
      </c>
    </row>
    <row r="259" spans="1:4" x14ac:dyDescent="0.25">
      <c r="A259" s="2">
        <f ca="1">IFERROR(__xludf.DUMMYFUNCTION("""COMPUTED_VALUE"""),44750.6458333333)</f>
        <v>44750.645833333299</v>
      </c>
      <c r="B259" s="1">
        <f ca="1">IFERROR(__xludf.DUMMYFUNCTION("""COMPUTED_VALUE"""),3265.45)</f>
        <v>3265.45</v>
      </c>
      <c r="C259" s="3">
        <f t="shared" ca="1" si="6"/>
        <v>-6.8129628784768439E-3</v>
      </c>
      <c r="D259">
        <f t="shared" ca="1" si="7"/>
        <v>3330.5479591836729</v>
      </c>
    </row>
    <row r="260" spans="1:4" x14ac:dyDescent="0.25">
      <c r="A260" s="2">
        <f ca="1">IFERROR(__xludf.DUMMYFUNCTION("""COMPUTED_VALUE"""),44753.6458333333)</f>
        <v>44753.645833333299</v>
      </c>
      <c r="B260" s="1">
        <f ca="1">IFERROR(__xludf.DUMMYFUNCTION("""COMPUTED_VALUE"""),3113.8)</f>
        <v>3113.8</v>
      </c>
      <c r="C260" s="3">
        <f t="shared" ref="C260:C323" ca="1" si="8">(B260-B259)/B259</f>
        <v>-4.6440766203739041E-2</v>
      </c>
      <c r="D260">
        <f t="shared" ca="1" si="7"/>
        <v>3324.8081632653061</v>
      </c>
    </row>
    <row r="261" spans="1:4" x14ac:dyDescent="0.25">
      <c r="A261" s="2">
        <f ca="1">IFERROR(__xludf.DUMMYFUNCTION("""COMPUTED_VALUE"""),44754.6458333333)</f>
        <v>44754.645833333299</v>
      </c>
      <c r="B261" s="1">
        <f ca="1">IFERROR(__xludf.DUMMYFUNCTION("""COMPUTED_VALUE"""),3084.7)</f>
        <v>3084.7</v>
      </c>
      <c r="C261" s="3">
        <f t="shared" ca="1" si="8"/>
        <v>-9.3454942513971229E-3</v>
      </c>
      <c r="D261">
        <f t="shared" ca="1" si="7"/>
        <v>3316.0612244897952</v>
      </c>
    </row>
    <row r="262" spans="1:4" x14ac:dyDescent="0.25">
      <c r="A262" s="2">
        <f ca="1">IFERROR(__xludf.DUMMYFUNCTION("""COMPUTED_VALUE"""),44755.6458333333)</f>
        <v>44755.645833333299</v>
      </c>
      <c r="B262" s="1">
        <f ca="1">IFERROR(__xludf.DUMMYFUNCTION("""COMPUTED_VALUE"""),3038.75)</f>
        <v>3038.75</v>
      </c>
      <c r="C262" s="3">
        <f t="shared" ca="1" si="8"/>
        <v>-1.4896100106979551E-2</v>
      </c>
      <c r="D262">
        <f t="shared" ca="1" si="7"/>
        <v>3307.9989795918364</v>
      </c>
    </row>
    <row r="263" spans="1:4" x14ac:dyDescent="0.25">
      <c r="A263" s="2">
        <f ca="1">IFERROR(__xludf.DUMMYFUNCTION("""COMPUTED_VALUE"""),44756.6458333333)</f>
        <v>44756.645833333299</v>
      </c>
      <c r="B263" s="1">
        <f ca="1">IFERROR(__xludf.DUMMYFUNCTION("""COMPUTED_VALUE"""),2998.75)</f>
        <v>2998.75</v>
      </c>
      <c r="C263" s="3">
        <f t="shared" ca="1" si="8"/>
        <v>-1.316330728095434E-2</v>
      </c>
      <c r="D263">
        <f t="shared" ca="1" si="7"/>
        <v>3298.3122448979589</v>
      </c>
    </row>
    <row r="264" spans="1:4" x14ac:dyDescent="0.25">
      <c r="A264" s="2">
        <f ca="1">IFERROR(__xludf.DUMMYFUNCTION("""COMPUTED_VALUE"""),44757.6458333333)</f>
        <v>44757.645833333299</v>
      </c>
      <c r="B264" s="1">
        <f ca="1">IFERROR(__xludf.DUMMYFUNCTION("""COMPUTED_VALUE"""),2994.6)</f>
        <v>2994.6</v>
      </c>
      <c r="C264" s="3">
        <f t="shared" ca="1" si="8"/>
        <v>-1.3839099624843988E-3</v>
      </c>
      <c r="D264">
        <f t="shared" ca="1" si="7"/>
        <v>3289.4581632653058</v>
      </c>
    </row>
    <row r="265" spans="1:4" x14ac:dyDescent="0.25">
      <c r="A265" s="2">
        <f ca="1">IFERROR(__xludf.DUMMYFUNCTION("""COMPUTED_VALUE"""),44760.6458333333)</f>
        <v>44760.645833333299</v>
      </c>
      <c r="B265" s="1">
        <f ca="1">IFERROR(__xludf.DUMMYFUNCTION("""COMPUTED_VALUE"""),3063.5)</f>
        <v>3063.5</v>
      </c>
      <c r="C265" s="3">
        <f t="shared" ca="1" si="8"/>
        <v>2.3008081212849828E-2</v>
      </c>
      <c r="D265">
        <f t="shared" ca="1" si="7"/>
        <v>3280.264285714286</v>
      </c>
    </row>
    <row r="266" spans="1:4" x14ac:dyDescent="0.25">
      <c r="A266" s="2">
        <f ca="1">IFERROR(__xludf.DUMMYFUNCTION("""COMPUTED_VALUE"""),44761.6458333333)</f>
        <v>44761.645833333299</v>
      </c>
      <c r="B266" s="1">
        <f ca="1">IFERROR(__xludf.DUMMYFUNCTION("""COMPUTED_VALUE"""),3074.25)</f>
        <v>3074.25</v>
      </c>
      <c r="C266" s="3">
        <f t="shared" ca="1" si="8"/>
        <v>3.5090582666884281E-3</v>
      </c>
      <c r="D266">
        <f t="shared" ca="1" si="7"/>
        <v>3272.6061224489799</v>
      </c>
    </row>
    <row r="267" spans="1:4" x14ac:dyDescent="0.25">
      <c r="A267" s="2">
        <f ca="1">IFERROR(__xludf.DUMMYFUNCTION("""COMPUTED_VALUE"""),44762.6458333333)</f>
        <v>44762.645833333299</v>
      </c>
      <c r="B267" s="1">
        <f ca="1">IFERROR(__xludf.DUMMYFUNCTION("""COMPUTED_VALUE"""),3164.8)</f>
        <v>3164.8</v>
      </c>
      <c r="C267" s="3">
        <f t="shared" ca="1" si="8"/>
        <v>2.9454338456534172E-2</v>
      </c>
      <c r="D267">
        <f t="shared" ca="1" si="7"/>
        <v>3265.7132653061226</v>
      </c>
    </row>
    <row r="268" spans="1:4" x14ac:dyDescent="0.25">
      <c r="A268" s="2">
        <f ca="1">IFERROR(__xludf.DUMMYFUNCTION("""COMPUTED_VALUE"""),44763.6458333333)</f>
        <v>44763.645833333299</v>
      </c>
      <c r="B268" s="1">
        <f ca="1">IFERROR(__xludf.DUMMYFUNCTION("""COMPUTED_VALUE"""),3177.3)</f>
        <v>3177.3</v>
      </c>
      <c r="C268" s="3">
        <f t="shared" ca="1" si="8"/>
        <v>3.949696663296259E-3</v>
      </c>
      <c r="D268">
        <f t="shared" ca="1" si="7"/>
        <v>3260.7367346938777</v>
      </c>
    </row>
    <row r="269" spans="1:4" x14ac:dyDescent="0.25">
      <c r="A269" s="2">
        <f ca="1">IFERROR(__xludf.DUMMYFUNCTION("""COMPUTED_VALUE"""),44764.6458333333)</f>
        <v>44764.645833333299</v>
      </c>
      <c r="B269" s="1">
        <f ca="1">IFERROR(__xludf.DUMMYFUNCTION("""COMPUTED_VALUE"""),3171)</f>
        <v>3171</v>
      </c>
      <c r="C269" s="3">
        <f t="shared" ca="1" si="8"/>
        <v>-1.982815598149429E-3</v>
      </c>
      <c r="D269">
        <f t="shared" ca="1" si="7"/>
        <v>3255.887755102041</v>
      </c>
    </row>
    <row r="270" spans="1:4" x14ac:dyDescent="0.25">
      <c r="A270" s="2">
        <f ca="1">IFERROR(__xludf.DUMMYFUNCTION("""COMPUTED_VALUE"""),44767.6458333333)</f>
        <v>44767.645833333299</v>
      </c>
      <c r="B270" s="1">
        <f ca="1">IFERROR(__xludf.DUMMYFUNCTION("""COMPUTED_VALUE"""),3166.75)</f>
        <v>3166.75</v>
      </c>
      <c r="C270" s="3">
        <f t="shared" ca="1" si="8"/>
        <v>-1.3402712078208767E-3</v>
      </c>
      <c r="D270">
        <f t="shared" ca="1" si="7"/>
        <v>3251.6877551020407</v>
      </c>
    </row>
    <row r="271" spans="1:4" x14ac:dyDescent="0.25">
      <c r="A271" s="2">
        <f ca="1">IFERROR(__xludf.DUMMYFUNCTION("""COMPUTED_VALUE"""),44768.6458333333)</f>
        <v>44768.645833333299</v>
      </c>
      <c r="B271" s="1">
        <f ca="1">IFERROR(__xludf.DUMMYFUNCTION("""COMPUTED_VALUE"""),3115.9)</f>
        <v>3115.9</v>
      </c>
      <c r="C271" s="3">
        <f t="shared" ca="1" si="8"/>
        <v>-1.6057472171784923E-2</v>
      </c>
      <c r="D271">
        <f t="shared" ca="1" si="7"/>
        <v>3245.8744897959177</v>
      </c>
    </row>
    <row r="272" spans="1:4" x14ac:dyDescent="0.25">
      <c r="A272" s="2">
        <f ca="1">IFERROR(__xludf.DUMMYFUNCTION("""COMPUTED_VALUE"""),44769.6458333333)</f>
        <v>44769.645833333299</v>
      </c>
      <c r="B272" s="1">
        <f ca="1">IFERROR(__xludf.DUMMYFUNCTION("""COMPUTED_VALUE"""),3188.85)</f>
        <v>3188.85</v>
      </c>
      <c r="C272" s="3">
        <f t="shared" ca="1" si="8"/>
        <v>2.3412176257261084E-2</v>
      </c>
      <c r="D272">
        <f t="shared" ca="1" si="7"/>
        <v>3239.0806122448971</v>
      </c>
    </row>
    <row r="273" spans="1:4" x14ac:dyDescent="0.25">
      <c r="A273" s="2">
        <f ca="1">IFERROR(__xludf.DUMMYFUNCTION("""COMPUTED_VALUE"""),44770.6458333333)</f>
        <v>44770.645833333299</v>
      </c>
      <c r="B273" s="1">
        <f ca="1">IFERROR(__xludf.DUMMYFUNCTION("""COMPUTED_VALUE"""),3260.5)</f>
        <v>3260.5</v>
      </c>
      <c r="C273" s="3">
        <f t="shared" ca="1" si="8"/>
        <v>2.2468915126142682E-2</v>
      </c>
      <c r="D273">
        <f t="shared" ca="1" si="7"/>
        <v>3237.5887755102035</v>
      </c>
    </row>
    <row r="274" spans="1:4" x14ac:dyDescent="0.25">
      <c r="A274" s="2">
        <f ca="1">IFERROR(__xludf.DUMMYFUNCTION("""COMPUTED_VALUE"""),44771.6458333333)</f>
        <v>44771.645833333299</v>
      </c>
      <c r="B274" s="1">
        <f ca="1">IFERROR(__xludf.DUMMYFUNCTION("""COMPUTED_VALUE"""),3301.9)</f>
        <v>3301.9</v>
      </c>
      <c r="C274" s="3">
        <f t="shared" ca="1" si="8"/>
        <v>1.2697439043091579E-2</v>
      </c>
      <c r="D274">
        <f t="shared" ca="1" si="7"/>
        <v>3236.9255102040811</v>
      </c>
    </row>
    <row r="275" spans="1:4" x14ac:dyDescent="0.25">
      <c r="A275" s="2">
        <f ca="1">IFERROR(__xludf.DUMMYFUNCTION("""COMPUTED_VALUE"""),44774.6458333333)</f>
        <v>44774.645833333299</v>
      </c>
      <c r="B275" s="1">
        <f ca="1">IFERROR(__xludf.DUMMYFUNCTION("""COMPUTED_VALUE"""),3298.8)</f>
        <v>3298.8</v>
      </c>
      <c r="C275" s="3">
        <f t="shared" ca="1" si="8"/>
        <v>-9.3885338744356553E-4</v>
      </c>
      <c r="D275">
        <f t="shared" ca="1" si="7"/>
        <v>3236.5204081632646</v>
      </c>
    </row>
    <row r="276" spans="1:4" x14ac:dyDescent="0.25">
      <c r="A276" s="2">
        <f ca="1">IFERROR(__xludf.DUMMYFUNCTION("""COMPUTED_VALUE"""),44775.6458333333)</f>
        <v>44775.645833333299</v>
      </c>
      <c r="B276" s="1">
        <f ca="1">IFERROR(__xludf.DUMMYFUNCTION("""COMPUTED_VALUE"""),3291.8)</f>
        <v>3291.8</v>
      </c>
      <c r="C276" s="3">
        <f t="shared" ca="1" si="8"/>
        <v>-2.1219837516672727E-3</v>
      </c>
      <c r="D276">
        <f t="shared" ca="1" si="7"/>
        <v>3236.7408163265304</v>
      </c>
    </row>
    <row r="277" spans="1:4" x14ac:dyDescent="0.25">
      <c r="A277" s="2">
        <f ca="1">IFERROR(__xludf.DUMMYFUNCTION("""COMPUTED_VALUE"""),44776.6458333333)</f>
        <v>44776.645833333299</v>
      </c>
      <c r="B277" s="1">
        <f ca="1">IFERROR(__xludf.DUMMYFUNCTION("""COMPUTED_VALUE"""),3339.5)</f>
        <v>3339.5</v>
      </c>
      <c r="C277" s="3">
        <f t="shared" ca="1" si="8"/>
        <v>1.449055228142652E-2</v>
      </c>
      <c r="D277">
        <f t="shared" ca="1" si="7"/>
        <v>3239.2744897959187</v>
      </c>
    </row>
    <row r="278" spans="1:4" x14ac:dyDescent="0.25">
      <c r="A278" s="2">
        <f ca="1">IFERROR(__xludf.DUMMYFUNCTION("""COMPUTED_VALUE"""),44777.6458333333)</f>
        <v>44777.645833333299</v>
      </c>
      <c r="B278" s="1">
        <f ca="1">IFERROR(__xludf.DUMMYFUNCTION("""COMPUTED_VALUE"""),3354.95)</f>
        <v>3354.95</v>
      </c>
      <c r="C278" s="3">
        <f t="shared" ca="1" si="8"/>
        <v>4.6264410839945555E-3</v>
      </c>
      <c r="D278">
        <f t="shared" ca="1" si="7"/>
        <v>3241.5714285714284</v>
      </c>
    </row>
    <row r="279" spans="1:4" x14ac:dyDescent="0.25">
      <c r="A279" s="2">
        <f ca="1">IFERROR(__xludf.DUMMYFUNCTION("""COMPUTED_VALUE"""),44778.6458333333)</f>
        <v>44778.645833333299</v>
      </c>
      <c r="B279" s="1">
        <f ca="1">IFERROR(__xludf.DUMMYFUNCTION("""COMPUTED_VALUE"""),3365.05)</f>
        <v>3365.05</v>
      </c>
      <c r="C279" s="3">
        <f t="shared" ca="1" si="8"/>
        <v>3.0104770562900682E-3</v>
      </c>
      <c r="D279">
        <f t="shared" ca="1" si="7"/>
        <v>3243.4826530612245</v>
      </c>
    </row>
    <row r="280" spans="1:4" x14ac:dyDescent="0.25">
      <c r="A280" s="2">
        <f ca="1">IFERROR(__xludf.DUMMYFUNCTION("""COMPUTED_VALUE"""),44781.6458333333)</f>
        <v>44781.645833333299</v>
      </c>
      <c r="B280" s="1">
        <f ca="1">IFERROR(__xludf.DUMMYFUNCTION("""COMPUTED_VALUE"""),3374.45)</f>
        <v>3374.45</v>
      </c>
      <c r="C280" s="3">
        <f t="shared" ca="1" si="8"/>
        <v>2.7934206029627006E-3</v>
      </c>
      <c r="D280">
        <f t="shared" ca="1" si="7"/>
        <v>3243.2744897959187</v>
      </c>
    </row>
    <row r="281" spans="1:4" x14ac:dyDescent="0.25">
      <c r="A281" s="2">
        <f ca="1">IFERROR(__xludf.DUMMYFUNCTION("""COMPUTED_VALUE"""),44783.6458333333)</f>
        <v>44783.645833333299</v>
      </c>
      <c r="B281" s="1">
        <f ca="1">IFERROR(__xludf.DUMMYFUNCTION("""COMPUTED_VALUE"""),3354.25)</f>
        <v>3354.25</v>
      </c>
      <c r="C281" s="3">
        <f t="shared" ca="1" si="8"/>
        <v>-5.9861607076708264E-3</v>
      </c>
      <c r="D281">
        <f t="shared" ca="1" si="7"/>
        <v>3243.4806122448981</v>
      </c>
    </row>
    <row r="282" spans="1:4" x14ac:dyDescent="0.25">
      <c r="A282" s="2">
        <f ca="1">IFERROR(__xludf.DUMMYFUNCTION("""COMPUTED_VALUE"""),44784.6458333333)</f>
        <v>44784.645833333299</v>
      </c>
      <c r="B282" s="1">
        <f ca="1">IFERROR(__xludf.DUMMYFUNCTION("""COMPUTED_VALUE"""),3422.5)</f>
        <v>3422.5</v>
      </c>
      <c r="C282" s="3">
        <f t="shared" ca="1" si="8"/>
        <v>2.0347320563464263E-2</v>
      </c>
      <c r="D282">
        <f t="shared" ca="1" si="7"/>
        <v>3243.4612244897962</v>
      </c>
    </row>
    <row r="283" spans="1:4" x14ac:dyDescent="0.25">
      <c r="A283" s="2">
        <f ca="1">IFERROR(__xludf.DUMMYFUNCTION("""COMPUTED_VALUE"""),44785.6458333333)</f>
        <v>44785.645833333299</v>
      </c>
      <c r="B283" s="1">
        <f ca="1">IFERROR(__xludf.DUMMYFUNCTION("""COMPUTED_VALUE"""),3401.55)</f>
        <v>3401.55</v>
      </c>
      <c r="C283" s="3">
        <f t="shared" ca="1" si="8"/>
        <v>-6.1212563915266083E-3</v>
      </c>
      <c r="D283">
        <f t="shared" ca="1" si="7"/>
        <v>3243.4510204081635</v>
      </c>
    </row>
    <row r="284" spans="1:4" x14ac:dyDescent="0.25">
      <c r="A284" s="2">
        <f ca="1">IFERROR(__xludf.DUMMYFUNCTION("""COMPUTED_VALUE"""),44789.6458333333)</f>
        <v>44789.645833333299</v>
      </c>
      <c r="B284" s="1">
        <f ca="1">IFERROR(__xludf.DUMMYFUNCTION("""COMPUTED_VALUE"""),3392.7)</f>
        <v>3392.7</v>
      </c>
      <c r="C284" s="3">
        <f t="shared" ca="1" si="8"/>
        <v>-2.601755082242026E-3</v>
      </c>
      <c r="D284">
        <f t="shared" ca="1" si="7"/>
        <v>3242.663265306122</v>
      </c>
    </row>
    <row r="285" spans="1:4" x14ac:dyDescent="0.25">
      <c r="A285" s="2">
        <f ca="1">IFERROR(__xludf.DUMMYFUNCTION("""COMPUTED_VALUE"""),44790.6458333333)</f>
        <v>44790.645833333299</v>
      </c>
      <c r="B285" s="1">
        <f ca="1">IFERROR(__xludf.DUMMYFUNCTION("""COMPUTED_VALUE"""),3401.1)</f>
        <v>3401.1</v>
      </c>
      <c r="C285" s="3">
        <f t="shared" ca="1" si="8"/>
        <v>2.4759041471394735E-3</v>
      </c>
      <c r="D285">
        <f t="shared" ca="1" si="7"/>
        <v>3241.882653061225</v>
      </c>
    </row>
    <row r="286" spans="1:4" x14ac:dyDescent="0.25">
      <c r="A286" s="2">
        <f ca="1">IFERROR(__xludf.DUMMYFUNCTION("""COMPUTED_VALUE"""),44791.6458333333)</f>
        <v>44791.645833333299</v>
      </c>
      <c r="B286" s="1">
        <f ca="1">IFERROR(__xludf.DUMMYFUNCTION("""COMPUTED_VALUE"""),3381.25)</f>
        <v>3381.25</v>
      </c>
      <c r="C286" s="3">
        <f t="shared" ca="1" si="8"/>
        <v>-5.8363470641850899E-3</v>
      </c>
      <c r="D286">
        <f t="shared" ca="1" si="7"/>
        <v>3242.6663265306133</v>
      </c>
    </row>
    <row r="287" spans="1:4" x14ac:dyDescent="0.25">
      <c r="A287" s="2">
        <f ca="1">IFERROR(__xludf.DUMMYFUNCTION("""COMPUTED_VALUE"""),44792.6458333333)</f>
        <v>44792.645833333299</v>
      </c>
      <c r="B287" s="1">
        <f ca="1">IFERROR(__xludf.DUMMYFUNCTION("""COMPUTED_VALUE"""),3385.75)</f>
        <v>3385.75</v>
      </c>
      <c r="C287" s="3">
        <f t="shared" ca="1" si="8"/>
        <v>1.3308687615526803E-3</v>
      </c>
      <c r="D287">
        <f t="shared" ca="1" si="7"/>
        <v>3242.1989795918375</v>
      </c>
    </row>
    <row r="288" spans="1:4" x14ac:dyDescent="0.25">
      <c r="A288" s="2">
        <f ca="1">IFERROR(__xludf.DUMMYFUNCTION("""COMPUTED_VALUE"""),44795.6458333333)</f>
        <v>44795.645833333299</v>
      </c>
      <c r="B288" s="1">
        <f ca="1">IFERROR(__xludf.DUMMYFUNCTION("""COMPUTED_VALUE"""),3354.55)</f>
        <v>3354.55</v>
      </c>
      <c r="C288" s="3">
        <f t="shared" ca="1" si="8"/>
        <v>-9.2150926677988087E-3</v>
      </c>
      <c r="D288">
        <f t="shared" ca="1" si="7"/>
        <v>3241.3551020408167</v>
      </c>
    </row>
    <row r="289" spans="1:4" x14ac:dyDescent="0.25">
      <c r="A289" s="2">
        <f ca="1">IFERROR(__xludf.DUMMYFUNCTION("""COMPUTED_VALUE"""),44796.6458333333)</f>
        <v>44796.645833333299</v>
      </c>
      <c r="B289" s="1">
        <f ca="1">IFERROR(__xludf.DUMMYFUNCTION("""COMPUTED_VALUE"""),3284.6)</f>
        <v>3284.6</v>
      </c>
      <c r="C289" s="3">
        <f t="shared" ca="1" si="8"/>
        <v>-2.085227526791977E-2</v>
      </c>
      <c r="D289">
        <f t="shared" ca="1" si="7"/>
        <v>3241.2459183673473</v>
      </c>
    </row>
    <row r="290" spans="1:4" x14ac:dyDescent="0.25">
      <c r="A290" s="2">
        <f ca="1">IFERROR(__xludf.DUMMYFUNCTION("""COMPUTED_VALUE"""),44797.6458333333)</f>
        <v>44797.645833333299</v>
      </c>
      <c r="B290" s="1">
        <f ca="1">IFERROR(__xludf.DUMMYFUNCTION("""COMPUTED_VALUE"""),3255.35)</f>
        <v>3255.35</v>
      </c>
      <c r="C290" s="3">
        <f t="shared" ca="1" si="8"/>
        <v>-8.9051939353345915E-3</v>
      </c>
      <c r="D290">
        <f t="shared" ca="1" si="7"/>
        <v>3242.5724489795916</v>
      </c>
    </row>
    <row r="291" spans="1:4" x14ac:dyDescent="0.25">
      <c r="A291" s="2">
        <f ca="1">IFERROR(__xludf.DUMMYFUNCTION("""COMPUTED_VALUE"""),44798.6458333333)</f>
        <v>44798.645833333299</v>
      </c>
      <c r="B291" s="1">
        <f ca="1">IFERROR(__xludf.DUMMYFUNCTION("""COMPUTED_VALUE"""),3218.2)</f>
        <v>3218.2</v>
      </c>
      <c r="C291" s="3">
        <f t="shared" ca="1" si="8"/>
        <v>-1.1411983350484616E-2</v>
      </c>
      <c r="D291">
        <f t="shared" ca="1" si="7"/>
        <v>3243.4867346938777</v>
      </c>
    </row>
    <row r="292" spans="1:4" x14ac:dyDescent="0.25">
      <c r="A292" s="2">
        <f ca="1">IFERROR(__xludf.DUMMYFUNCTION("""COMPUTED_VALUE"""),44799.6458333333)</f>
        <v>44799.645833333299</v>
      </c>
      <c r="B292" s="1">
        <f ca="1">IFERROR(__xludf.DUMMYFUNCTION("""COMPUTED_VALUE"""),3222.2)</f>
        <v>3222.2</v>
      </c>
      <c r="C292" s="3">
        <f t="shared" ca="1" si="8"/>
        <v>1.2429308308992606E-3</v>
      </c>
      <c r="D292">
        <f t="shared" ca="1" si="7"/>
        <v>3243.7295918367354</v>
      </c>
    </row>
    <row r="293" spans="1:4" x14ac:dyDescent="0.25">
      <c r="A293" s="2">
        <f ca="1">IFERROR(__xludf.DUMMYFUNCTION("""COMPUTED_VALUE"""),44802.6458333333)</f>
        <v>44802.645833333299</v>
      </c>
      <c r="B293" s="1">
        <f ca="1">IFERROR(__xludf.DUMMYFUNCTION("""COMPUTED_VALUE"""),3132.55)</f>
        <v>3132.55</v>
      </c>
      <c r="C293" s="3">
        <f t="shared" ca="1" si="8"/>
        <v>-2.7822605673142462E-2</v>
      </c>
      <c r="D293">
        <f t="shared" ca="1" si="7"/>
        <v>3245.3663265306132</v>
      </c>
    </row>
    <row r="294" spans="1:4" x14ac:dyDescent="0.25">
      <c r="A294" s="2">
        <f ca="1">IFERROR(__xludf.DUMMYFUNCTION("""COMPUTED_VALUE"""),44803.6458333333)</f>
        <v>44803.645833333299</v>
      </c>
      <c r="B294" s="1">
        <f ca="1">IFERROR(__xludf.DUMMYFUNCTION("""COMPUTED_VALUE"""),3211.15)</f>
        <v>3211.15</v>
      </c>
      <c r="C294" s="3">
        <f t="shared" ca="1" si="8"/>
        <v>2.5091379227785638E-2</v>
      </c>
      <c r="D294">
        <f t="shared" ca="1" si="7"/>
        <v>3246.2571428571428</v>
      </c>
    </row>
    <row r="295" spans="1:4" x14ac:dyDescent="0.25">
      <c r="A295" s="2">
        <f ca="1">IFERROR(__xludf.DUMMYFUNCTION("""COMPUTED_VALUE"""),44805.6458333333)</f>
        <v>44805.645833333299</v>
      </c>
      <c r="B295" s="1">
        <f ca="1">IFERROR(__xludf.DUMMYFUNCTION("""COMPUTED_VALUE"""),3131.7)</f>
        <v>3131.7</v>
      </c>
      <c r="C295" s="3">
        <f t="shared" ca="1" si="8"/>
        <v>-2.4741914890304181E-2</v>
      </c>
      <c r="D295">
        <f t="shared" ca="1" si="7"/>
        <v>3248.2724489795919</v>
      </c>
    </row>
    <row r="296" spans="1:4" x14ac:dyDescent="0.25">
      <c r="A296" s="2">
        <f ca="1">IFERROR(__xludf.DUMMYFUNCTION("""COMPUTED_VALUE"""),44806.6458333333)</f>
        <v>44806.645833333299</v>
      </c>
      <c r="B296" s="1">
        <f ca="1">IFERROR(__xludf.DUMMYFUNCTION("""COMPUTED_VALUE"""),3130.4)</f>
        <v>3130.4</v>
      </c>
      <c r="C296" s="3">
        <f t="shared" ca="1" si="8"/>
        <v>-4.1511000415101292E-4</v>
      </c>
      <c r="D296">
        <f t="shared" ca="1" si="7"/>
        <v>3246.6346938775509</v>
      </c>
    </row>
    <row r="297" spans="1:4" x14ac:dyDescent="0.25">
      <c r="A297" s="2">
        <f ca="1">IFERROR(__xludf.DUMMYFUNCTION("""COMPUTED_VALUE"""),44809.6458333333)</f>
        <v>44809.645833333299</v>
      </c>
      <c r="B297" s="1">
        <f ca="1">IFERROR(__xludf.DUMMYFUNCTION("""COMPUTED_VALUE"""),3133.4)</f>
        <v>3133.4</v>
      </c>
      <c r="C297" s="3">
        <f t="shared" ca="1" si="8"/>
        <v>9.5834398159979554E-4</v>
      </c>
      <c r="D297">
        <f t="shared" ca="1" si="7"/>
        <v>3244.7459183673473</v>
      </c>
    </row>
    <row r="298" spans="1:4" x14ac:dyDescent="0.25">
      <c r="A298" s="2">
        <f ca="1">IFERROR(__xludf.DUMMYFUNCTION("""COMPUTED_VALUE"""),44810.6458333333)</f>
        <v>44810.645833333299</v>
      </c>
      <c r="B298" s="1">
        <f ca="1">IFERROR(__xludf.DUMMYFUNCTION("""COMPUTED_VALUE"""),3127.05)</f>
        <v>3127.05</v>
      </c>
      <c r="C298" s="3">
        <f t="shared" ca="1" si="8"/>
        <v>-2.0265526265398318E-3</v>
      </c>
      <c r="D298">
        <f t="shared" ca="1" si="7"/>
        <v>3241.1663265306129</v>
      </c>
    </row>
    <row r="299" spans="1:4" x14ac:dyDescent="0.25">
      <c r="A299" s="2">
        <f ca="1">IFERROR(__xludf.DUMMYFUNCTION("""COMPUTED_VALUE"""),44811.6458333333)</f>
        <v>44811.645833333299</v>
      </c>
      <c r="B299" s="1">
        <f ca="1">IFERROR(__xludf.DUMMYFUNCTION("""COMPUTED_VALUE"""),3149.6)</f>
        <v>3149.6</v>
      </c>
      <c r="C299" s="3">
        <f t="shared" ca="1" si="8"/>
        <v>7.2112694072687441E-3</v>
      </c>
      <c r="D299">
        <f t="shared" ca="1" si="7"/>
        <v>3237.7775510204083</v>
      </c>
    </row>
    <row r="300" spans="1:4" x14ac:dyDescent="0.25">
      <c r="A300" s="2">
        <f ca="1">IFERROR(__xludf.DUMMYFUNCTION("""COMPUTED_VALUE"""),44812.6458333333)</f>
        <v>44812.645833333299</v>
      </c>
      <c r="B300" s="1">
        <f ca="1">IFERROR(__xludf.DUMMYFUNCTION("""COMPUTED_VALUE"""),3169.65)</f>
        <v>3169.65</v>
      </c>
      <c r="C300" s="3">
        <f t="shared" ca="1" si="8"/>
        <v>6.3658877317755219E-3</v>
      </c>
      <c r="D300">
        <f t="shared" ca="1" si="7"/>
        <v>3234.4081632653069</v>
      </c>
    </row>
    <row r="301" spans="1:4" x14ac:dyDescent="0.25">
      <c r="A301" s="2">
        <f ca="1">IFERROR(__xludf.DUMMYFUNCTION("""COMPUTED_VALUE"""),44813.6458333333)</f>
        <v>44813.645833333299</v>
      </c>
      <c r="B301" s="1">
        <f ca="1">IFERROR(__xludf.DUMMYFUNCTION("""COMPUTED_VALUE"""),3217.65)</f>
        <v>3217.65</v>
      </c>
      <c r="C301" s="3">
        <f t="shared" ca="1" si="8"/>
        <v>1.5143627845345699E-2</v>
      </c>
      <c r="D301">
        <f t="shared" ca="1" si="7"/>
        <v>3231.3775510204082</v>
      </c>
    </row>
    <row r="302" spans="1:4" x14ac:dyDescent="0.25">
      <c r="A302" s="2">
        <f ca="1">IFERROR(__xludf.DUMMYFUNCTION("""COMPUTED_VALUE"""),44817.6458333333)</f>
        <v>44817.645833333299</v>
      </c>
      <c r="B302" s="1">
        <f ca="1">IFERROR(__xludf.DUMMYFUNCTION("""COMPUTED_VALUE"""),3229.35)</f>
        <v>3229.35</v>
      </c>
      <c r="C302" s="3">
        <f t="shared" ca="1" si="8"/>
        <v>3.6361941168243338E-3</v>
      </c>
      <c r="D302">
        <f t="shared" ca="1" si="7"/>
        <v>3229.8908163265305</v>
      </c>
    </row>
    <row r="303" spans="1:4" x14ac:dyDescent="0.25">
      <c r="A303" s="2">
        <f ca="1">IFERROR(__xludf.DUMMYFUNCTION("""COMPUTED_VALUE"""),44818.6458333333)</f>
        <v>44818.645833333299</v>
      </c>
      <c r="B303" s="1">
        <f ca="1">IFERROR(__xludf.DUMMYFUNCTION("""COMPUTED_VALUE"""),3120.4)</f>
        <v>3120.4</v>
      </c>
      <c r="C303" s="3">
        <f t="shared" ca="1" si="8"/>
        <v>-3.3737439422794002E-2</v>
      </c>
      <c r="D303">
        <f t="shared" ca="1" si="7"/>
        <v>3229.1204081632659</v>
      </c>
    </row>
    <row r="304" spans="1:4" x14ac:dyDescent="0.25">
      <c r="A304" s="2">
        <f ca="1">IFERROR(__xludf.DUMMYFUNCTION("""COMPUTED_VALUE"""),44819.6458333333)</f>
        <v>44819.645833333299</v>
      </c>
      <c r="B304" s="1">
        <f ca="1">IFERROR(__xludf.DUMMYFUNCTION("""COMPUTED_VALUE"""),3104.35)</f>
        <v>3104.35</v>
      </c>
      <c r="C304" s="3">
        <f t="shared" ca="1" si="8"/>
        <v>-5.1435713370081336E-3</v>
      </c>
      <c r="D304">
        <f t="shared" ca="1" si="7"/>
        <v>3225.1469387755096</v>
      </c>
    </row>
    <row r="305" spans="1:4" x14ac:dyDescent="0.25">
      <c r="A305" s="2">
        <f ca="1">IFERROR(__xludf.DUMMYFUNCTION("""COMPUTED_VALUE"""),44820.6458333333)</f>
        <v>44820.645833333299</v>
      </c>
      <c r="B305" s="1">
        <f ca="1">IFERROR(__xludf.DUMMYFUNCTION("""COMPUTED_VALUE"""),3008.7)</f>
        <v>3008.7</v>
      </c>
      <c r="C305" s="3">
        <f t="shared" ca="1" si="8"/>
        <v>-3.0811603073107121E-2</v>
      </c>
      <c r="D305">
        <f t="shared" ca="1" si="7"/>
        <v>3222.4795918367345</v>
      </c>
    </row>
    <row r="306" spans="1:4" x14ac:dyDescent="0.25">
      <c r="A306" s="2">
        <f ca="1">IFERROR(__xludf.DUMMYFUNCTION("""COMPUTED_VALUE"""),44823.6458333333)</f>
        <v>44823.645833333299</v>
      </c>
      <c r="B306" s="1">
        <f ca="1">IFERROR(__xludf.DUMMYFUNCTION("""COMPUTED_VALUE"""),3028.8)</f>
        <v>3028.8</v>
      </c>
      <c r="C306" s="3">
        <f t="shared" ca="1" si="8"/>
        <v>6.6806261840663293E-3</v>
      </c>
      <c r="D306">
        <f t="shared" ca="1" si="7"/>
        <v>3218.2428571428572</v>
      </c>
    </row>
    <row r="307" spans="1:4" x14ac:dyDescent="0.25">
      <c r="A307" s="2">
        <f ca="1">IFERROR(__xludf.DUMMYFUNCTION("""COMPUTED_VALUE"""),44824.6458333333)</f>
        <v>44824.645833333299</v>
      </c>
      <c r="B307" s="1">
        <f ca="1">IFERROR(__xludf.DUMMYFUNCTION("""COMPUTED_VALUE"""),3040.3)</f>
        <v>3040.3</v>
      </c>
      <c r="C307" s="3">
        <f t="shared" ca="1" si="8"/>
        <v>3.7968832540940306E-3</v>
      </c>
      <c r="D307">
        <f t="shared" ca="1" si="7"/>
        <v>3213.5091836734696</v>
      </c>
    </row>
    <row r="308" spans="1:4" x14ac:dyDescent="0.25">
      <c r="A308" s="2">
        <f ca="1">IFERROR(__xludf.DUMMYFUNCTION("""COMPUTED_VALUE"""),44825.6458333333)</f>
        <v>44825.645833333299</v>
      </c>
      <c r="B308" s="1">
        <f ca="1">IFERROR(__xludf.DUMMYFUNCTION("""COMPUTED_VALUE"""),3001.2)</f>
        <v>3001.2</v>
      </c>
      <c r="C308" s="3">
        <f t="shared" ca="1" si="8"/>
        <v>-1.2860572969772839E-2</v>
      </c>
      <c r="D308">
        <f t="shared" ref="D308:D371" ca="1" si="9">AVERAGE(B259:B307)</f>
        <v>3208.4571428571421</v>
      </c>
    </row>
    <row r="309" spans="1:4" x14ac:dyDescent="0.25">
      <c r="A309" s="2">
        <f ca="1">IFERROR(__xludf.DUMMYFUNCTION("""COMPUTED_VALUE"""),44826.6458333333)</f>
        <v>44826.645833333299</v>
      </c>
      <c r="B309" s="1">
        <f ca="1">IFERROR(__xludf.DUMMYFUNCTION("""COMPUTED_VALUE"""),3007.4)</f>
        <v>3007.4</v>
      </c>
      <c r="C309" s="3">
        <f t="shared" ca="1" si="8"/>
        <v>2.065840330534544E-3</v>
      </c>
      <c r="D309">
        <f t="shared" ca="1" si="9"/>
        <v>3203.0642857142861</v>
      </c>
    </row>
    <row r="310" spans="1:4" x14ac:dyDescent="0.25">
      <c r="A310" s="2">
        <f ca="1">IFERROR(__xludf.DUMMYFUNCTION("""COMPUTED_VALUE"""),44827.6458333333)</f>
        <v>44827.645833333299</v>
      </c>
      <c r="B310" s="1">
        <f ca="1">IFERROR(__xludf.DUMMYFUNCTION("""COMPUTED_VALUE"""),2982.05)</f>
        <v>2982.05</v>
      </c>
      <c r="C310" s="3">
        <f t="shared" ca="1" si="8"/>
        <v>-8.4292079537141417E-3</v>
      </c>
      <c r="D310">
        <f t="shared" ca="1" si="9"/>
        <v>3200.8928571428573</v>
      </c>
    </row>
    <row r="311" spans="1:4" x14ac:dyDescent="0.25">
      <c r="A311" s="2">
        <f ca="1">IFERROR(__xludf.DUMMYFUNCTION("""COMPUTED_VALUE"""),44830.6458333333)</f>
        <v>44830.645833333299</v>
      </c>
      <c r="B311" s="1">
        <f ca="1">IFERROR(__xludf.DUMMYFUNCTION("""COMPUTED_VALUE"""),2994.4)</f>
        <v>2994.4</v>
      </c>
      <c r="C311" s="3">
        <f t="shared" ca="1" si="8"/>
        <v>4.1414463204842E-3</v>
      </c>
      <c r="D311">
        <f t="shared" ca="1" si="9"/>
        <v>3198.7979591836729</v>
      </c>
    </row>
    <row r="312" spans="1:4" x14ac:dyDescent="0.25">
      <c r="A312" s="2">
        <f ca="1">IFERROR(__xludf.DUMMYFUNCTION("""COMPUTED_VALUE"""),44831.6458333333)</f>
        <v>44831.645833333299</v>
      </c>
      <c r="B312" s="1">
        <f ca="1">IFERROR(__xludf.DUMMYFUNCTION("""COMPUTED_VALUE"""),3017.45)</f>
        <v>3017.45</v>
      </c>
      <c r="C312" s="3">
        <f t="shared" ca="1" si="8"/>
        <v>7.6977023777717495E-3</v>
      </c>
      <c r="D312">
        <f t="shared" ca="1" si="9"/>
        <v>3197.8928571428564</v>
      </c>
    </row>
    <row r="313" spans="1:4" x14ac:dyDescent="0.25">
      <c r="A313" s="2">
        <f ca="1">IFERROR(__xludf.DUMMYFUNCTION("""COMPUTED_VALUE"""),44832.6458333333)</f>
        <v>44832.645833333299</v>
      </c>
      <c r="B313" s="1">
        <f ca="1">IFERROR(__xludf.DUMMYFUNCTION("""COMPUTED_VALUE"""),3035.65)</f>
        <v>3035.65</v>
      </c>
      <c r="C313" s="3">
        <f t="shared" ca="1" si="8"/>
        <v>6.0315829591212032E-3</v>
      </c>
      <c r="D313">
        <f t="shared" ca="1" si="9"/>
        <v>3198.2744897959178</v>
      </c>
    </row>
    <row r="314" spans="1:4" x14ac:dyDescent="0.25">
      <c r="A314" s="2">
        <f ca="1">IFERROR(__xludf.DUMMYFUNCTION("""COMPUTED_VALUE"""),44833.6458333333)</f>
        <v>44833.645833333299</v>
      </c>
      <c r="B314" s="1">
        <f ca="1">IFERROR(__xludf.DUMMYFUNCTION("""COMPUTED_VALUE"""),2997.3)</f>
        <v>2997.3</v>
      </c>
      <c r="C314" s="3">
        <f t="shared" ca="1" si="8"/>
        <v>-1.2633208703243097E-2</v>
      </c>
      <c r="D314">
        <f t="shared" ca="1" si="9"/>
        <v>3199.1122448979586</v>
      </c>
    </row>
    <row r="315" spans="1:4" x14ac:dyDescent="0.25">
      <c r="A315" s="2">
        <f ca="1">IFERROR(__xludf.DUMMYFUNCTION("""COMPUTED_VALUE"""),44834.6458333333)</f>
        <v>44834.645833333299</v>
      </c>
      <c r="B315" s="1">
        <f ca="1">IFERROR(__xludf.DUMMYFUNCTION("""COMPUTED_VALUE"""),3004.55)</f>
        <v>3004.55</v>
      </c>
      <c r="C315" s="3">
        <f t="shared" ca="1" si="8"/>
        <v>2.4188436259300035E-3</v>
      </c>
      <c r="D315">
        <f t="shared" ca="1" si="9"/>
        <v>3197.761224489795</v>
      </c>
    </row>
    <row r="316" spans="1:4" x14ac:dyDescent="0.25">
      <c r="A316" s="2">
        <f ca="1">IFERROR(__xludf.DUMMYFUNCTION("""COMPUTED_VALUE"""),44837.6458333333)</f>
        <v>44837.645833333299</v>
      </c>
      <c r="B316" s="1">
        <f ca="1">IFERROR(__xludf.DUMMYFUNCTION("""COMPUTED_VALUE"""),2984.95)</f>
        <v>2984.95</v>
      </c>
      <c r="C316" s="3">
        <f t="shared" ca="1" si="8"/>
        <v>-6.5234394501673667E-3</v>
      </c>
      <c r="D316">
        <f t="shared" ca="1" si="9"/>
        <v>3196.338775510203</v>
      </c>
    </row>
    <row r="317" spans="1:4" x14ac:dyDescent="0.25">
      <c r="A317" s="2">
        <f ca="1">IFERROR(__xludf.DUMMYFUNCTION("""COMPUTED_VALUE"""),44838.6458333333)</f>
        <v>44838.645833333299</v>
      </c>
      <c r="B317" s="1">
        <f ca="1">IFERROR(__xludf.DUMMYFUNCTION("""COMPUTED_VALUE"""),3091.15)</f>
        <v>3091.15</v>
      </c>
      <c r="C317" s="3">
        <f t="shared" ca="1" si="8"/>
        <v>3.5578485401765621E-2</v>
      </c>
      <c r="D317">
        <f t="shared" ca="1" si="9"/>
        <v>3192.6683673469383</v>
      </c>
    </row>
    <row r="318" spans="1:4" x14ac:dyDescent="0.25">
      <c r="A318" s="2">
        <f ca="1">IFERROR(__xludf.DUMMYFUNCTION("""COMPUTED_VALUE"""),44840.6458333333)</f>
        <v>44840.645833333299</v>
      </c>
      <c r="B318" s="1">
        <f ca="1">IFERROR(__xludf.DUMMYFUNCTION("""COMPUTED_VALUE"""),3101.95)</f>
        <v>3101.95</v>
      </c>
      <c r="C318" s="3">
        <f t="shared" ca="1" si="8"/>
        <v>3.4938453326431025E-3</v>
      </c>
      <c r="D318">
        <f t="shared" ca="1" si="9"/>
        <v>3190.9102040816315</v>
      </c>
    </row>
    <row r="319" spans="1:4" x14ac:dyDescent="0.25">
      <c r="A319" s="2">
        <f ca="1">IFERROR(__xludf.DUMMYFUNCTION("""COMPUTED_VALUE"""),44841.6458333333)</f>
        <v>44841.645833333299</v>
      </c>
      <c r="B319" s="1">
        <f ca="1">IFERROR(__xludf.DUMMYFUNCTION("""COMPUTED_VALUE"""),3064.9)</f>
        <v>3064.9</v>
      </c>
      <c r="C319" s="3">
        <f t="shared" ca="1" si="8"/>
        <v>-1.1944099679233943E-2</v>
      </c>
      <c r="D319">
        <f t="shared" ca="1" si="9"/>
        <v>3189.5010204081623</v>
      </c>
    </row>
    <row r="320" spans="1:4" x14ac:dyDescent="0.25">
      <c r="A320" s="2">
        <f ca="1">IFERROR(__xludf.DUMMYFUNCTION("""COMPUTED_VALUE"""),44844.6458333333)</f>
        <v>44844.645833333299</v>
      </c>
      <c r="B320" s="1">
        <f ca="1">IFERROR(__xludf.DUMMYFUNCTION("""COMPUTED_VALUE"""),3118.55)</f>
        <v>3118.55</v>
      </c>
      <c r="C320" s="3">
        <f t="shared" ca="1" si="8"/>
        <v>1.7504649417599299E-2</v>
      </c>
      <c r="D320">
        <f t="shared" ca="1" si="9"/>
        <v>3187.4224489795915</v>
      </c>
    </row>
    <row r="321" spans="1:4" x14ac:dyDescent="0.25">
      <c r="A321" s="2">
        <f ca="1">IFERROR(__xludf.DUMMYFUNCTION("""COMPUTED_VALUE"""),44845.6458333333)</f>
        <v>44845.645833333299</v>
      </c>
      <c r="B321" s="1">
        <f ca="1">IFERROR(__xludf.DUMMYFUNCTION("""COMPUTED_VALUE"""),3069.55)</f>
        <v>3069.55</v>
      </c>
      <c r="C321" s="3">
        <f t="shared" ca="1" si="8"/>
        <v>-1.5712430456462138E-2</v>
      </c>
      <c r="D321">
        <f t="shared" ca="1" si="9"/>
        <v>3187.476530612244</v>
      </c>
    </row>
    <row r="322" spans="1:4" x14ac:dyDescent="0.25">
      <c r="A322" s="2">
        <f ca="1">IFERROR(__xludf.DUMMYFUNCTION("""COMPUTED_VALUE"""),44846.6458333333)</f>
        <v>44846.645833333299</v>
      </c>
      <c r="B322" s="1">
        <f ca="1">IFERROR(__xludf.DUMMYFUNCTION("""COMPUTED_VALUE"""),3100.75)</f>
        <v>3100.75</v>
      </c>
      <c r="C322" s="3">
        <f t="shared" ca="1" si="8"/>
        <v>1.0164356338876974E-2</v>
      </c>
      <c r="D322">
        <f t="shared" ca="1" si="9"/>
        <v>3185.0418367346924</v>
      </c>
    </row>
    <row r="323" spans="1:4" x14ac:dyDescent="0.25">
      <c r="A323" s="2">
        <f ca="1">IFERROR(__xludf.DUMMYFUNCTION("""COMPUTED_VALUE"""),44847.6458333333)</f>
        <v>44847.645833333299</v>
      </c>
      <c r="B323" s="1">
        <f ca="1">IFERROR(__xludf.DUMMYFUNCTION("""COMPUTED_VALUE"""),3103.3)</f>
        <v>3103.3</v>
      </c>
      <c r="C323" s="3">
        <f t="shared" ca="1" si="8"/>
        <v>8.2238168185122366E-4</v>
      </c>
      <c r="D323">
        <f t="shared" ca="1" si="9"/>
        <v>3181.7816326530597</v>
      </c>
    </row>
    <row r="324" spans="1:4" x14ac:dyDescent="0.25">
      <c r="A324" s="2">
        <f ca="1">IFERROR(__xludf.DUMMYFUNCTION("""COMPUTED_VALUE"""),44848.6458333333)</f>
        <v>44848.645833333299</v>
      </c>
      <c r="B324" s="1">
        <f ca="1">IFERROR(__xludf.DUMMYFUNCTION("""COMPUTED_VALUE"""),3099.15)</f>
        <v>3099.15</v>
      </c>
      <c r="C324" s="3">
        <f t="shared" ref="C324:C387" ca="1" si="10">(B324-B323)/B323</f>
        <v>-1.3372861147810688E-3</v>
      </c>
      <c r="D324">
        <f t="shared" ca="1" si="9"/>
        <v>3177.7285714285699</v>
      </c>
    </row>
    <row r="325" spans="1:4" x14ac:dyDescent="0.25">
      <c r="A325" s="2">
        <f ca="1">IFERROR(__xludf.DUMMYFUNCTION("""COMPUTED_VALUE"""),44851.6458333333)</f>
        <v>44851.645833333299</v>
      </c>
      <c r="B325" s="1">
        <f ca="1">IFERROR(__xludf.DUMMYFUNCTION("""COMPUTED_VALUE"""),3111.75)</f>
        <v>3111.75</v>
      </c>
      <c r="C325" s="3">
        <f t="shared" ca="1" si="10"/>
        <v>4.0656308987948014E-3</v>
      </c>
      <c r="D325">
        <f t="shared" ca="1" si="9"/>
        <v>3173.6540816326515</v>
      </c>
    </row>
    <row r="326" spans="1:4" x14ac:dyDescent="0.25">
      <c r="A326" s="2">
        <f ca="1">IFERROR(__xludf.DUMMYFUNCTION("""COMPUTED_VALUE"""),44852.6458333333)</f>
        <v>44852.645833333299</v>
      </c>
      <c r="B326" s="1">
        <f ca="1">IFERROR(__xludf.DUMMYFUNCTION("""COMPUTED_VALUE"""),3144.7)</f>
        <v>3144.7</v>
      </c>
      <c r="C326" s="3">
        <f t="shared" ca="1" si="10"/>
        <v>1.0588896922953263E-2</v>
      </c>
      <c r="D326">
        <f t="shared" ca="1" si="9"/>
        <v>3169.9795918367336</v>
      </c>
    </row>
    <row r="327" spans="1:4" x14ac:dyDescent="0.25">
      <c r="A327" s="2">
        <f ca="1">IFERROR(__xludf.DUMMYFUNCTION("""COMPUTED_VALUE"""),44853.6458333333)</f>
        <v>44853.645833333299</v>
      </c>
      <c r="B327" s="1">
        <f ca="1">IFERROR(__xludf.DUMMYFUNCTION("""COMPUTED_VALUE"""),3121.85)</f>
        <v>3121.85</v>
      </c>
      <c r="C327" s="3">
        <f t="shared" ca="1" si="10"/>
        <v>-7.2661939135688332E-3</v>
      </c>
      <c r="D327">
        <f t="shared" ca="1" si="9"/>
        <v>3166.0040816326523</v>
      </c>
    </row>
    <row r="328" spans="1:4" x14ac:dyDescent="0.25">
      <c r="A328" s="2">
        <f ca="1">IFERROR(__xludf.DUMMYFUNCTION("""COMPUTED_VALUE"""),44854.6458333333)</f>
        <v>44854.645833333299</v>
      </c>
      <c r="B328" s="1">
        <f ca="1">IFERROR(__xludf.DUMMYFUNCTION("""COMPUTED_VALUE"""),3157.3)</f>
        <v>3157.3</v>
      </c>
      <c r="C328" s="3">
        <f t="shared" ca="1" si="10"/>
        <v>1.1355446289860266E-2</v>
      </c>
      <c r="D328">
        <f t="shared" ca="1" si="9"/>
        <v>3161.2469387755091</v>
      </c>
    </row>
    <row r="329" spans="1:4" x14ac:dyDescent="0.25">
      <c r="A329" s="2">
        <f ca="1">IFERROR(__xludf.DUMMYFUNCTION("""COMPUTED_VALUE"""),44855.6458333333)</f>
        <v>44855.645833333299</v>
      </c>
      <c r="B329" s="1">
        <f ca="1">IFERROR(__xludf.DUMMYFUNCTION("""COMPUTED_VALUE"""),3137.4)</f>
        <v>3137.4</v>
      </c>
      <c r="C329" s="3">
        <f t="shared" ca="1" si="10"/>
        <v>-6.3028537041143031E-3</v>
      </c>
      <c r="D329">
        <f t="shared" ca="1" si="9"/>
        <v>3157.0071428571418</v>
      </c>
    </row>
    <row r="330" spans="1:4" x14ac:dyDescent="0.25">
      <c r="A330" s="2">
        <f ca="1">IFERROR(__xludf.DUMMYFUNCTION("""COMPUTED_VALUE"""),44859.6458333333)</f>
        <v>44859.645833333299</v>
      </c>
      <c r="B330" s="1">
        <f ca="1">IFERROR(__xludf.DUMMYFUNCTION("""COMPUTED_VALUE"""),3162.1)</f>
        <v>3162.1</v>
      </c>
      <c r="C330" s="3">
        <f t="shared" ca="1" si="10"/>
        <v>7.8727608848090189E-3</v>
      </c>
      <c r="D330">
        <f t="shared" ca="1" si="9"/>
        <v>3152.1693877551011</v>
      </c>
    </row>
    <row r="331" spans="1:4" x14ac:dyDescent="0.25">
      <c r="A331" s="2">
        <f ca="1">IFERROR(__xludf.DUMMYFUNCTION("""COMPUTED_VALUE"""),44861.6458333333)</f>
        <v>44861.645833333299</v>
      </c>
      <c r="B331" s="1">
        <f ca="1">IFERROR(__xludf.DUMMYFUNCTION("""COMPUTED_VALUE"""),3157.4)</f>
        <v>3157.4</v>
      </c>
      <c r="C331" s="3">
        <f t="shared" ca="1" si="10"/>
        <v>-1.4863540052496183E-3</v>
      </c>
      <c r="D331">
        <f t="shared" ca="1" si="9"/>
        <v>3148.2479591836727</v>
      </c>
    </row>
    <row r="332" spans="1:4" x14ac:dyDescent="0.25">
      <c r="A332" s="2">
        <f ca="1">IFERROR(__xludf.DUMMYFUNCTION("""COMPUTED_VALUE"""),44862.6458333333)</f>
        <v>44862.645833333299</v>
      </c>
      <c r="B332" s="1">
        <f ca="1">IFERROR(__xludf.DUMMYFUNCTION("""COMPUTED_VALUE"""),3163.25)</f>
        <v>3163.25</v>
      </c>
      <c r="C332" s="3">
        <f t="shared" ca="1" si="10"/>
        <v>1.852790270475679E-3</v>
      </c>
      <c r="D332">
        <f t="shared" ca="1" si="9"/>
        <v>3142.8377551020408</v>
      </c>
    </row>
    <row r="333" spans="1:4" x14ac:dyDescent="0.25">
      <c r="A333" s="2">
        <f ca="1">IFERROR(__xludf.DUMMYFUNCTION("""COMPUTED_VALUE"""),44865.6458333333)</f>
        <v>44865.645833333299</v>
      </c>
      <c r="B333" s="1">
        <f ca="1">IFERROR(__xludf.DUMMYFUNCTION("""COMPUTED_VALUE"""),3193.15)</f>
        <v>3193.15</v>
      </c>
      <c r="C333" s="3">
        <f t="shared" ca="1" si="10"/>
        <v>9.4523038014700366E-3</v>
      </c>
      <c r="D333">
        <f t="shared" ca="1" si="9"/>
        <v>3137.9744897959185</v>
      </c>
    </row>
    <row r="334" spans="1:4" x14ac:dyDescent="0.25">
      <c r="A334" s="2">
        <f ca="1">IFERROR(__xludf.DUMMYFUNCTION("""COMPUTED_VALUE"""),44866.6458333333)</f>
        <v>44866.645833333299</v>
      </c>
      <c r="B334" s="1">
        <f ca="1">IFERROR(__xludf.DUMMYFUNCTION("""COMPUTED_VALUE"""),3259.7)</f>
        <v>3259.7</v>
      </c>
      <c r="C334" s="3">
        <f t="shared" ca="1" si="10"/>
        <v>2.0841488811988076E-2</v>
      </c>
      <c r="D334">
        <f t="shared" ca="1" si="9"/>
        <v>3133.9020408163256</v>
      </c>
    </row>
    <row r="335" spans="1:4" x14ac:dyDescent="0.25">
      <c r="A335" s="2">
        <f ca="1">IFERROR(__xludf.DUMMYFUNCTION("""COMPUTED_VALUE"""),44867.6458333333)</f>
        <v>44867.645833333299</v>
      </c>
      <c r="B335" s="1">
        <f ca="1">IFERROR(__xludf.DUMMYFUNCTION("""COMPUTED_VALUE"""),3241.7)</f>
        <v>3241.7</v>
      </c>
      <c r="C335" s="3">
        <f t="shared" ca="1" si="10"/>
        <v>-5.5219805503573952E-3</v>
      </c>
      <c r="D335">
        <f t="shared" ca="1" si="9"/>
        <v>3131.0163265306114</v>
      </c>
    </row>
    <row r="336" spans="1:4" x14ac:dyDescent="0.25">
      <c r="A336" s="2">
        <f ca="1">IFERROR(__xludf.DUMMYFUNCTION("""COMPUTED_VALUE"""),44868.6458333333)</f>
        <v>44868.645833333299</v>
      </c>
      <c r="B336" s="1">
        <f ca="1">IFERROR(__xludf.DUMMYFUNCTION("""COMPUTED_VALUE"""),3206.75)</f>
        <v>3206.75</v>
      </c>
      <c r="C336" s="3">
        <f t="shared" ca="1" si="10"/>
        <v>-1.0781380140049918E-2</v>
      </c>
      <c r="D336">
        <f t="shared" ca="1" si="9"/>
        <v>3128.1683673469388</v>
      </c>
    </row>
    <row r="337" spans="1:4" x14ac:dyDescent="0.25">
      <c r="A337" s="2">
        <f ca="1">IFERROR(__xludf.DUMMYFUNCTION("""COMPUTED_VALUE"""),44869.6458333333)</f>
        <v>44869.645833333299</v>
      </c>
      <c r="B337" s="1">
        <f ca="1">IFERROR(__xludf.DUMMYFUNCTION("""COMPUTED_VALUE"""),3217.4)</f>
        <v>3217.4</v>
      </c>
      <c r="C337" s="3">
        <f t="shared" ca="1" si="10"/>
        <v>3.3211195135261842E-3</v>
      </c>
      <c r="D337">
        <f t="shared" ca="1" si="9"/>
        <v>3124.5153061224491</v>
      </c>
    </row>
    <row r="338" spans="1:4" x14ac:dyDescent="0.25">
      <c r="A338" s="2">
        <f ca="1">IFERROR(__xludf.DUMMYFUNCTION("""COMPUTED_VALUE"""),44872.6458333333)</f>
        <v>44872.645833333299</v>
      </c>
      <c r="B338" s="1">
        <f ca="1">IFERROR(__xludf.DUMMYFUNCTION("""COMPUTED_VALUE"""),3233.7)</f>
        <v>3233.7</v>
      </c>
      <c r="C338" s="3">
        <f t="shared" ca="1" si="10"/>
        <v>5.0662025237768775E-3</v>
      </c>
      <c r="D338">
        <f t="shared" ca="1" si="9"/>
        <v>3121.7163265306122</v>
      </c>
    </row>
    <row r="339" spans="1:4" x14ac:dyDescent="0.25">
      <c r="A339" s="2">
        <f ca="1">IFERROR(__xludf.DUMMYFUNCTION("""COMPUTED_VALUE"""),44874.6458333333)</f>
        <v>44874.645833333299</v>
      </c>
      <c r="B339" s="1">
        <f ca="1">IFERROR(__xludf.DUMMYFUNCTION("""COMPUTED_VALUE"""),3216.05)</f>
        <v>3216.05</v>
      </c>
      <c r="C339" s="3">
        <f t="shared" ca="1" si="10"/>
        <v>-5.4581439218231859E-3</v>
      </c>
      <c r="D339">
        <f t="shared" ca="1" si="9"/>
        <v>3120.6775510204084</v>
      </c>
    </row>
    <row r="340" spans="1:4" x14ac:dyDescent="0.25">
      <c r="A340" s="2">
        <f ca="1">IFERROR(__xludf.DUMMYFUNCTION("""COMPUTED_VALUE"""),44875.6458333333)</f>
        <v>44875.645833333299</v>
      </c>
      <c r="B340" s="1">
        <f ca="1">IFERROR(__xludf.DUMMYFUNCTION("""COMPUTED_VALUE"""),3205.65)</f>
        <v>3205.65</v>
      </c>
      <c r="C340" s="3">
        <f t="shared" ca="1" si="10"/>
        <v>-3.2337805693319725E-3</v>
      </c>
      <c r="D340">
        <f t="shared" ca="1" si="9"/>
        <v>3119.8755102040823</v>
      </c>
    </row>
    <row r="341" spans="1:4" x14ac:dyDescent="0.25">
      <c r="A341" s="2">
        <f ca="1">IFERROR(__xludf.DUMMYFUNCTION("""COMPUTED_VALUE"""),44876.6458333333)</f>
        <v>44876.645833333299</v>
      </c>
      <c r="B341" s="1">
        <f ca="1">IFERROR(__xludf.DUMMYFUNCTION("""COMPUTED_VALUE"""),3315.95)</f>
        <v>3315.95</v>
      </c>
      <c r="C341" s="3">
        <f t="shared" ca="1" si="10"/>
        <v>3.4407998377863999E-2</v>
      </c>
      <c r="D341">
        <f t="shared" ca="1" si="9"/>
        <v>3119.6193877551013</v>
      </c>
    </row>
    <row r="342" spans="1:4" x14ac:dyDescent="0.25">
      <c r="A342" s="2">
        <f ca="1">IFERROR(__xludf.DUMMYFUNCTION("""COMPUTED_VALUE"""),44879.6458333333)</f>
        <v>44879.645833333299</v>
      </c>
      <c r="B342" s="1">
        <f ca="1">IFERROR(__xludf.DUMMYFUNCTION("""COMPUTED_VALUE"""),3335.5)</f>
        <v>3335.5</v>
      </c>
      <c r="C342" s="3">
        <f t="shared" ca="1" si="10"/>
        <v>5.8957463170434361E-3</v>
      </c>
      <c r="D342">
        <f t="shared" ca="1" si="9"/>
        <v>3121.5326530612242</v>
      </c>
    </row>
    <row r="343" spans="1:4" x14ac:dyDescent="0.25">
      <c r="A343" s="2">
        <f ca="1">IFERROR(__xludf.DUMMYFUNCTION("""COMPUTED_VALUE"""),44880.6458333333)</f>
        <v>44880.645833333299</v>
      </c>
      <c r="B343" s="1">
        <f ca="1">IFERROR(__xludf.DUMMYFUNCTION("""COMPUTED_VALUE"""),3332.6)</f>
        <v>3332.6</v>
      </c>
      <c r="C343" s="3">
        <f t="shared" ca="1" si="10"/>
        <v>-8.6943486733625868E-4</v>
      </c>
      <c r="D343">
        <f t="shared" ca="1" si="9"/>
        <v>3125.6744897959179</v>
      </c>
    </row>
    <row r="344" spans="1:4" x14ac:dyDescent="0.25">
      <c r="A344" s="2">
        <f ca="1">IFERROR(__xludf.DUMMYFUNCTION("""COMPUTED_VALUE"""),44881.6458333333)</f>
        <v>44881.645833333299</v>
      </c>
      <c r="B344" s="1">
        <f ca="1">IFERROR(__xludf.DUMMYFUNCTION("""COMPUTED_VALUE"""),3355.35)</f>
        <v>3355.35</v>
      </c>
      <c r="C344" s="3">
        <f t="shared" ca="1" si="10"/>
        <v>6.8265018304026889E-3</v>
      </c>
      <c r="D344">
        <f t="shared" ca="1" si="9"/>
        <v>3128.1530612244896</v>
      </c>
    </row>
    <row r="345" spans="1:4" x14ac:dyDescent="0.25">
      <c r="A345" s="2">
        <f ca="1">IFERROR(__xludf.DUMMYFUNCTION("""COMPUTED_VALUE"""),44882.6458333333)</f>
        <v>44882.645833333299</v>
      </c>
      <c r="B345" s="1">
        <f ca="1">IFERROR(__xludf.DUMMYFUNCTION("""COMPUTED_VALUE"""),3349)</f>
        <v>3349</v>
      </c>
      <c r="C345" s="3">
        <f t="shared" ca="1" si="10"/>
        <v>-1.8925000372539108E-3</v>
      </c>
      <c r="D345">
        <f t="shared" ca="1" si="9"/>
        <v>3132.7173469387753</v>
      </c>
    </row>
    <row r="346" spans="1:4" x14ac:dyDescent="0.25">
      <c r="A346" s="2">
        <f ca="1">IFERROR(__xludf.DUMMYFUNCTION("""COMPUTED_VALUE"""),44883.6458333333)</f>
        <v>44883.645833333299</v>
      </c>
      <c r="B346" s="1">
        <f ca="1">IFERROR(__xludf.DUMMYFUNCTION("""COMPUTED_VALUE"""),3343.45)</f>
        <v>3343.45</v>
      </c>
      <c r="C346" s="3">
        <f t="shared" ca="1" si="10"/>
        <v>-1.6572111077934255E-3</v>
      </c>
      <c r="D346">
        <f t="shared" ca="1" si="9"/>
        <v>3137.1785714285716</v>
      </c>
    </row>
    <row r="347" spans="1:4" x14ac:dyDescent="0.25">
      <c r="A347" s="2">
        <f ca="1">IFERROR(__xludf.DUMMYFUNCTION("""COMPUTED_VALUE"""),44886.6458333333)</f>
        <v>44886.645833333299</v>
      </c>
      <c r="B347" s="1">
        <f ca="1">IFERROR(__xludf.DUMMYFUNCTION("""COMPUTED_VALUE"""),3283.5)</f>
        <v>3283.5</v>
      </c>
      <c r="C347" s="3">
        <f t="shared" ca="1" si="10"/>
        <v>-1.7930580687613041E-2</v>
      </c>
      <c r="D347">
        <f t="shared" ca="1" si="9"/>
        <v>3141.4653061224494</v>
      </c>
    </row>
    <row r="348" spans="1:4" x14ac:dyDescent="0.25">
      <c r="A348" s="2">
        <f ca="1">IFERROR(__xludf.DUMMYFUNCTION("""COMPUTED_VALUE"""),44887.6458333333)</f>
        <v>44887.645833333299</v>
      </c>
      <c r="B348" s="1">
        <f ca="1">IFERROR(__xludf.DUMMYFUNCTION("""COMPUTED_VALUE"""),3314.95)</f>
        <v>3314.95</v>
      </c>
      <c r="C348" s="3">
        <f t="shared" ca="1" si="10"/>
        <v>9.5781940003044977E-3</v>
      </c>
      <c r="D348">
        <f t="shared" ca="1" si="9"/>
        <v>3144.658163265306</v>
      </c>
    </row>
    <row r="349" spans="1:4" x14ac:dyDescent="0.25">
      <c r="A349" s="2">
        <f ca="1">IFERROR(__xludf.DUMMYFUNCTION("""COMPUTED_VALUE"""),44888.6458333333)</f>
        <v>44888.645833333299</v>
      </c>
      <c r="B349" s="1">
        <f ca="1">IFERROR(__xludf.DUMMYFUNCTION("""COMPUTED_VALUE"""),3308.3)</f>
        <v>3308.3</v>
      </c>
      <c r="C349" s="3">
        <f t="shared" ca="1" si="10"/>
        <v>-2.0060634398707785E-3</v>
      </c>
      <c r="D349">
        <f t="shared" ca="1" si="9"/>
        <v>3148.0326530612247</v>
      </c>
    </row>
    <row r="350" spans="1:4" x14ac:dyDescent="0.25">
      <c r="A350" s="2">
        <f ca="1">IFERROR(__xludf.DUMMYFUNCTION("""COMPUTED_VALUE"""),44889.6458333333)</f>
        <v>44889.645833333299</v>
      </c>
      <c r="B350" s="1">
        <f ca="1">IFERROR(__xludf.DUMMYFUNCTION("""COMPUTED_VALUE"""),3380.15)</f>
        <v>3380.15</v>
      </c>
      <c r="C350" s="3">
        <f t="shared" ca="1" si="10"/>
        <v>2.1718102953178341E-2</v>
      </c>
      <c r="D350">
        <f t="shared" ca="1" si="9"/>
        <v>3150.862244897959</v>
      </c>
    </row>
    <row r="351" spans="1:4" x14ac:dyDescent="0.25">
      <c r="A351" s="2">
        <f ca="1">IFERROR(__xludf.DUMMYFUNCTION("""COMPUTED_VALUE"""),44890.6458333333)</f>
        <v>44890.645833333299</v>
      </c>
      <c r="B351" s="1">
        <f ca="1">IFERROR(__xludf.DUMMYFUNCTION("""COMPUTED_VALUE"""),3389.65)</f>
        <v>3389.65</v>
      </c>
      <c r="C351" s="3">
        <f t="shared" ca="1" si="10"/>
        <v>2.8105261600816531E-3</v>
      </c>
      <c r="D351">
        <f t="shared" ca="1" si="9"/>
        <v>3154.1785714285716</v>
      </c>
    </row>
    <row r="352" spans="1:4" x14ac:dyDescent="0.25">
      <c r="A352" s="2">
        <f ca="1">IFERROR(__xludf.DUMMYFUNCTION("""COMPUTED_VALUE"""),44893.6458333333)</f>
        <v>44893.645833333299</v>
      </c>
      <c r="B352" s="1">
        <f ca="1">IFERROR(__xludf.DUMMYFUNCTION("""COMPUTED_VALUE"""),3395.25)</f>
        <v>3395.25</v>
      </c>
      <c r="C352" s="3">
        <f t="shared" ca="1" si="10"/>
        <v>1.6520879736845718E-3</v>
      </c>
      <c r="D352">
        <f t="shared" ca="1" si="9"/>
        <v>3157.45</v>
      </c>
    </row>
    <row r="353" spans="1:4" x14ac:dyDescent="0.25">
      <c r="A353" s="2">
        <f ca="1">IFERROR(__xludf.DUMMYFUNCTION("""COMPUTED_VALUE"""),44894.6458333333)</f>
        <v>44894.645833333299</v>
      </c>
      <c r="B353" s="1">
        <f ca="1">IFERROR(__xludf.DUMMYFUNCTION("""COMPUTED_VALUE"""),3397.35)</f>
        <v>3397.35</v>
      </c>
      <c r="C353" s="3">
        <f t="shared" ca="1" si="10"/>
        <v>6.1851115529045256E-4</v>
      </c>
      <c r="D353">
        <f t="shared" ca="1" si="9"/>
        <v>3163.0591836734698</v>
      </c>
    </row>
    <row r="354" spans="1:4" x14ac:dyDescent="0.25">
      <c r="A354" s="2">
        <f ca="1">IFERROR(__xludf.DUMMYFUNCTION("""COMPUTED_VALUE"""),44895.6458333333)</f>
        <v>44895.645833333299</v>
      </c>
      <c r="B354" s="1">
        <f ca="1">IFERROR(__xludf.DUMMYFUNCTION("""COMPUTED_VALUE"""),3390.8)</f>
        <v>3390.8</v>
      </c>
      <c r="C354" s="3">
        <f t="shared" ca="1" si="10"/>
        <v>-1.927973273286452E-3</v>
      </c>
      <c r="D354">
        <f t="shared" ca="1" si="9"/>
        <v>3169.0387755102038</v>
      </c>
    </row>
    <row r="355" spans="1:4" x14ac:dyDescent="0.25">
      <c r="A355" s="2">
        <f ca="1">IFERROR(__xludf.DUMMYFUNCTION("""COMPUTED_VALUE"""),44896.6458333333)</f>
        <v>44896.645833333299</v>
      </c>
      <c r="B355" s="1">
        <f ca="1">IFERROR(__xludf.DUMMYFUNCTION("""COMPUTED_VALUE"""),3475.65)</f>
        <v>3475.65</v>
      </c>
      <c r="C355" s="3">
        <f t="shared" ca="1" si="10"/>
        <v>2.5023593252329807E-2</v>
      </c>
      <c r="D355">
        <f t="shared" ca="1" si="9"/>
        <v>3176.8367346938771</v>
      </c>
    </row>
    <row r="356" spans="1:4" x14ac:dyDescent="0.25">
      <c r="A356" s="2">
        <f ca="1">IFERROR(__xludf.DUMMYFUNCTION("""COMPUTED_VALUE"""),44897.6458333333)</f>
        <v>44897.645833333299</v>
      </c>
      <c r="B356" s="1">
        <f ca="1">IFERROR(__xludf.DUMMYFUNCTION("""COMPUTED_VALUE"""),3439.15)</f>
        <v>3439.15</v>
      </c>
      <c r="C356" s="3">
        <f t="shared" ca="1" si="10"/>
        <v>-1.0501632788111576E-2</v>
      </c>
      <c r="D356">
        <f t="shared" ca="1" si="9"/>
        <v>3185.9561224489785</v>
      </c>
    </row>
    <row r="357" spans="1:4" x14ac:dyDescent="0.25">
      <c r="A357" s="2">
        <f ca="1">IFERROR(__xludf.DUMMYFUNCTION("""COMPUTED_VALUE"""),44900.6458333333)</f>
        <v>44900.645833333299</v>
      </c>
      <c r="B357" s="1">
        <f ca="1">IFERROR(__xludf.DUMMYFUNCTION("""COMPUTED_VALUE"""),3425.9)</f>
        <v>3425.9</v>
      </c>
      <c r="C357" s="3">
        <f t="shared" ca="1" si="10"/>
        <v>-3.8526961603884678E-3</v>
      </c>
      <c r="D357">
        <f t="shared" ca="1" si="9"/>
        <v>3194.0959183673458</v>
      </c>
    </row>
    <row r="358" spans="1:4" x14ac:dyDescent="0.25">
      <c r="A358" s="2">
        <f ca="1">IFERROR(__xludf.DUMMYFUNCTION("""COMPUTED_VALUE"""),44901.6458333333)</f>
        <v>44901.645833333299</v>
      </c>
      <c r="B358" s="1">
        <f ca="1">IFERROR(__xludf.DUMMYFUNCTION("""COMPUTED_VALUE"""),3385.35)</f>
        <v>3385.35</v>
      </c>
      <c r="C358" s="3">
        <f t="shared" ca="1" si="10"/>
        <v>-1.1836305788260072E-2</v>
      </c>
      <c r="D358">
        <f t="shared" ca="1" si="9"/>
        <v>3202.7632653061219</v>
      </c>
    </row>
    <row r="359" spans="1:4" x14ac:dyDescent="0.25">
      <c r="A359" s="2">
        <f ca="1">IFERROR(__xludf.DUMMYFUNCTION("""COMPUTED_VALUE"""),44902.6458333333)</f>
        <v>44902.645833333299</v>
      </c>
      <c r="B359" s="1">
        <f ca="1">IFERROR(__xludf.DUMMYFUNCTION("""COMPUTED_VALUE"""),3380.6)</f>
        <v>3380.6</v>
      </c>
      <c r="C359" s="3">
        <f t="shared" ca="1" si="10"/>
        <v>-1.403104553443514E-3</v>
      </c>
      <c r="D359">
        <f t="shared" ca="1" si="9"/>
        <v>3210.4765306122445</v>
      </c>
    </row>
    <row r="360" spans="1:4" x14ac:dyDescent="0.25">
      <c r="A360" s="2">
        <f ca="1">IFERROR(__xludf.DUMMYFUNCTION("""COMPUTED_VALUE"""),44903.6458333333)</f>
        <v>44903.645833333299</v>
      </c>
      <c r="B360" s="1">
        <f ca="1">IFERROR(__xludf.DUMMYFUNCTION("""COMPUTED_VALUE"""),3350.55)</f>
        <v>3350.55</v>
      </c>
      <c r="C360" s="3">
        <f t="shared" ca="1" si="10"/>
        <v>-8.8889546234395458E-3</v>
      </c>
      <c r="D360">
        <f t="shared" ca="1" si="9"/>
        <v>3218.6102040816318</v>
      </c>
    </row>
    <row r="361" spans="1:4" x14ac:dyDescent="0.25">
      <c r="A361" s="2">
        <f ca="1">IFERROR(__xludf.DUMMYFUNCTION("""COMPUTED_VALUE"""),44904.6458333333)</f>
        <v>44904.645833333299</v>
      </c>
      <c r="B361" s="1">
        <f ca="1">IFERROR(__xludf.DUMMYFUNCTION("""COMPUTED_VALUE"""),3292.75)</f>
        <v>3292.75</v>
      </c>
      <c r="C361" s="3">
        <f t="shared" ca="1" si="10"/>
        <v>-1.7250899106116959E-2</v>
      </c>
      <c r="D361">
        <f t="shared" ca="1" si="9"/>
        <v>3225.8785714285705</v>
      </c>
    </row>
    <row r="362" spans="1:4" x14ac:dyDescent="0.25">
      <c r="A362" s="2">
        <f ca="1">IFERROR(__xludf.DUMMYFUNCTION("""COMPUTED_VALUE"""),44907.6458333333)</f>
        <v>44907.645833333299</v>
      </c>
      <c r="B362" s="1">
        <f ca="1">IFERROR(__xludf.DUMMYFUNCTION("""COMPUTED_VALUE"""),3286.45)</f>
        <v>3286.45</v>
      </c>
      <c r="C362" s="3">
        <f t="shared" ca="1" si="10"/>
        <v>-1.9132943588186719E-3</v>
      </c>
      <c r="D362">
        <f t="shared" ca="1" si="9"/>
        <v>3231.4969387755091</v>
      </c>
    </row>
    <row r="363" spans="1:4" x14ac:dyDescent="0.25">
      <c r="A363" s="2">
        <f ca="1">IFERROR(__xludf.DUMMYFUNCTION("""COMPUTED_VALUE"""),44908.6458333333)</f>
        <v>44908.645833333299</v>
      </c>
      <c r="B363" s="1">
        <f ca="1">IFERROR(__xludf.DUMMYFUNCTION("""COMPUTED_VALUE"""),3332.1)</f>
        <v>3332.1</v>
      </c>
      <c r="C363" s="3">
        <f t="shared" ca="1" si="10"/>
        <v>1.3890368026289793E-2</v>
      </c>
      <c r="D363">
        <f t="shared" ca="1" si="9"/>
        <v>3236.6153061224481</v>
      </c>
    </row>
    <row r="364" spans="1:4" x14ac:dyDescent="0.25">
      <c r="A364" s="2">
        <f ca="1">IFERROR(__xludf.DUMMYFUNCTION("""COMPUTED_VALUE"""),44909.6458333333)</f>
        <v>44909.645833333299</v>
      </c>
      <c r="B364" s="1">
        <f ca="1">IFERROR(__xludf.DUMMYFUNCTION("""COMPUTED_VALUE"""),3365.35)</f>
        <v>3365.35</v>
      </c>
      <c r="C364" s="3">
        <f t="shared" ca="1" si="10"/>
        <v>9.9786921160829514E-3</v>
      </c>
      <c r="D364">
        <f t="shared" ca="1" si="9"/>
        <v>3243.4479591836739</v>
      </c>
    </row>
    <row r="365" spans="1:4" x14ac:dyDescent="0.25">
      <c r="A365" s="2">
        <f ca="1">IFERROR(__xludf.DUMMYFUNCTION("""COMPUTED_VALUE"""),44910.6458333333)</f>
        <v>44910.645833333299</v>
      </c>
      <c r="B365" s="1">
        <f ca="1">IFERROR(__xludf.DUMMYFUNCTION("""COMPUTED_VALUE"""),3305.1)</f>
        <v>3305.1</v>
      </c>
      <c r="C365" s="3">
        <f t="shared" ca="1" si="10"/>
        <v>-1.7903041288424681E-2</v>
      </c>
      <c r="D365">
        <f t="shared" ca="1" si="9"/>
        <v>3250.8112244897961</v>
      </c>
    </row>
    <row r="366" spans="1:4" x14ac:dyDescent="0.25">
      <c r="A366" s="2">
        <f ca="1">IFERROR(__xludf.DUMMYFUNCTION("""COMPUTED_VALUE"""),44911.6458333333)</f>
        <v>44911.645833333299</v>
      </c>
      <c r="B366" s="1">
        <f ca="1">IFERROR(__xludf.DUMMYFUNCTION("""COMPUTED_VALUE"""),3240.25)</f>
        <v>3240.25</v>
      </c>
      <c r="C366" s="3">
        <f t="shared" ca="1" si="10"/>
        <v>-1.9621191491936679E-2</v>
      </c>
      <c r="D366">
        <f t="shared" ca="1" si="9"/>
        <v>3257.344897959184</v>
      </c>
    </row>
    <row r="367" spans="1:4" x14ac:dyDescent="0.25">
      <c r="A367" s="2">
        <f ca="1">IFERROR(__xludf.DUMMYFUNCTION("""COMPUTED_VALUE"""),44914.6458333333)</f>
        <v>44914.645833333299</v>
      </c>
      <c r="B367" s="1">
        <f ca="1">IFERROR(__xludf.DUMMYFUNCTION("""COMPUTED_VALUE"""),3202.05)</f>
        <v>3202.05</v>
      </c>
      <c r="C367" s="3">
        <f t="shared" ca="1" si="10"/>
        <v>-1.1789213795231793E-2</v>
      </c>
      <c r="D367">
        <f t="shared" ca="1" si="9"/>
        <v>3260.387755102041</v>
      </c>
    </row>
    <row r="368" spans="1:4" x14ac:dyDescent="0.25">
      <c r="A368" s="2">
        <f ca="1">IFERROR(__xludf.DUMMYFUNCTION("""COMPUTED_VALUE"""),44915.6458333333)</f>
        <v>44915.645833333299</v>
      </c>
      <c r="B368" s="1">
        <f ca="1">IFERROR(__xludf.DUMMYFUNCTION("""COMPUTED_VALUE"""),3243.95)</f>
        <v>3243.95</v>
      </c>
      <c r="C368" s="3">
        <f t="shared" ca="1" si="10"/>
        <v>1.3085367186645941E-2</v>
      </c>
      <c r="D368">
        <f t="shared" ca="1" si="9"/>
        <v>3262.4306122448975</v>
      </c>
    </row>
    <row r="369" spans="1:4" x14ac:dyDescent="0.25">
      <c r="A369" s="2">
        <f ca="1">IFERROR(__xludf.DUMMYFUNCTION("""COMPUTED_VALUE"""),44916.6458333333)</f>
        <v>44916.645833333299</v>
      </c>
      <c r="B369" s="1">
        <f ca="1">IFERROR(__xludf.DUMMYFUNCTION("""COMPUTED_VALUE"""),3268.55)</f>
        <v>3268.55</v>
      </c>
      <c r="C369" s="3">
        <f t="shared" ca="1" si="10"/>
        <v>7.5833474621989751E-3</v>
      </c>
      <c r="D369">
        <f t="shared" ca="1" si="9"/>
        <v>3266.0846938775517</v>
      </c>
    </row>
    <row r="370" spans="1:4" x14ac:dyDescent="0.25">
      <c r="A370" s="2">
        <f ca="1">IFERROR(__xludf.DUMMYFUNCTION("""COMPUTED_VALUE"""),44917.6458333333)</f>
        <v>44917.645833333299</v>
      </c>
      <c r="B370" s="1">
        <f ca="1">IFERROR(__xludf.DUMMYFUNCTION("""COMPUTED_VALUE"""),3259.7)</f>
        <v>3259.7</v>
      </c>
      <c r="C370" s="3">
        <f t="shared" ca="1" si="10"/>
        <v>-2.7076226461275987E-3</v>
      </c>
      <c r="D370">
        <f t="shared" ca="1" si="9"/>
        <v>3269.1459183673473</v>
      </c>
    </row>
    <row r="371" spans="1:4" x14ac:dyDescent="0.25">
      <c r="A371" s="2">
        <f ca="1">IFERROR(__xludf.DUMMYFUNCTION("""COMPUTED_VALUE"""),44918.6458333333)</f>
        <v>44918.645833333299</v>
      </c>
      <c r="B371" s="1">
        <f ca="1">IFERROR(__xludf.DUMMYFUNCTION("""COMPUTED_VALUE"""),3228.35)</f>
        <v>3228.35</v>
      </c>
      <c r="C371" s="3">
        <f t="shared" ca="1" si="10"/>
        <v>-9.6174494585391027E-3</v>
      </c>
      <c r="D371">
        <f t="shared" ca="1" si="9"/>
        <v>3273.0265306122451</v>
      </c>
    </row>
    <row r="372" spans="1:4" x14ac:dyDescent="0.25">
      <c r="A372" s="2">
        <f ca="1">IFERROR(__xludf.DUMMYFUNCTION("""COMPUTED_VALUE"""),44921.6458333333)</f>
        <v>44921.645833333299</v>
      </c>
      <c r="B372" s="1">
        <f ca="1">IFERROR(__xludf.DUMMYFUNCTION("""COMPUTED_VALUE"""),3252.9)</f>
        <v>3252.9</v>
      </c>
      <c r="C372" s="3">
        <f t="shared" ca="1" si="10"/>
        <v>7.6045038487153448E-3</v>
      </c>
      <c r="D372">
        <f t="shared" ref="D372:D435" ca="1" si="11">AVERAGE(B323:B371)</f>
        <v>3275.6306122448987</v>
      </c>
    </row>
    <row r="373" spans="1:4" x14ac:dyDescent="0.25">
      <c r="A373" s="2">
        <f ca="1">IFERROR(__xludf.DUMMYFUNCTION("""COMPUTED_VALUE"""),44922.6458333333)</f>
        <v>44922.645833333299</v>
      </c>
      <c r="B373" s="1">
        <f ca="1">IFERROR(__xludf.DUMMYFUNCTION("""COMPUTED_VALUE"""),3259.5)</f>
        <v>3259.5</v>
      </c>
      <c r="C373" s="3">
        <f t="shared" ca="1" si="10"/>
        <v>2.028958775246675E-3</v>
      </c>
      <c r="D373">
        <f t="shared" ca="1" si="11"/>
        <v>3278.6836734693879</v>
      </c>
    </row>
    <row r="374" spans="1:4" x14ac:dyDescent="0.25">
      <c r="A374" s="2">
        <f ca="1">IFERROR(__xludf.DUMMYFUNCTION("""COMPUTED_VALUE"""),44923.6458333333)</f>
        <v>44923.645833333299</v>
      </c>
      <c r="B374" s="1">
        <f ca="1">IFERROR(__xludf.DUMMYFUNCTION("""COMPUTED_VALUE"""),3257.1)</f>
        <v>3257.1</v>
      </c>
      <c r="C374" s="3">
        <f t="shared" ca="1" si="10"/>
        <v>-7.3630924988497956E-4</v>
      </c>
      <c r="D374">
        <f t="shared" ca="1" si="11"/>
        <v>3281.9561224489798</v>
      </c>
    </row>
    <row r="375" spans="1:4" x14ac:dyDescent="0.25">
      <c r="A375" s="2">
        <f ca="1">IFERROR(__xludf.DUMMYFUNCTION("""COMPUTED_VALUE"""),44924.6458333333)</f>
        <v>44924.645833333299</v>
      </c>
      <c r="B375" s="1">
        <f ca="1">IFERROR(__xludf.DUMMYFUNCTION("""COMPUTED_VALUE"""),3268.75)</f>
        <v>3268.75</v>
      </c>
      <c r="C375" s="3">
        <f t="shared" ca="1" si="10"/>
        <v>3.5768014491419026E-3</v>
      </c>
      <c r="D375">
        <f t="shared" ca="1" si="11"/>
        <v>3284.922448979592</v>
      </c>
    </row>
    <row r="376" spans="1:4" x14ac:dyDescent="0.25">
      <c r="A376" s="2">
        <f ca="1">IFERROR(__xludf.DUMMYFUNCTION("""COMPUTED_VALUE"""),44925.6458333333)</f>
        <v>44925.645833333299</v>
      </c>
      <c r="B376" s="1">
        <f ca="1">IFERROR(__xludf.DUMMYFUNCTION("""COMPUTED_VALUE"""),3256.7)</f>
        <v>3256.7</v>
      </c>
      <c r="C376" s="3">
        <f t="shared" ca="1" si="10"/>
        <v>-3.6864244741874361E-3</v>
      </c>
      <c r="D376">
        <f t="shared" ca="1" si="11"/>
        <v>3287.4540816326535</v>
      </c>
    </row>
    <row r="377" spans="1:4" x14ac:dyDescent="0.25">
      <c r="A377" s="2">
        <f ca="1">IFERROR(__xludf.DUMMYFUNCTION("""COMPUTED_VALUE"""),44928.6458333333)</f>
        <v>44928.645833333299</v>
      </c>
      <c r="B377" s="1">
        <f ca="1">IFERROR(__xludf.DUMMYFUNCTION("""COMPUTED_VALUE"""),3261.45)</f>
        <v>3261.45</v>
      </c>
      <c r="C377" s="3">
        <f t="shared" ca="1" si="10"/>
        <v>1.4585316424601592E-3</v>
      </c>
      <c r="D377">
        <f t="shared" ca="1" si="11"/>
        <v>3290.2061224489803</v>
      </c>
    </row>
    <row r="378" spans="1:4" x14ac:dyDescent="0.25">
      <c r="A378" s="2">
        <f ca="1">IFERROR(__xludf.DUMMYFUNCTION("""COMPUTED_VALUE"""),44929.6458333333)</f>
        <v>44929.645833333299</v>
      </c>
      <c r="B378" s="1">
        <f ca="1">IFERROR(__xludf.DUMMYFUNCTION("""COMPUTED_VALUE"""),3311.35)</f>
        <v>3311.35</v>
      </c>
      <c r="C378" s="3">
        <f t="shared" ca="1" si="10"/>
        <v>1.5299943276763431E-2</v>
      </c>
      <c r="D378">
        <f t="shared" ca="1" si="11"/>
        <v>3292.3316326530617</v>
      </c>
    </row>
    <row r="379" spans="1:4" x14ac:dyDescent="0.25">
      <c r="A379" s="2">
        <f ca="1">IFERROR(__xludf.DUMMYFUNCTION("""COMPUTED_VALUE"""),44930.6458333333)</f>
        <v>44930.645833333299</v>
      </c>
      <c r="B379" s="1">
        <f ca="1">IFERROR(__xludf.DUMMYFUNCTION("""COMPUTED_VALUE"""),3314.65)</f>
        <v>3314.65</v>
      </c>
      <c r="C379" s="3">
        <f t="shared" ca="1" si="10"/>
        <v>9.9657239494471499E-4</v>
      </c>
      <c r="D379">
        <f t="shared" ca="1" si="11"/>
        <v>3295.8816326530618</v>
      </c>
    </row>
    <row r="380" spans="1:4" x14ac:dyDescent="0.25">
      <c r="A380" s="2">
        <f ca="1">IFERROR(__xludf.DUMMYFUNCTION("""COMPUTED_VALUE"""),44931.6458333333)</f>
        <v>44931.645833333299</v>
      </c>
      <c r="B380" s="1">
        <f ca="1">IFERROR(__xludf.DUMMYFUNCTION("""COMPUTED_VALUE"""),3311.1)</f>
        <v>3311.1</v>
      </c>
      <c r="C380" s="3">
        <f t="shared" ca="1" si="10"/>
        <v>-1.0710029716561875E-3</v>
      </c>
      <c r="D380">
        <f t="shared" ca="1" si="11"/>
        <v>3298.994897959185</v>
      </c>
    </row>
    <row r="381" spans="1:4" x14ac:dyDescent="0.25">
      <c r="A381" s="2">
        <f ca="1">IFERROR(__xludf.DUMMYFUNCTION("""COMPUTED_VALUE"""),44932.6458333333)</f>
        <v>44932.645833333299</v>
      </c>
      <c r="B381" s="1">
        <f ca="1">IFERROR(__xludf.DUMMYFUNCTION("""COMPUTED_VALUE"""),3211.55)</f>
        <v>3211.55</v>
      </c>
      <c r="C381" s="3">
        <f t="shared" ca="1" si="10"/>
        <v>-3.006553713267486E-2</v>
      </c>
      <c r="D381">
        <f t="shared" ca="1" si="11"/>
        <v>3302.1316326530618</v>
      </c>
    </row>
    <row r="382" spans="1:4" x14ac:dyDescent="0.25">
      <c r="A382" s="2">
        <f ca="1">IFERROR(__xludf.DUMMYFUNCTION("""COMPUTED_VALUE"""),44935.6458333333)</f>
        <v>44935.645833333299</v>
      </c>
      <c r="B382" s="1">
        <f ca="1">IFERROR(__xludf.DUMMYFUNCTION("""COMPUTED_VALUE"""),3319.95)</f>
        <v>3319.95</v>
      </c>
      <c r="C382" s="3">
        <f t="shared" ca="1" si="10"/>
        <v>3.3753172144291584E-2</v>
      </c>
      <c r="D382">
        <f t="shared" ca="1" si="11"/>
        <v>3303.1173469387768</v>
      </c>
    </row>
    <row r="383" spans="1:4" x14ac:dyDescent="0.25">
      <c r="A383" s="2">
        <f ca="1">IFERROR(__xludf.DUMMYFUNCTION("""COMPUTED_VALUE"""),44936.6458333333)</f>
        <v>44936.645833333299</v>
      </c>
      <c r="B383" s="1">
        <f ca="1">IFERROR(__xludf.DUMMYFUNCTION("""COMPUTED_VALUE"""),3286.4)</f>
        <v>3286.4</v>
      </c>
      <c r="C383" s="3">
        <f t="shared" ca="1" si="10"/>
        <v>-1.0105573879124604E-2</v>
      </c>
      <c r="D383">
        <f t="shared" ca="1" si="11"/>
        <v>3305.7051020408171</v>
      </c>
    </row>
    <row r="384" spans="1:4" x14ac:dyDescent="0.25">
      <c r="A384" s="2">
        <f ca="1">IFERROR(__xludf.DUMMYFUNCTION("""COMPUTED_VALUE"""),44937.6458333333)</f>
        <v>44937.645833333299</v>
      </c>
      <c r="B384" s="1">
        <f ca="1">IFERROR(__xludf.DUMMYFUNCTION("""COMPUTED_VALUE"""),3328.7)</f>
        <v>3328.7</v>
      </c>
      <c r="C384" s="3">
        <f t="shared" ca="1" si="10"/>
        <v>1.2871226874391349E-2</v>
      </c>
      <c r="D384">
        <f t="shared" ca="1" si="11"/>
        <v>3306.2500000000005</v>
      </c>
    </row>
    <row r="385" spans="1:4" x14ac:dyDescent="0.25">
      <c r="A385" s="2">
        <f ca="1">IFERROR(__xludf.DUMMYFUNCTION("""COMPUTED_VALUE"""),44938.6458333333)</f>
        <v>44938.645833333299</v>
      </c>
      <c r="B385" s="1">
        <f ca="1">IFERROR(__xludf.DUMMYFUNCTION("""COMPUTED_VALUE"""),3334.35)</f>
        <v>3334.35</v>
      </c>
      <c r="C385" s="3">
        <f t="shared" ca="1" si="10"/>
        <v>1.6973593294679879E-3</v>
      </c>
      <c r="D385">
        <f t="shared" ca="1" si="11"/>
        <v>3308.0255102040828</v>
      </c>
    </row>
    <row r="386" spans="1:4" x14ac:dyDescent="0.25">
      <c r="A386" s="2">
        <f ca="1">IFERROR(__xludf.DUMMYFUNCTION("""COMPUTED_VALUE"""),44939.6458333333)</f>
        <v>44939.645833333299</v>
      </c>
      <c r="B386" s="1">
        <f ca="1">IFERROR(__xludf.DUMMYFUNCTION("""COMPUTED_VALUE"""),3374.55)</f>
        <v>3374.55</v>
      </c>
      <c r="C386" s="3">
        <f t="shared" ca="1" si="10"/>
        <v>1.2056322821539513E-2</v>
      </c>
      <c r="D386">
        <f t="shared" ca="1" si="11"/>
        <v>3310.6295918367359</v>
      </c>
    </row>
    <row r="387" spans="1:4" x14ac:dyDescent="0.25">
      <c r="A387" s="2">
        <f ca="1">IFERROR(__xludf.DUMMYFUNCTION("""COMPUTED_VALUE"""),44942.6458333333)</f>
        <v>44942.645833333299</v>
      </c>
      <c r="B387" s="1">
        <f ca="1">IFERROR(__xludf.DUMMYFUNCTION("""COMPUTED_VALUE"""),3334.05)</f>
        <v>3334.05</v>
      </c>
      <c r="C387" s="3">
        <f t="shared" ca="1" si="10"/>
        <v>-1.2001600213361781E-2</v>
      </c>
      <c r="D387">
        <f t="shared" ca="1" si="11"/>
        <v>3313.836734693879</v>
      </c>
    </row>
    <row r="388" spans="1:4" x14ac:dyDescent="0.25">
      <c r="A388" s="2">
        <f ca="1">IFERROR(__xludf.DUMMYFUNCTION("""COMPUTED_VALUE"""),44943.6458333333)</f>
        <v>44943.645833333299</v>
      </c>
      <c r="B388" s="1">
        <f ca="1">IFERROR(__xludf.DUMMYFUNCTION("""COMPUTED_VALUE"""),3378.4)</f>
        <v>3378.4</v>
      </c>
      <c r="C388" s="3">
        <f t="shared" ref="C388:C451" ca="1" si="12">(B388-B387)/B387</f>
        <v>1.3302140039891394E-2</v>
      </c>
      <c r="D388">
        <f t="shared" ca="1" si="11"/>
        <v>3315.8846938775519</v>
      </c>
    </row>
    <row r="389" spans="1:4" x14ac:dyDescent="0.25">
      <c r="A389" s="2">
        <f ca="1">IFERROR(__xludf.DUMMYFUNCTION("""COMPUTED_VALUE"""),44944.6458333333)</f>
        <v>44944.645833333299</v>
      </c>
      <c r="B389" s="1">
        <f ca="1">IFERROR(__xludf.DUMMYFUNCTION("""COMPUTED_VALUE"""),3390)</f>
        <v>3390</v>
      </c>
      <c r="C389" s="3">
        <f t="shared" ca="1" si="12"/>
        <v>3.4335780251006122E-3</v>
      </c>
      <c r="D389">
        <f t="shared" ca="1" si="11"/>
        <v>3319.1979591836739</v>
      </c>
    </row>
    <row r="390" spans="1:4" x14ac:dyDescent="0.25">
      <c r="A390" s="2">
        <f ca="1">IFERROR(__xludf.DUMMYFUNCTION("""COMPUTED_VALUE"""),44945.6458333333)</f>
        <v>44945.645833333299</v>
      </c>
      <c r="B390" s="1">
        <f ca="1">IFERROR(__xludf.DUMMYFUNCTION("""COMPUTED_VALUE"""),3373.1)</f>
        <v>3373.1</v>
      </c>
      <c r="C390" s="3">
        <f t="shared" ca="1" si="12"/>
        <v>-4.985250737463154E-3</v>
      </c>
      <c r="D390">
        <f t="shared" ca="1" si="11"/>
        <v>3322.9602040816326</v>
      </c>
    </row>
    <row r="391" spans="1:4" x14ac:dyDescent="0.25">
      <c r="A391" s="2">
        <f ca="1">IFERROR(__xludf.DUMMYFUNCTION("""COMPUTED_VALUE"""),44946.6458333333)</f>
        <v>44946.645833333299</v>
      </c>
      <c r="B391" s="1">
        <f ca="1">IFERROR(__xludf.DUMMYFUNCTION("""COMPUTED_VALUE"""),3363.1)</f>
        <v>3363.1</v>
      </c>
      <c r="C391" s="3">
        <f t="shared" ca="1" si="12"/>
        <v>-2.9646319409445316E-3</v>
      </c>
      <c r="D391">
        <f t="shared" ca="1" si="11"/>
        <v>3324.1265306122459</v>
      </c>
    </row>
    <row r="392" spans="1:4" x14ac:dyDescent="0.25">
      <c r="A392" s="2">
        <f ca="1">IFERROR(__xludf.DUMMYFUNCTION("""COMPUTED_VALUE"""),44949.6458333333)</f>
        <v>44949.645833333299</v>
      </c>
      <c r="B392" s="1">
        <f ca="1">IFERROR(__xludf.DUMMYFUNCTION("""COMPUTED_VALUE"""),3414.9)</f>
        <v>3414.9</v>
      </c>
      <c r="C392" s="3">
        <f t="shared" ca="1" si="12"/>
        <v>1.5402456067318897E-2</v>
      </c>
      <c r="D392">
        <f t="shared" ca="1" si="11"/>
        <v>3324.6897959183684</v>
      </c>
    </row>
    <row r="393" spans="1:4" x14ac:dyDescent="0.25">
      <c r="A393" s="2">
        <f ca="1">IFERROR(__xludf.DUMMYFUNCTION("""COMPUTED_VALUE"""),44950.6458333333)</f>
        <v>44950.645833333299</v>
      </c>
      <c r="B393" s="1">
        <f ca="1">IFERROR(__xludf.DUMMYFUNCTION("""COMPUTED_VALUE"""),3436.3)</f>
        <v>3436.3</v>
      </c>
      <c r="C393" s="3">
        <f t="shared" ca="1" si="12"/>
        <v>6.2666549532929489E-3</v>
      </c>
      <c r="D393">
        <f t="shared" ca="1" si="11"/>
        <v>3326.3693877551027</v>
      </c>
    </row>
    <row r="394" spans="1:4" x14ac:dyDescent="0.25">
      <c r="A394" s="2">
        <f ca="1">IFERROR(__xludf.DUMMYFUNCTION("""COMPUTED_VALUE"""),44951.6458333333)</f>
        <v>44951.645833333299</v>
      </c>
      <c r="B394" s="1">
        <f ca="1">IFERROR(__xludf.DUMMYFUNCTION("""COMPUTED_VALUE"""),3429.75)</f>
        <v>3429.75</v>
      </c>
      <c r="C394" s="3">
        <f t="shared" ca="1" si="12"/>
        <v>-1.9061199546023867E-3</v>
      </c>
      <c r="D394">
        <f t="shared" ca="1" si="11"/>
        <v>3328.0214285714283</v>
      </c>
    </row>
    <row r="395" spans="1:4" x14ac:dyDescent="0.25">
      <c r="A395" s="2">
        <f ca="1">IFERROR(__xludf.DUMMYFUNCTION("""COMPUTED_VALUE"""),44953.6458333333)</f>
        <v>44953.645833333299</v>
      </c>
      <c r="B395" s="1">
        <f ca="1">IFERROR(__xludf.DUMMYFUNCTION("""COMPUTED_VALUE"""),3411.05)</f>
        <v>3411.05</v>
      </c>
      <c r="C395" s="3">
        <f t="shared" ca="1" si="12"/>
        <v>-5.4522924411399719E-3</v>
      </c>
      <c r="D395">
        <f t="shared" ca="1" si="11"/>
        <v>3329.6693877551011</v>
      </c>
    </row>
    <row r="396" spans="1:4" x14ac:dyDescent="0.25">
      <c r="A396" s="2">
        <f ca="1">IFERROR(__xludf.DUMMYFUNCTION("""COMPUTED_VALUE"""),44956.6458333333)</f>
        <v>44956.645833333299</v>
      </c>
      <c r="B396" s="1">
        <f ca="1">IFERROR(__xludf.DUMMYFUNCTION("""COMPUTED_VALUE"""),3433.65)</f>
        <v>3433.65</v>
      </c>
      <c r="C396" s="3">
        <f t="shared" ca="1" si="12"/>
        <v>6.6255258644698578E-3</v>
      </c>
      <c r="D396">
        <f t="shared" ca="1" si="11"/>
        <v>3331.0489795918361</v>
      </c>
    </row>
    <row r="397" spans="1:4" x14ac:dyDescent="0.25">
      <c r="A397" s="2">
        <f ca="1">IFERROR(__xludf.DUMMYFUNCTION("""COMPUTED_VALUE"""),44957.6458333333)</f>
        <v>44957.645833333299</v>
      </c>
      <c r="B397" s="1">
        <f ca="1">IFERROR(__xludf.DUMMYFUNCTION("""COMPUTED_VALUE"""),3358.7)</f>
        <v>3358.7</v>
      </c>
      <c r="C397" s="3">
        <f t="shared" ca="1" si="12"/>
        <v>-2.1828083817512056E-2</v>
      </c>
      <c r="D397">
        <f t="shared" ca="1" si="11"/>
        <v>3334.1132653061218</v>
      </c>
    </row>
    <row r="398" spans="1:4" x14ac:dyDescent="0.25">
      <c r="A398" s="2">
        <f ca="1">IFERROR(__xludf.DUMMYFUNCTION("""COMPUTED_VALUE"""),44958.6458333333)</f>
        <v>44958.645833333299</v>
      </c>
      <c r="B398" s="1">
        <f ca="1">IFERROR(__xludf.DUMMYFUNCTION("""COMPUTED_VALUE"""),3408.35)</f>
        <v>3408.35</v>
      </c>
      <c r="C398" s="3">
        <f t="shared" ca="1" si="12"/>
        <v>1.4782505135915709E-2</v>
      </c>
      <c r="D398">
        <f t="shared" ca="1" si="11"/>
        <v>3335.0061224489796</v>
      </c>
    </row>
    <row r="399" spans="1:4" x14ac:dyDescent="0.25">
      <c r="A399" s="2">
        <f ca="1">IFERROR(__xludf.DUMMYFUNCTION("""COMPUTED_VALUE"""),44959.6458333333)</f>
        <v>44959.645833333299</v>
      </c>
      <c r="B399" s="1">
        <f ca="1">IFERROR(__xludf.DUMMYFUNCTION("""COMPUTED_VALUE"""),3460.4)</f>
        <v>3460.4</v>
      </c>
      <c r="C399" s="3">
        <f t="shared" ca="1" si="12"/>
        <v>1.5271318966655473E-2</v>
      </c>
      <c r="D399">
        <f t="shared" ca="1" si="11"/>
        <v>3337.0479591836738</v>
      </c>
    </row>
    <row r="400" spans="1:4" x14ac:dyDescent="0.25">
      <c r="A400" s="2">
        <f ca="1">IFERROR(__xludf.DUMMYFUNCTION("""COMPUTED_VALUE"""),44960.6458333333)</f>
        <v>44960.645833333299</v>
      </c>
      <c r="B400" s="1">
        <f ca="1">IFERROR(__xludf.DUMMYFUNCTION("""COMPUTED_VALUE"""),3482.3)</f>
        <v>3482.3</v>
      </c>
      <c r="C400" s="3">
        <f t="shared" ca="1" si="12"/>
        <v>6.3287481216044647E-3</v>
      </c>
      <c r="D400">
        <f t="shared" ca="1" si="11"/>
        <v>3338.6857142857139</v>
      </c>
    </row>
    <row r="401" spans="1:4" x14ac:dyDescent="0.25">
      <c r="A401" s="2">
        <f ca="1">IFERROR(__xludf.DUMMYFUNCTION("""COMPUTED_VALUE"""),44963.6458333333)</f>
        <v>44963.645833333299</v>
      </c>
      <c r="B401" s="1">
        <f ca="1">IFERROR(__xludf.DUMMYFUNCTION("""COMPUTED_VALUE"""),3459.95)</f>
        <v>3459.95</v>
      </c>
      <c r="C401" s="3">
        <f t="shared" ca="1" si="12"/>
        <v>-6.418171897883687E-3</v>
      </c>
      <c r="D401">
        <f t="shared" ca="1" si="11"/>
        <v>3340.5765306122444</v>
      </c>
    </row>
    <row r="402" spans="1:4" x14ac:dyDescent="0.25">
      <c r="A402" s="2">
        <f ca="1">IFERROR(__xludf.DUMMYFUNCTION("""COMPUTED_VALUE"""),44964.6458333333)</f>
        <v>44964.645833333299</v>
      </c>
      <c r="B402" s="1">
        <f ca="1">IFERROR(__xludf.DUMMYFUNCTION("""COMPUTED_VALUE"""),3472.55)</f>
        <v>3472.55</v>
      </c>
      <c r="C402" s="3">
        <f t="shared" ca="1" si="12"/>
        <v>3.6416711224151691E-3</v>
      </c>
      <c r="D402">
        <f t="shared" ca="1" si="11"/>
        <v>3341.8969387755096</v>
      </c>
    </row>
    <row r="403" spans="1:4" x14ac:dyDescent="0.25">
      <c r="A403" s="2">
        <f ca="1">IFERROR(__xludf.DUMMYFUNCTION("""COMPUTED_VALUE"""),44965.6458333333)</f>
        <v>44965.645833333299</v>
      </c>
      <c r="B403" s="1">
        <f ca="1">IFERROR(__xludf.DUMMYFUNCTION("""COMPUTED_VALUE"""),3520.1)</f>
        <v>3520.1</v>
      </c>
      <c r="C403" s="3">
        <f t="shared" ca="1" si="12"/>
        <v>1.3693107370664131E-2</v>
      </c>
      <c r="D403">
        <f t="shared" ca="1" si="11"/>
        <v>3343.4316326530611</v>
      </c>
    </row>
    <row r="404" spans="1:4" x14ac:dyDescent="0.25">
      <c r="A404" s="2">
        <f ca="1">IFERROR(__xludf.DUMMYFUNCTION("""COMPUTED_VALUE"""),44966.6458333333)</f>
        <v>44966.645833333299</v>
      </c>
      <c r="B404" s="1">
        <f ca="1">IFERROR(__xludf.DUMMYFUNCTION("""COMPUTED_VALUE"""),3540.85)</f>
        <v>3540.85</v>
      </c>
      <c r="C404" s="3">
        <f t="shared" ca="1" si="12"/>
        <v>5.8947189000312494E-3</v>
      </c>
      <c r="D404">
        <f t="shared" ca="1" si="11"/>
        <v>3346.0704081632657</v>
      </c>
    </row>
    <row r="405" spans="1:4" x14ac:dyDescent="0.25">
      <c r="A405" s="2">
        <f ca="1">IFERROR(__xludf.DUMMYFUNCTION("""COMPUTED_VALUE"""),44967.6458333333)</f>
        <v>44967.645833333299</v>
      </c>
      <c r="B405" s="1">
        <f ca="1">IFERROR(__xludf.DUMMYFUNCTION("""COMPUTED_VALUE"""),3537.55)</f>
        <v>3537.55</v>
      </c>
      <c r="C405" s="3">
        <f t="shared" ca="1" si="12"/>
        <v>-9.3197960941574117E-4</v>
      </c>
      <c r="D405">
        <f t="shared" ca="1" si="11"/>
        <v>3347.4010204081633</v>
      </c>
    </row>
    <row r="406" spans="1:4" x14ac:dyDescent="0.25">
      <c r="A406" s="2">
        <f ca="1">IFERROR(__xludf.DUMMYFUNCTION("""COMPUTED_VALUE"""),44970.6458333333)</f>
        <v>44970.645833333299</v>
      </c>
      <c r="B406" s="1">
        <f ca="1">IFERROR(__xludf.DUMMYFUNCTION("""COMPUTED_VALUE"""),3482.4)</f>
        <v>3482.4</v>
      </c>
      <c r="C406" s="3">
        <f t="shared" ca="1" si="12"/>
        <v>-1.5589885655326451E-2</v>
      </c>
      <c r="D406">
        <f t="shared" ca="1" si="11"/>
        <v>3349.4091836734697</v>
      </c>
    </row>
    <row r="407" spans="1:4" x14ac:dyDescent="0.25">
      <c r="A407" s="2">
        <f ca="1">IFERROR(__xludf.DUMMYFUNCTION("""COMPUTED_VALUE"""),44971.6458333333)</f>
        <v>44971.645833333299</v>
      </c>
      <c r="B407" s="1">
        <f ca="1">IFERROR(__xludf.DUMMYFUNCTION("""COMPUTED_VALUE"""),3500.1)</f>
        <v>3500.1</v>
      </c>
      <c r="C407" s="3">
        <f t="shared" ca="1" si="12"/>
        <v>5.0827015851136626E-3</v>
      </c>
      <c r="D407">
        <f t="shared" ca="1" si="11"/>
        <v>3350.5622448979589</v>
      </c>
    </row>
    <row r="408" spans="1:4" x14ac:dyDescent="0.25">
      <c r="A408" s="2">
        <f ca="1">IFERROR(__xludf.DUMMYFUNCTION("""COMPUTED_VALUE"""),44972.6458333333)</f>
        <v>44972.645833333299</v>
      </c>
      <c r="B408" s="1">
        <f ca="1">IFERROR(__xludf.DUMMYFUNCTION("""COMPUTED_VALUE"""),3520.65)</f>
        <v>3520.65</v>
      </c>
      <c r="C408" s="3">
        <f t="shared" ca="1" si="12"/>
        <v>5.871260821119449E-3</v>
      </c>
      <c r="D408">
        <f t="shared" ca="1" si="11"/>
        <v>3352.9040816326524</v>
      </c>
    </row>
    <row r="409" spans="1:4" x14ac:dyDescent="0.25">
      <c r="A409" s="2">
        <f ca="1">IFERROR(__xludf.DUMMYFUNCTION("""COMPUTED_VALUE"""),44973.6458333333)</f>
        <v>44973.645833333299</v>
      </c>
      <c r="B409" s="1">
        <f ca="1">IFERROR(__xludf.DUMMYFUNCTION("""COMPUTED_VALUE"""),3558.05)</f>
        <v>3558.05</v>
      </c>
      <c r="C409" s="3">
        <f t="shared" ca="1" si="12"/>
        <v>1.0623038359393887E-2</v>
      </c>
      <c r="D409">
        <f t="shared" ca="1" si="11"/>
        <v>3355.7622448979587</v>
      </c>
    </row>
    <row r="410" spans="1:4" x14ac:dyDescent="0.25">
      <c r="A410" s="2">
        <f ca="1">IFERROR(__xludf.DUMMYFUNCTION("""COMPUTED_VALUE"""),44974.6458333333)</f>
        <v>44974.645833333299</v>
      </c>
      <c r="B410" s="1">
        <f ca="1">IFERROR(__xludf.DUMMYFUNCTION("""COMPUTED_VALUE"""),3501.15)</f>
        <v>3501.15</v>
      </c>
      <c r="C410" s="3">
        <f t="shared" ca="1" si="12"/>
        <v>-1.5991905678672331E-2</v>
      </c>
      <c r="D410">
        <f t="shared" ca="1" si="11"/>
        <v>3359.9969387755095</v>
      </c>
    </row>
    <row r="411" spans="1:4" x14ac:dyDescent="0.25">
      <c r="A411" s="2">
        <f ca="1">IFERROR(__xludf.DUMMYFUNCTION("""COMPUTED_VALUE"""),44977.6458333333)</f>
        <v>44977.645833333299</v>
      </c>
      <c r="B411" s="1">
        <f ca="1">IFERROR(__xludf.DUMMYFUNCTION("""COMPUTED_VALUE"""),3487.3)</f>
        <v>3487.3</v>
      </c>
      <c r="C411" s="3">
        <f t="shared" ca="1" si="12"/>
        <v>-3.955843080130788E-3</v>
      </c>
      <c r="D411">
        <f t="shared" ca="1" si="11"/>
        <v>3364.2499999999995</v>
      </c>
    </row>
    <row r="412" spans="1:4" x14ac:dyDescent="0.25">
      <c r="A412" s="2">
        <f ca="1">IFERROR(__xludf.DUMMYFUNCTION("""COMPUTED_VALUE"""),44978.6458333333)</f>
        <v>44978.645833333299</v>
      </c>
      <c r="B412" s="1">
        <f ca="1">IFERROR(__xludf.DUMMYFUNCTION("""COMPUTED_VALUE"""),3451)</f>
        <v>3451</v>
      </c>
      <c r="C412" s="3">
        <f t="shared" ca="1" si="12"/>
        <v>-1.0409199093854897E-2</v>
      </c>
      <c r="D412">
        <f t="shared" ca="1" si="11"/>
        <v>3368.3489795918358</v>
      </c>
    </row>
    <row r="413" spans="1:4" x14ac:dyDescent="0.25">
      <c r="A413" s="2">
        <f ca="1">IFERROR(__xludf.DUMMYFUNCTION("""COMPUTED_VALUE"""),44979.6458333333)</f>
        <v>44979.645833333299</v>
      </c>
      <c r="B413" s="1">
        <f ca="1">IFERROR(__xludf.DUMMYFUNCTION("""COMPUTED_VALUE"""),3401.55)</f>
        <v>3401.55</v>
      </c>
      <c r="C413" s="3">
        <f t="shared" ca="1" si="12"/>
        <v>-1.4329179947841152E-2</v>
      </c>
      <c r="D413">
        <f t="shared" ca="1" si="11"/>
        <v>3370.775510204081</v>
      </c>
    </row>
    <row r="414" spans="1:4" x14ac:dyDescent="0.25">
      <c r="A414" s="2">
        <f ca="1">IFERROR(__xludf.DUMMYFUNCTION("""COMPUTED_VALUE"""),44980.6458333333)</f>
        <v>44980.645833333299</v>
      </c>
      <c r="B414" s="1">
        <f ca="1">IFERROR(__xludf.DUMMYFUNCTION("""COMPUTED_VALUE"""),3413.8)</f>
        <v>3413.8</v>
      </c>
      <c r="C414" s="3">
        <f t="shared" ca="1" si="12"/>
        <v>3.6012994076229953E-3</v>
      </c>
      <c r="D414">
        <f t="shared" ca="1" si="11"/>
        <v>3371.5142857142846</v>
      </c>
    </row>
    <row r="415" spans="1:4" x14ac:dyDescent="0.25">
      <c r="A415" s="2">
        <f ca="1">IFERROR(__xludf.DUMMYFUNCTION("""COMPUTED_VALUE"""),44981.6458333333)</f>
        <v>44981.645833333299</v>
      </c>
      <c r="B415" s="1">
        <f ca="1">IFERROR(__xludf.DUMMYFUNCTION("""COMPUTED_VALUE"""),3400.45)</f>
        <v>3400.45</v>
      </c>
      <c r="C415" s="3">
        <f t="shared" ca="1" si="12"/>
        <v>-3.9105981604078627E-3</v>
      </c>
      <c r="D415">
        <f t="shared" ca="1" si="11"/>
        <v>3373.7326530612231</v>
      </c>
    </row>
    <row r="416" spans="1:4" x14ac:dyDescent="0.25">
      <c r="A416" s="2">
        <f ca="1">IFERROR(__xludf.DUMMYFUNCTION("""COMPUTED_VALUE"""),44984.6458333333)</f>
        <v>44984.645833333299</v>
      </c>
      <c r="B416" s="1">
        <f ca="1">IFERROR(__xludf.DUMMYFUNCTION("""COMPUTED_VALUE"""),3331.85)</f>
        <v>3331.85</v>
      </c>
      <c r="C416" s="3">
        <f t="shared" ca="1" si="12"/>
        <v>-2.017380052640089E-2</v>
      </c>
      <c r="D416">
        <f t="shared" ca="1" si="11"/>
        <v>3377.0020408163259</v>
      </c>
    </row>
    <row r="417" spans="1:4" x14ac:dyDescent="0.25">
      <c r="A417" s="2">
        <f ca="1">IFERROR(__xludf.DUMMYFUNCTION("""COMPUTED_VALUE"""),44985.6458333333)</f>
        <v>44985.645833333299</v>
      </c>
      <c r="B417" s="1">
        <f ca="1">IFERROR(__xludf.DUMMYFUNCTION("""COMPUTED_VALUE"""),3312.85)</f>
        <v>3312.85</v>
      </c>
      <c r="C417" s="3">
        <f t="shared" ca="1" si="12"/>
        <v>-5.7025376292450143E-3</v>
      </c>
      <c r="D417">
        <f t="shared" ca="1" si="11"/>
        <v>3379.6510204081624</v>
      </c>
    </row>
    <row r="418" spans="1:4" x14ac:dyDescent="0.25">
      <c r="A418" s="2">
        <f ca="1">IFERROR(__xludf.DUMMYFUNCTION("""COMPUTED_VALUE"""),44986.6458333333)</f>
        <v>44986.645833333299</v>
      </c>
      <c r="B418" s="1">
        <f ca="1">IFERROR(__xludf.DUMMYFUNCTION("""COMPUTED_VALUE"""),3385.7)</f>
        <v>3385.7</v>
      </c>
      <c r="C418" s="3">
        <f t="shared" ca="1" si="12"/>
        <v>2.1990129344823917E-2</v>
      </c>
      <c r="D418">
        <f t="shared" ca="1" si="11"/>
        <v>3381.0571428571425</v>
      </c>
    </row>
    <row r="419" spans="1:4" x14ac:dyDescent="0.25">
      <c r="A419" s="2">
        <f ca="1">IFERROR(__xludf.DUMMYFUNCTION("""COMPUTED_VALUE"""),44987.6458333333)</f>
        <v>44987.645833333299</v>
      </c>
      <c r="B419" s="1">
        <f ca="1">IFERROR(__xludf.DUMMYFUNCTION("""COMPUTED_VALUE"""),3321.45)</f>
        <v>3321.45</v>
      </c>
      <c r="C419" s="3">
        <f t="shared" ca="1" si="12"/>
        <v>-1.8976873320140593E-2</v>
      </c>
      <c r="D419">
        <f t="shared" ca="1" si="11"/>
        <v>3383.4479591836739</v>
      </c>
    </row>
    <row r="420" spans="1:4" x14ac:dyDescent="0.25">
      <c r="A420" s="2">
        <f ca="1">IFERROR(__xludf.DUMMYFUNCTION("""COMPUTED_VALUE"""),44988.6458333333)</f>
        <v>44988.645833333299</v>
      </c>
      <c r="B420" s="1">
        <f ca="1">IFERROR(__xludf.DUMMYFUNCTION("""COMPUTED_VALUE"""),3342.15)</f>
        <v>3342.15</v>
      </c>
      <c r="C420" s="3">
        <f t="shared" ca="1" si="12"/>
        <v>6.2322178566590718E-3</v>
      </c>
      <c r="D420">
        <f t="shared" ca="1" si="11"/>
        <v>3384.7081632653062</v>
      </c>
    </row>
    <row r="421" spans="1:4" x14ac:dyDescent="0.25">
      <c r="A421" s="2">
        <f ca="1">IFERROR(__xludf.DUMMYFUNCTION("""COMPUTED_VALUE"""),44991.6458333333)</f>
        <v>44991.645833333299</v>
      </c>
      <c r="B421" s="1">
        <f ca="1">IFERROR(__xludf.DUMMYFUNCTION("""COMPUTED_VALUE"""),3371.85)</f>
        <v>3371.85</v>
      </c>
      <c r="C421" s="3">
        <f t="shared" ca="1" si="12"/>
        <v>8.8864952201426674E-3</v>
      </c>
      <c r="D421">
        <f t="shared" ca="1" si="11"/>
        <v>3387.0306122448987</v>
      </c>
    </row>
    <row r="422" spans="1:4" x14ac:dyDescent="0.25">
      <c r="A422" s="2">
        <f ca="1">IFERROR(__xludf.DUMMYFUNCTION("""COMPUTED_VALUE"""),44993.6458333333)</f>
        <v>44993.645833333299</v>
      </c>
      <c r="B422" s="1">
        <f ca="1">IFERROR(__xludf.DUMMYFUNCTION("""COMPUTED_VALUE"""),3390.4)</f>
        <v>3390.4</v>
      </c>
      <c r="C422" s="3">
        <f t="shared" ca="1" si="12"/>
        <v>5.5014309651972007E-3</v>
      </c>
      <c r="D422">
        <f t="shared" ca="1" si="11"/>
        <v>3389.4581632653062</v>
      </c>
    </row>
    <row r="423" spans="1:4" x14ac:dyDescent="0.25">
      <c r="A423" s="2">
        <f ca="1">IFERROR(__xludf.DUMMYFUNCTION("""COMPUTED_VALUE"""),44994.6458333333)</f>
        <v>44994.645833333299</v>
      </c>
      <c r="B423" s="1">
        <f ca="1">IFERROR(__xludf.DUMMYFUNCTION("""COMPUTED_VALUE"""),3336.85)</f>
        <v>3336.85</v>
      </c>
      <c r="C423" s="3">
        <f t="shared" ca="1" si="12"/>
        <v>-1.5794596507786744E-2</v>
      </c>
      <c r="D423">
        <f t="shared" ca="1" si="11"/>
        <v>3392.129591836735</v>
      </c>
    </row>
    <row r="424" spans="1:4" x14ac:dyDescent="0.25">
      <c r="A424" s="2">
        <f ca="1">IFERROR(__xludf.DUMMYFUNCTION("""COMPUTED_VALUE"""),44995.6458333333)</f>
        <v>44995.645833333299</v>
      </c>
      <c r="B424" s="1">
        <f ca="1">IFERROR(__xludf.DUMMYFUNCTION("""COMPUTED_VALUE"""),3331)</f>
        <v>3331</v>
      </c>
      <c r="C424" s="3">
        <f t="shared" ca="1" si="12"/>
        <v>-1.753150426300226E-3</v>
      </c>
      <c r="D424">
        <f t="shared" ca="1" si="11"/>
        <v>3393.7571428571437</v>
      </c>
    </row>
    <row r="425" spans="1:4" x14ac:dyDescent="0.25">
      <c r="A425" s="2">
        <f ca="1">IFERROR(__xludf.DUMMYFUNCTION("""COMPUTED_VALUE"""),44998.6458333333)</f>
        <v>44998.645833333299</v>
      </c>
      <c r="B425" s="1">
        <f ca="1">IFERROR(__xludf.DUMMYFUNCTION("""COMPUTED_VALUE"""),3281.95)</f>
        <v>3281.95</v>
      </c>
      <c r="C425" s="3">
        <f t="shared" ca="1" si="12"/>
        <v>-1.4725307715400836E-2</v>
      </c>
      <c r="D425">
        <f t="shared" ca="1" si="11"/>
        <v>3395.0275510204096</v>
      </c>
    </row>
    <row r="426" spans="1:4" x14ac:dyDescent="0.25">
      <c r="A426" s="2">
        <f ca="1">IFERROR(__xludf.DUMMYFUNCTION("""COMPUTED_VALUE"""),44999.6458333333)</f>
        <v>44999.645833333299</v>
      </c>
      <c r="B426" s="1">
        <f ca="1">IFERROR(__xludf.DUMMYFUNCTION("""COMPUTED_VALUE"""),3214.95)</f>
        <v>3214.95</v>
      </c>
      <c r="C426" s="3">
        <f t="shared" ca="1" si="12"/>
        <v>-2.0414692484650894E-2</v>
      </c>
      <c r="D426">
        <f t="shared" ca="1" si="11"/>
        <v>3395.5428571428583</v>
      </c>
    </row>
    <row r="427" spans="1:4" x14ac:dyDescent="0.25">
      <c r="A427" s="2">
        <f ca="1">IFERROR(__xludf.DUMMYFUNCTION("""COMPUTED_VALUE"""),45000.6458333333)</f>
        <v>45000.645833333299</v>
      </c>
      <c r="B427" s="1">
        <f ca="1">IFERROR(__xludf.DUMMYFUNCTION("""COMPUTED_VALUE"""),3198.9)</f>
        <v>3198.9</v>
      </c>
      <c r="C427" s="3">
        <f t="shared" ca="1" si="12"/>
        <v>-4.9923015910044409E-3</v>
      </c>
      <c r="D427">
        <f t="shared" ca="1" si="11"/>
        <v>3394.5938775510217</v>
      </c>
    </row>
    <row r="428" spans="1:4" x14ac:dyDescent="0.25">
      <c r="A428" s="2">
        <f ca="1">IFERROR(__xludf.DUMMYFUNCTION("""COMPUTED_VALUE"""),45001.6458333333)</f>
        <v>45001.645833333299</v>
      </c>
      <c r="B428" s="1">
        <f ca="1">IFERROR(__xludf.DUMMYFUNCTION("""COMPUTED_VALUE"""),3185)</f>
        <v>3185</v>
      </c>
      <c r="C428" s="3">
        <f t="shared" ca="1" si="12"/>
        <v>-4.3452436775141736E-3</v>
      </c>
      <c r="D428">
        <f t="shared" ca="1" si="11"/>
        <v>3392.2989795918379</v>
      </c>
    </row>
    <row r="429" spans="1:4" x14ac:dyDescent="0.25">
      <c r="A429" s="2">
        <f ca="1">IFERROR(__xludf.DUMMYFUNCTION("""COMPUTED_VALUE"""),45002.6458333333)</f>
        <v>45002.645833333299</v>
      </c>
      <c r="B429" s="1">
        <f ca="1">IFERROR(__xludf.DUMMYFUNCTION("""COMPUTED_VALUE"""),3179.3)</f>
        <v>3179.3</v>
      </c>
      <c r="C429" s="3">
        <f t="shared" ca="1" si="12"/>
        <v>-1.7896389324960182E-3</v>
      </c>
      <c r="D429">
        <f t="shared" ca="1" si="11"/>
        <v>3389.653061224491</v>
      </c>
    </row>
    <row r="430" spans="1:4" x14ac:dyDescent="0.25">
      <c r="A430" s="2">
        <f ca="1">IFERROR(__xludf.DUMMYFUNCTION("""COMPUTED_VALUE"""),45005.6458333333)</f>
        <v>45005.645833333299</v>
      </c>
      <c r="B430" s="1">
        <f ca="1">IFERROR(__xludf.DUMMYFUNCTION("""COMPUTED_VALUE"""),3143.3)</f>
        <v>3143.3</v>
      </c>
      <c r="C430" s="3">
        <f t="shared" ca="1" si="12"/>
        <v>-1.1323247255685212E-2</v>
      </c>
      <c r="D430">
        <f t="shared" ca="1" si="11"/>
        <v>3386.9632653061235</v>
      </c>
    </row>
    <row r="431" spans="1:4" x14ac:dyDescent="0.25">
      <c r="A431" s="2">
        <f ca="1">IFERROR(__xludf.DUMMYFUNCTION("""COMPUTED_VALUE"""),45006.6458333333)</f>
        <v>45006.645833333299</v>
      </c>
      <c r="B431" s="1">
        <f ca="1">IFERROR(__xludf.DUMMYFUNCTION("""COMPUTED_VALUE"""),3106.1)</f>
        <v>3106.1</v>
      </c>
      <c r="C431" s="3">
        <f t="shared" ca="1" si="12"/>
        <v>-1.1834696020106344E-2</v>
      </c>
      <c r="D431">
        <f t="shared" ca="1" si="11"/>
        <v>3385.5704081632662</v>
      </c>
    </row>
    <row r="432" spans="1:4" x14ac:dyDescent="0.25">
      <c r="A432" s="2">
        <f ca="1">IFERROR(__xludf.DUMMYFUNCTION("""COMPUTED_VALUE"""),45007.6458333333)</f>
        <v>45007.645833333299</v>
      </c>
      <c r="B432" s="1">
        <f ca="1">IFERROR(__xludf.DUMMYFUNCTION("""COMPUTED_VALUE"""),3130.8)</f>
        <v>3130.8</v>
      </c>
      <c r="C432" s="3">
        <f t="shared" ca="1" si="12"/>
        <v>7.9520942661215916E-3</v>
      </c>
      <c r="D432">
        <f t="shared" ca="1" si="11"/>
        <v>3381.2061224489798</v>
      </c>
    </row>
    <row r="433" spans="1:4" x14ac:dyDescent="0.25">
      <c r="A433" s="2">
        <f ca="1">IFERROR(__xludf.DUMMYFUNCTION("""COMPUTED_VALUE"""),45008.6458333333)</f>
        <v>45008.645833333299</v>
      </c>
      <c r="B433" s="1">
        <f ca="1">IFERROR(__xludf.DUMMYFUNCTION("""COMPUTED_VALUE"""),3124.65)</f>
        <v>3124.65</v>
      </c>
      <c r="C433" s="3">
        <f t="shared" ca="1" si="12"/>
        <v>-1.964354158681516E-3</v>
      </c>
      <c r="D433">
        <f t="shared" ca="1" si="11"/>
        <v>3378.0306122448978</v>
      </c>
    </row>
    <row r="434" spans="1:4" x14ac:dyDescent="0.25">
      <c r="A434" s="2">
        <f ca="1">IFERROR(__xludf.DUMMYFUNCTION("""COMPUTED_VALUE"""),45009.6458333333)</f>
        <v>45009.645833333299</v>
      </c>
      <c r="B434" s="1">
        <f ca="1">IFERROR(__xludf.DUMMYFUNCTION("""COMPUTED_VALUE"""),3120.5)</f>
        <v>3120.5</v>
      </c>
      <c r="C434" s="3">
        <f t="shared" ca="1" si="12"/>
        <v>-1.328148752660327E-3</v>
      </c>
      <c r="D434">
        <f t="shared" ca="1" si="11"/>
        <v>3373.8663265306118</v>
      </c>
    </row>
    <row r="435" spans="1:4" x14ac:dyDescent="0.25">
      <c r="A435" s="2">
        <f ca="1">IFERROR(__xludf.DUMMYFUNCTION("""COMPUTED_VALUE"""),45012.6458333333)</f>
        <v>45012.645833333299</v>
      </c>
      <c r="B435" s="1">
        <f ca="1">IFERROR(__xludf.DUMMYFUNCTION("""COMPUTED_VALUE"""),3122.3)</f>
        <v>3122.3</v>
      </c>
      <c r="C435" s="3">
        <f t="shared" ca="1" si="12"/>
        <v>5.7683063611606539E-4</v>
      </c>
      <c r="D435">
        <f t="shared" ca="1" si="11"/>
        <v>3369.5020408163259</v>
      </c>
    </row>
    <row r="436" spans="1:4" x14ac:dyDescent="0.25">
      <c r="A436" s="2">
        <f ca="1">IFERROR(__xludf.DUMMYFUNCTION("""COMPUTED_VALUE"""),45013.6458333333)</f>
        <v>45013.645833333299</v>
      </c>
      <c r="B436" s="1">
        <f ca="1">IFERROR(__xludf.DUMMYFUNCTION("""COMPUTED_VALUE"""),3115.9)</f>
        <v>3115.9</v>
      </c>
      <c r="C436" s="3">
        <f t="shared" ca="1" si="12"/>
        <v>-2.049771002145883E-3</v>
      </c>
      <c r="D436">
        <f t="shared" ref="D436:D499" ca="1" si="13">AVERAGE(B387:B435)</f>
        <v>3364.3540816326527</v>
      </c>
    </row>
    <row r="437" spans="1:4" x14ac:dyDescent="0.25">
      <c r="A437" s="2">
        <f ca="1">IFERROR(__xludf.DUMMYFUNCTION("""COMPUTED_VALUE"""),45014.6458333333)</f>
        <v>45014.645833333299</v>
      </c>
      <c r="B437" s="1">
        <f ca="1">IFERROR(__xludf.DUMMYFUNCTION("""COMPUTED_VALUE"""),3138.9)</f>
        <v>3138.9</v>
      </c>
      <c r="C437" s="3">
        <f t="shared" ca="1" si="12"/>
        <v>7.3814949131872009E-3</v>
      </c>
      <c r="D437">
        <f t="shared" ca="1" si="13"/>
        <v>3359.9020408163256</v>
      </c>
    </row>
    <row r="438" spans="1:4" x14ac:dyDescent="0.25">
      <c r="A438" s="2">
        <f ca="1">IFERROR(__xludf.DUMMYFUNCTION("""COMPUTED_VALUE"""),45016.6458333333)</f>
        <v>45016.645833333299</v>
      </c>
      <c r="B438" s="1">
        <f ca="1">IFERROR(__xludf.DUMMYFUNCTION("""COMPUTED_VALUE"""),3205.9)</f>
        <v>3205.9</v>
      </c>
      <c r="C438" s="3">
        <f t="shared" ca="1" si="12"/>
        <v>2.134505718563828E-2</v>
      </c>
      <c r="D438">
        <f t="shared" ca="1" si="13"/>
        <v>3355.0142857142846</v>
      </c>
    </row>
    <row r="439" spans="1:4" x14ac:dyDescent="0.25">
      <c r="A439" s="2">
        <f ca="1">IFERROR(__xludf.DUMMYFUNCTION("""COMPUTED_VALUE"""),45019.6458333333)</f>
        <v>45019.645833333299</v>
      </c>
      <c r="B439" s="1">
        <f ca="1">IFERROR(__xludf.DUMMYFUNCTION("""COMPUTED_VALUE"""),3200)</f>
        <v>3200</v>
      </c>
      <c r="C439" s="3">
        <f t="shared" ca="1" si="12"/>
        <v>-1.8403568420724574E-3</v>
      </c>
      <c r="D439">
        <f t="shared" ca="1" si="13"/>
        <v>3351.2571428571418</v>
      </c>
    </row>
    <row r="440" spans="1:4" x14ac:dyDescent="0.25">
      <c r="A440" s="2">
        <f ca="1">IFERROR(__xludf.DUMMYFUNCTION("""COMPUTED_VALUE"""),45021.6458333333)</f>
        <v>45021.645833333299</v>
      </c>
      <c r="B440" s="1">
        <f ca="1">IFERROR(__xludf.DUMMYFUNCTION("""COMPUTED_VALUE"""),3239.8)</f>
        <v>3239.8</v>
      </c>
      <c r="C440" s="3">
        <f t="shared" ca="1" si="12"/>
        <v>1.2437500000000056E-2</v>
      </c>
      <c r="D440">
        <f t="shared" ca="1" si="13"/>
        <v>3347.7244897959172</v>
      </c>
    </row>
    <row r="441" spans="1:4" x14ac:dyDescent="0.25">
      <c r="A441" s="2">
        <f ca="1">IFERROR(__xludf.DUMMYFUNCTION("""COMPUTED_VALUE"""),45022.6458333333)</f>
        <v>45022.645833333299</v>
      </c>
      <c r="B441" s="1">
        <f ca="1">IFERROR(__xludf.DUMMYFUNCTION("""COMPUTED_VALUE"""),3220.7)</f>
        <v>3220.7</v>
      </c>
      <c r="C441" s="3">
        <f t="shared" ca="1" si="12"/>
        <v>-5.8954256435583561E-3</v>
      </c>
      <c r="D441">
        <f t="shared" ca="1" si="13"/>
        <v>3345.2081632653053</v>
      </c>
    </row>
    <row r="442" spans="1:4" x14ac:dyDescent="0.25">
      <c r="A442" s="2">
        <f ca="1">IFERROR(__xludf.DUMMYFUNCTION("""COMPUTED_VALUE"""),45026.6458333333)</f>
        <v>45026.645833333299</v>
      </c>
      <c r="B442" s="1">
        <f ca="1">IFERROR(__xludf.DUMMYFUNCTION("""COMPUTED_VALUE"""),3263.4)</f>
        <v>3263.4</v>
      </c>
      <c r="C442" s="3">
        <f t="shared" ca="1" si="12"/>
        <v>1.3257987394044858E-2</v>
      </c>
      <c r="D442">
        <f t="shared" ca="1" si="13"/>
        <v>3341.2448979591832</v>
      </c>
    </row>
    <row r="443" spans="1:4" x14ac:dyDescent="0.25">
      <c r="A443" s="2">
        <f ca="1">IFERROR(__xludf.DUMMYFUNCTION("""COMPUTED_VALUE"""),45027.6458333333)</f>
        <v>45027.645833333299</v>
      </c>
      <c r="B443" s="1">
        <f ca="1">IFERROR(__xludf.DUMMYFUNCTION("""COMPUTED_VALUE"""),3213.8)</f>
        <v>3213.8</v>
      </c>
      <c r="C443" s="3">
        <f t="shared" ca="1" si="12"/>
        <v>-1.5198872341729456E-2</v>
      </c>
      <c r="D443">
        <f t="shared" ca="1" si="13"/>
        <v>3337.7163265306117</v>
      </c>
    </row>
    <row r="444" spans="1:4" x14ac:dyDescent="0.25">
      <c r="A444" s="2">
        <f ca="1">IFERROR(__xludf.DUMMYFUNCTION("""COMPUTED_VALUE"""),45028.6458333333)</f>
        <v>45028.645833333299</v>
      </c>
      <c r="B444" s="1">
        <f ca="1">IFERROR(__xludf.DUMMYFUNCTION("""COMPUTED_VALUE"""),3241.65)</f>
        <v>3241.65</v>
      </c>
      <c r="C444" s="3">
        <f t="shared" ca="1" si="12"/>
        <v>8.6657539361503222E-3</v>
      </c>
      <c r="D444">
        <f t="shared" ca="1" si="13"/>
        <v>3333.3091836734689</v>
      </c>
    </row>
    <row r="445" spans="1:4" x14ac:dyDescent="0.25">
      <c r="A445" s="2">
        <f ca="1">IFERROR(__xludf.DUMMYFUNCTION("""COMPUTED_VALUE"""),45029.6458333333)</f>
        <v>45029.645833333299</v>
      </c>
      <c r="B445" s="1">
        <f ca="1">IFERROR(__xludf.DUMMYFUNCTION("""COMPUTED_VALUE"""),3188.85)</f>
        <v>3188.85</v>
      </c>
      <c r="C445" s="3">
        <f t="shared" ca="1" si="12"/>
        <v>-1.6288001480727465E-2</v>
      </c>
      <c r="D445">
        <f t="shared" ca="1" si="13"/>
        <v>3329.8520408163258</v>
      </c>
    </row>
    <row r="446" spans="1:4" x14ac:dyDescent="0.25">
      <c r="A446" s="2">
        <f ca="1">IFERROR(__xludf.DUMMYFUNCTION("""COMPUTED_VALUE"""),45033.6458333333)</f>
        <v>45033.645833333299</v>
      </c>
      <c r="B446" s="1">
        <f ca="1">IFERROR(__xludf.DUMMYFUNCTION("""COMPUTED_VALUE"""),3139.5)</f>
        <v>3139.5</v>
      </c>
      <c r="C446" s="3">
        <f t="shared" ca="1" si="12"/>
        <v>-1.5475798485347355E-2</v>
      </c>
      <c r="D446">
        <f t="shared" ca="1" si="13"/>
        <v>3324.856122448979</v>
      </c>
    </row>
    <row r="447" spans="1:4" x14ac:dyDescent="0.25">
      <c r="A447" s="2">
        <f ca="1">IFERROR(__xludf.DUMMYFUNCTION("""COMPUTED_VALUE"""),45034.6458333333)</f>
        <v>45034.645833333299</v>
      </c>
      <c r="B447" s="1">
        <f ca="1">IFERROR(__xludf.DUMMYFUNCTION("""COMPUTED_VALUE"""),3130.75)</f>
        <v>3130.75</v>
      </c>
      <c r="C447" s="3">
        <f t="shared" ca="1" si="12"/>
        <v>-2.787068004459309E-3</v>
      </c>
      <c r="D447">
        <f t="shared" ca="1" si="13"/>
        <v>3320.3826530612241</v>
      </c>
    </row>
    <row r="448" spans="1:4" x14ac:dyDescent="0.25">
      <c r="A448" s="2">
        <f ca="1">IFERROR(__xludf.DUMMYFUNCTION("""COMPUTED_VALUE"""),45035.6458333333)</f>
        <v>45035.645833333299</v>
      </c>
      <c r="B448" s="1">
        <f ca="1">IFERROR(__xludf.DUMMYFUNCTION("""COMPUTED_VALUE"""),3089.6)</f>
        <v>3089.6</v>
      </c>
      <c r="C448" s="3">
        <f t="shared" ca="1" si="12"/>
        <v>-1.3143815379701379E-2</v>
      </c>
      <c r="D448">
        <f t="shared" ca="1" si="13"/>
        <v>3314.7173469387749</v>
      </c>
    </row>
    <row r="449" spans="1:4" x14ac:dyDescent="0.25">
      <c r="A449" s="2">
        <f ca="1">IFERROR(__xludf.DUMMYFUNCTION("""COMPUTED_VALUE"""),45036.6458333333)</f>
        <v>45036.645833333299</v>
      </c>
      <c r="B449" s="1">
        <f ca="1">IFERROR(__xludf.DUMMYFUNCTION("""COMPUTED_VALUE"""),3104.8)</f>
        <v>3104.8</v>
      </c>
      <c r="C449" s="3">
        <f t="shared" ca="1" si="12"/>
        <v>4.9197307094770437E-3</v>
      </c>
      <c r="D449">
        <f t="shared" ca="1" si="13"/>
        <v>3307.1499999999996</v>
      </c>
    </row>
    <row r="450" spans="1:4" x14ac:dyDescent="0.25">
      <c r="A450" s="2">
        <f ca="1">IFERROR(__xludf.DUMMYFUNCTION("""COMPUTED_VALUE"""),45037.6458333333)</f>
        <v>45037.645833333299</v>
      </c>
      <c r="B450" s="1">
        <f ca="1">IFERROR(__xludf.DUMMYFUNCTION("""COMPUTED_VALUE"""),3160.85)</f>
        <v>3160.85</v>
      </c>
      <c r="C450" s="3">
        <f t="shared" ca="1" si="12"/>
        <v>1.8052692604998623E-2</v>
      </c>
      <c r="D450">
        <f t="shared" ca="1" si="13"/>
        <v>3299.4459183673466</v>
      </c>
    </row>
    <row r="451" spans="1:4" x14ac:dyDescent="0.25">
      <c r="A451" s="2">
        <f ca="1">IFERROR(__xludf.DUMMYFUNCTION("""COMPUTED_VALUE"""),45040.6458333333)</f>
        <v>45040.645833333299</v>
      </c>
      <c r="B451" s="1">
        <f ca="1">IFERROR(__xludf.DUMMYFUNCTION("""COMPUTED_VALUE"""),3174.8)</f>
        <v>3174.8</v>
      </c>
      <c r="C451" s="3">
        <f t="shared" ca="1" si="12"/>
        <v>4.4133698214088848E-3</v>
      </c>
      <c r="D451">
        <f t="shared" ca="1" si="13"/>
        <v>3293.3418367346931</v>
      </c>
    </row>
    <row r="452" spans="1:4" x14ac:dyDescent="0.25">
      <c r="A452" s="2">
        <f ca="1">IFERROR(__xludf.DUMMYFUNCTION("""COMPUTED_VALUE"""),45041.6458333333)</f>
        <v>45041.645833333299</v>
      </c>
      <c r="B452" s="1">
        <f ca="1">IFERROR(__xludf.DUMMYFUNCTION("""COMPUTED_VALUE"""),3176)</f>
        <v>3176</v>
      </c>
      <c r="C452" s="3">
        <f t="shared" ref="C452:C515" ca="1" si="14">(B452-B451)/B451</f>
        <v>3.7797656545288458E-4</v>
      </c>
      <c r="D452">
        <f t="shared" ca="1" si="13"/>
        <v>3287.2653061224482</v>
      </c>
    </row>
    <row r="453" spans="1:4" x14ac:dyDescent="0.25">
      <c r="A453" s="2">
        <f ca="1">IFERROR(__xludf.DUMMYFUNCTION("""COMPUTED_VALUE"""),45042.6458333333)</f>
        <v>45042.645833333299</v>
      </c>
      <c r="B453" s="1">
        <f ca="1">IFERROR(__xludf.DUMMYFUNCTION("""COMPUTED_VALUE"""),3198.15)</f>
        <v>3198.15</v>
      </c>
      <c r="C453" s="3">
        <f t="shared" ca="1" si="14"/>
        <v>6.9741813602015399E-3</v>
      </c>
      <c r="D453">
        <f t="shared" ca="1" si="13"/>
        <v>3280.2428571428563</v>
      </c>
    </row>
    <row r="454" spans="1:4" x14ac:dyDescent="0.25">
      <c r="A454" s="2">
        <f ca="1">IFERROR(__xludf.DUMMYFUNCTION("""COMPUTED_VALUE"""),45043.6458333333)</f>
        <v>45043.645833333299</v>
      </c>
      <c r="B454" s="1">
        <f ca="1">IFERROR(__xludf.DUMMYFUNCTION("""COMPUTED_VALUE"""),3187.95)</f>
        <v>3187.95</v>
      </c>
      <c r="C454" s="3">
        <f t="shared" ca="1" si="14"/>
        <v>-3.1893438394072424E-3</v>
      </c>
      <c r="D454">
        <f t="shared" ca="1" si="13"/>
        <v>3273.2489795918359</v>
      </c>
    </row>
    <row r="455" spans="1:4" x14ac:dyDescent="0.25">
      <c r="A455" s="2">
        <f ca="1">IFERROR(__xludf.DUMMYFUNCTION("""COMPUTED_VALUE"""),45044.6458333333)</f>
        <v>45044.645833333299</v>
      </c>
      <c r="B455" s="1">
        <f ca="1">IFERROR(__xludf.DUMMYFUNCTION("""COMPUTED_VALUE"""),3219.25)</f>
        <v>3219.25</v>
      </c>
      <c r="C455" s="3">
        <f t="shared" ca="1" si="14"/>
        <v>9.8182217412444307E-3</v>
      </c>
      <c r="D455">
        <f t="shared" ca="1" si="13"/>
        <v>3266.1142857142845</v>
      </c>
    </row>
    <row r="456" spans="1:4" x14ac:dyDescent="0.25">
      <c r="A456" s="2">
        <f ca="1">IFERROR(__xludf.DUMMYFUNCTION("""COMPUTED_VALUE"""),45048.6458333333)</f>
        <v>45048.645833333299</v>
      </c>
      <c r="B456" s="1">
        <f ca="1">IFERROR(__xludf.DUMMYFUNCTION("""COMPUTED_VALUE"""),3219.4)</f>
        <v>3219.4</v>
      </c>
      <c r="C456" s="3">
        <f t="shared" ca="1" si="14"/>
        <v>4.6594703735370333E-5</v>
      </c>
      <c r="D456">
        <f t="shared" ca="1" si="13"/>
        <v>3260.74387755102</v>
      </c>
    </row>
    <row r="457" spans="1:4" x14ac:dyDescent="0.25">
      <c r="A457" s="2">
        <f ca="1">IFERROR(__xludf.DUMMYFUNCTION("""COMPUTED_VALUE"""),45049.6458333333)</f>
        <v>45049.645833333299</v>
      </c>
      <c r="B457" s="1">
        <f ca="1">IFERROR(__xludf.DUMMYFUNCTION("""COMPUTED_VALUE"""),3179.9)</f>
        <v>3179.9</v>
      </c>
      <c r="C457" s="3">
        <f t="shared" ca="1" si="14"/>
        <v>-1.2269366962788096E-2</v>
      </c>
      <c r="D457">
        <f t="shared" ca="1" si="13"/>
        <v>3255.0153061224482</v>
      </c>
    </row>
    <row r="458" spans="1:4" x14ac:dyDescent="0.25">
      <c r="A458" s="2">
        <f ca="1">IFERROR(__xludf.DUMMYFUNCTION("""COMPUTED_VALUE"""),45050.6458333333)</f>
        <v>45050.645833333299</v>
      </c>
      <c r="B458" s="1">
        <f ca="1">IFERROR(__xludf.DUMMYFUNCTION("""COMPUTED_VALUE"""),3220.7)</f>
        <v>3220.7</v>
      </c>
      <c r="C458" s="3">
        <f t="shared" ca="1" si="14"/>
        <v>1.2830592156985983E-2</v>
      </c>
      <c r="D458">
        <f t="shared" ca="1" si="13"/>
        <v>3248.0612244897952</v>
      </c>
    </row>
    <row r="459" spans="1:4" x14ac:dyDescent="0.25">
      <c r="A459" s="2">
        <f ca="1">IFERROR(__xludf.DUMMYFUNCTION("""COMPUTED_VALUE"""),45051.6458333333)</f>
        <v>45051.645833333299</v>
      </c>
      <c r="B459" s="1">
        <f ca="1">IFERROR(__xludf.DUMMYFUNCTION("""COMPUTED_VALUE"""),3230.7)</f>
        <v>3230.7</v>
      </c>
      <c r="C459" s="3">
        <f t="shared" ca="1" si="14"/>
        <v>3.1049150805725467E-3</v>
      </c>
      <c r="D459">
        <f t="shared" ca="1" si="13"/>
        <v>3241.1765306122447</v>
      </c>
    </row>
    <row r="460" spans="1:4" x14ac:dyDescent="0.25">
      <c r="A460" s="2">
        <f ca="1">IFERROR(__xludf.DUMMYFUNCTION("""COMPUTED_VALUE"""),45054.6458333333)</f>
        <v>45054.645833333299</v>
      </c>
      <c r="B460" s="1">
        <f ca="1">IFERROR(__xludf.DUMMYFUNCTION("""COMPUTED_VALUE"""),3250.6)</f>
        <v>3250.6</v>
      </c>
      <c r="C460" s="3">
        <f t="shared" ca="1" si="14"/>
        <v>6.1596558021481699E-3</v>
      </c>
      <c r="D460">
        <f t="shared" ca="1" si="13"/>
        <v>3235.6571428571433</v>
      </c>
    </row>
    <row r="461" spans="1:4" x14ac:dyDescent="0.25">
      <c r="A461" s="2">
        <f ca="1">IFERROR(__xludf.DUMMYFUNCTION("""COMPUTED_VALUE"""),45055.6458333333)</f>
        <v>45055.645833333299</v>
      </c>
      <c r="B461" s="1">
        <f ca="1">IFERROR(__xludf.DUMMYFUNCTION("""COMPUTED_VALUE"""),3283.25)</f>
        <v>3283.25</v>
      </c>
      <c r="C461" s="3">
        <f t="shared" ca="1" si="14"/>
        <v>1.0044299513935918E-2</v>
      </c>
      <c r="D461">
        <f t="shared" ca="1" si="13"/>
        <v>3230.8265306122453</v>
      </c>
    </row>
    <row r="462" spans="1:4" x14ac:dyDescent="0.25">
      <c r="A462" s="2">
        <f ca="1">IFERROR(__xludf.DUMMYFUNCTION("""COMPUTED_VALUE"""),45056.6458333333)</f>
        <v>45056.645833333299</v>
      </c>
      <c r="B462" s="1">
        <f ca="1">IFERROR(__xludf.DUMMYFUNCTION("""COMPUTED_VALUE"""),3286.8)</f>
        <v>3286.8</v>
      </c>
      <c r="C462" s="3">
        <f t="shared" ca="1" si="14"/>
        <v>1.0812457168964233E-3</v>
      </c>
      <c r="D462">
        <f t="shared" ca="1" si="13"/>
        <v>3227.4030612244906</v>
      </c>
    </row>
    <row r="463" spans="1:4" x14ac:dyDescent="0.25">
      <c r="A463" s="2">
        <f ca="1">IFERROR(__xludf.DUMMYFUNCTION("""COMPUTED_VALUE"""),45057.6458333333)</f>
        <v>45057.645833333299</v>
      </c>
      <c r="B463" s="1">
        <f ca="1">IFERROR(__xludf.DUMMYFUNCTION("""COMPUTED_VALUE"""),3282.15)</f>
        <v>3282.15</v>
      </c>
      <c r="C463" s="3">
        <f t="shared" ca="1" si="14"/>
        <v>-1.4147499087258399E-3</v>
      </c>
      <c r="D463">
        <f t="shared" ca="1" si="13"/>
        <v>3225.0612244897966</v>
      </c>
    </row>
    <row r="464" spans="1:4" x14ac:dyDescent="0.25">
      <c r="A464" s="2">
        <f ca="1">IFERROR(__xludf.DUMMYFUNCTION("""COMPUTED_VALUE"""),45058.6458333333)</f>
        <v>45058.645833333299</v>
      </c>
      <c r="B464" s="1">
        <f ca="1">IFERROR(__xludf.DUMMYFUNCTION("""COMPUTED_VALUE"""),3274.3)</f>
        <v>3274.3</v>
      </c>
      <c r="C464" s="3">
        <f t="shared" ca="1" si="14"/>
        <v>-2.3917249363983695E-3</v>
      </c>
      <c r="D464">
        <f t="shared" ca="1" si="13"/>
        <v>3222.3744897959177</v>
      </c>
    </row>
    <row r="465" spans="1:4" x14ac:dyDescent="0.25">
      <c r="A465" s="2">
        <f ca="1">IFERROR(__xludf.DUMMYFUNCTION("""COMPUTED_VALUE"""),45061.6458333333)</f>
        <v>45061.645833333299</v>
      </c>
      <c r="B465" s="1">
        <f ca="1">IFERROR(__xludf.DUMMYFUNCTION("""COMPUTED_VALUE"""),3255.05)</f>
        <v>3255.05</v>
      </c>
      <c r="C465" s="3">
        <f t="shared" ca="1" si="14"/>
        <v>-5.8791192010506062E-3</v>
      </c>
      <c r="D465">
        <f t="shared" ca="1" si="13"/>
        <v>3219.7999999999997</v>
      </c>
    </row>
    <row r="466" spans="1:4" x14ac:dyDescent="0.25">
      <c r="A466" s="2">
        <f ca="1">IFERROR(__xludf.DUMMYFUNCTION("""COMPUTED_VALUE"""),45062.6458333333)</f>
        <v>45062.645833333299</v>
      </c>
      <c r="B466" s="1">
        <f ca="1">IFERROR(__xludf.DUMMYFUNCTION("""COMPUTED_VALUE"""),3258.15)</f>
        <v>3258.15</v>
      </c>
      <c r="C466" s="3">
        <f t="shared" ca="1" si="14"/>
        <v>9.5236632309792749E-4</v>
      </c>
      <c r="D466">
        <f t="shared" ca="1" si="13"/>
        <v>3218.2326530612245</v>
      </c>
    </row>
    <row r="467" spans="1:4" x14ac:dyDescent="0.25">
      <c r="A467" s="2">
        <f ca="1">IFERROR(__xludf.DUMMYFUNCTION("""COMPUTED_VALUE"""),45063.6458333333)</f>
        <v>45063.645833333299</v>
      </c>
      <c r="B467" s="1">
        <f ca="1">IFERROR(__xludf.DUMMYFUNCTION("""COMPUTED_VALUE"""),3208.7)</f>
        <v>3208.7</v>
      </c>
      <c r="C467" s="3">
        <f t="shared" ca="1" si="14"/>
        <v>-1.5177324555345909E-2</v>
      </c>
      <c r="D467">
        <f t="shared" ca="1" si="13"/>
        <v>3217.1163265306118</v>
      </c>
    </row>
    <row r="468" spans="1:4" x14ac:dyDescent="0.25">
      <c r="A468" s="2">
        <f ca="1">IFERROR(__xludf.DUMMYFUNCTION("""COMPUTED_VALUE"""),45064.6458333333)</f>
        <v>45064.645833333299</v>
      </c>
      <c r="B468" s="1">
        <f ca="1">IFERROR(__xludf.DUMMYFUNCTION("""COMPUTED_VALUE"""),3199.85)</f>
        <v>3199.85</v>
      </c>
      <c r="C468" s="3">
        <f t="shared" ca="1" si="14"/>
        <v>-2.7581263440022157E-3</v>
      </c>
      <c r="D468">
        <f t="shared" ca="1" si="13"/>
        <v>3213.5040816326527</v>
      </c>
    </row>
    <row r="469" spans="1:4" x14ac:dyDescent="0.25">
      <c r="A469" s="2">
        <f ca="1">IFERROR(__xludf.DUMMYFUNCTION("""COMPUTED_VALUE"""),45065.6458333333)</f>
        <v>45065.645833333299</v>
      </c>
      <c r="B469" s="1">
        <f ca="1">IFERROR(__xludf.DUMMYFUNCTION("""COMPUTED_VALUE"""),3222.85)</f>
        <v>3222.85</v>
      </c>
      <c r="C469" s="3">
        <f t="shared" ca="1" si="14"/>
        <v>7.1878369298560875E-3</v>
      </c>
      <c r="D469">
        <f t="shared" ca="1" si="13"/>
        <v>3211.0224489795914</v>
      </c>
    </row>
    <row r="470" spans="1:4" x14ac:dyDescent="0.25">
      <c r="A470" s="2">
        <f ca="1">IFERROR(__xludf.DUMMYFUNCTION("""COMPUTED_VALUE"""),45068.6458333333)</f>
        <v>45068.645833333299</v>
      </c>
      <c r="B470" s="1">
        <f ca="1">IFERROR(__xludf.DUMMYFUNCTION("""COMPUTED_VALUE"""),3298.7)</f>
        <v>3298.7</v>
      </c>
      <c r="C470" s="3">
        <f t="shared" ca="1" si="14"/>
        <v>2.3535069891555582E-2</v>
      </c>
      <c r="D470">
        <f t="shared" ca="1" si="13"/>
        <v>3208.5877551020408</v>
      </c>
    </row>
    <row r="471" spans="1:4" x14ac:dyDescent="0.25">
      <c r="A471" s="2">
        <f ca="1">IFERROR(__xludf.DUMMYFUNCTION("""COMPUTED_VALUE"""),45069.6458333333)</f>
        <v>45069.645833333299</v>
      </c>
      <c r="B471" s="1">
        <f ca="1">IFERROR(__xludf.DUMMYFUNCTION("""COMPUTED_VALUE"""),3297.05)</f>
        <v>3297.05</v>
      </c>
      <c r="C471" s="3">
        <f t="shared" ca="1" si="14"/>
        <v>-5.0019704732156189E-4</v>
      </c>
      <c r="D471">
        <f t="shared" ca="1" si="13"/>
        <v>3207.0948979591835</v>
      </c>
    </row>
    <row r="472" spans="1:4" x14ac:dyDescent="0.25">
      <c r="A472" s="2">
        <f ca="1">IFERROR(__xludf.DUMMYFUNCTION("""COMPUTED_VALUE"""),45070.6458333333)</f>
        <v>45070.645833333299</v>
      </c>
      <c r="B472" s="1">
        <f ca="1">IFERROR(__xludf.DUMMYFUNCTION("""COMPUTED_VALUE"""),3303.35)</f>
        <v>3303.35</v>
      </c>
      <c r="C472" s="3">
        <f t="shared" ca="1" si="14"/>
        <v>1.9107990476334078E-3</v>
      </c>
      <c r="D472">
        <f t="shared" ca="1" si="13"/>
        <v>3205.1897959183671</v>
      </c>
    </row>
    <row r="473" spans="1:4" x14ac:dyDescent="0.25">
      <c r="A473" s="2">
        <f ca="1">IFERROR(__xludf.DUMMYFUNCTION("""COMPUTED_VALUE"""),45071.6458333333)</f>
        <v>45071.645833333299</v>
      </c>
      <c r="B473" s="1">
        <f ca="1">IFERROR(__xludf.DUMMYFUNCTION("""COMPUTED_VALUE"""),3293.5)</f>
        <v>3293.5</v>
      </c>
      <c r="C473" s="3">
        <f t="shared" ca="1" si="14"/>
        <v>-2.9818214842508087E-3</v>
      </c>
      <c r="D473">
        <f t="shared" ca="1" si="13"/>
        <v>3204.50612244898</v>
      </c>
    </row>
    <row r="474" spans="1:4" x14ac:dyDescent="0.25">
      <c r="A474" s="2">
        <f ca="1">IFERROR(__xludf.DUMMYFUNCTION("""COMPUTED_VALUE"""),45072.6458333333)</f>
        <v>45072.645833333299</v>
      </c>
      <c r="B474" s="1">
        <f ca="1">IFERROR(__xludf.DUMMYFUNCTION("""COMPUTED_VALUE"""),3328.9)</f>
        <v>3328.9</v>
      </c>
      <c r="C474" s="3">
        <f t="shared" ca="1" si="14"/>
        <v>1.0748443904660723E-2</v>
      </c>
      <c r="D474">
        <f t="shared" ca="1" si="13"/>
        <v>3203.7408163265318</v>
      </c>
    </row>
    <row r="475" spans="1:4" x14ac:dyDescent="0.25">
      <c r="A475" s="2">
        <f ca="1">IFERROR(__xludf.DUMMYFUNCTION("""COMPUTED_VALUE"""),45075.6458333333)</f>
        <v>45075.645833333299</v>
      </c>
      <c r="B475" s="1">
        <f ca="1">IFERROR(__xludf.DUMMYFUNCTION("""COMPUTED_VALUE"""),3320.35)</f>
        <v>3320.35</v>
      </c>
      <c r="C475" s="3">
        <f t="shared" ca="1" si="14"/>
        <v>-2.5684159932711052E-3</v>
      </c>
      <c r="D475">
        <f t="shared" ca="1" si="13"/>
        <v>3204.6989795918375</v>
      </c>
    </row>
    <row r="476" spans="1:4" x14ac:dyDescent="0.25">
      <c r="A476" s="2">
        <f ca="1">IFERROR(__xludf.DUMMYFUNCTION("""COMPUTED_VALUE"""),45076.6458333333)</f>
        <v>45076.645833333299</v>
      </c>
      <c r="B476" s="1">
        <f ca="1">IFERROR(__xludf.DUMMYFUNCTION("""COMPUTED_VALUE"""),3316.2)</f>
        <v>3316.2</v>
      </c>
      <c r="C476" s="3">
        <f t="shared" ca="1" si="14"/>
        <v>-1.2498682367822944E-3</v>
      </c>
      <c r="D476">
        <f t="shared" ca="1" si="13"/>
        <v>3206.85</v>
      </c>
    </row>
    <row r="477" spans="1:4" x14ac:dyDescent="0.25">
      <c r="A477" s="2">
        <f ca="1">IFERROR(__xludf.DUMMYFUNCTION("""COMPUTED_VALUE"""),45077.6458333333)</f>
        <v>45077.645833333299</v>
      </c>
      <c r="B477" s="1">
        <f ca="1">IFERROR(__xludf.DUMMYFUNCTION("""COMPUTED_VALUE"""),3289.5)</f>
        <v>3289.5</v>
      </c>
      <c r="C477" s="3">
        <f t="shared" ca="1" si="14"/>
        <v>-8.0513841143476927E-3</v>
      </c>
      <c r="D477">
        <f t="shared" ca="1" si="13"/>
        <v>3209.2438775510204</v>
      </c>
    </row>
    <row r="478" spans="1:4" x14ac:dyDescent="0.25">
      <c r="A478" s="2">
        <f ca="1">IFERROR(__xludf.DUMMYFUNCTION("""COMPUTED_VALUE"""),45078.6458333333)</f>
        <v>45078.645833333299</v>
      </c>
      <c r="B478" s="1">
        <f ca="1">IFERROR(__xludf.DUMMYFUNCTION("""COMPUTED_VALUE"""),3324)</f>
        <v>3324</v>
      </c>
      <c r="C478" s="3">
        <f t="shared" ca="1" si="14"/>
        <v>1.0487916096671226E-2</v>
      </c>
      <c r="D478">
        <f t="shared" ca="1" si="13"/>
        <v>3211.376530612245</v>
      </c>
    </row>
    <row r="479" spans="1:4" x14ac:dyDescent="0.25">
      <c r="A479" s="2">
        <f ca="1">IFERROR(__xludf.DUMMYFUNCTION("""COMPUTED_VALUE"""),45079.6458333333)</f>
        <v>45079.645833333299</v>
      </c>
      <c r="B479" s="1">
        <f ca="1">IFERROR(__xludf.DUMMYFUNCTION("""COMPUTED_VALUE"""),3305.6)</f>
        <v>3305.6</v>
      </c>
      <c r="C479" s="3">
        <f t="shared" ca="1" si="14"/>
        <v>-5.5354993983153106E-3</v>
      </c>
      <c r="D479">
        <f t="shared" ca="1" si="13"/>
        <v>3214.3295918367353</v>
      </c>
    </row>
    <row r="480" spans="1:4" x14ac:dyDescent="0.25">
      <c r="A480" s="2">
        <f ca="1">IFERROR(__xludf.DUMMYFUNCTION("""COMPUTED_VALUE"""),45082.6458333333)</f>
        <v>45082.645833333299</v>
      </c>
      <c r="B480" s="1">
        <f ca="1">IFERROR(__xludf.DUMMYFUNCTION("""COMPUTED_VALUE"""),3288.9)</f>
        <v>3288.9</v>
      </c>
      <c r="C480" s="3">
        <f t="shared" ca="1" si="14"/>
        <v>-5.0520329138431207E-3</v>
      </c>
      <c r="D480">
        <f t="shared" ca="1" si="13"/>
        <v>3217.6418367346942</v>
      </c>
    </row>
    <row r="481" spans="1:4" x14ac:dyDescent="0.25">
      <c r="A481" s="2">
        <f ca="1">IFERROR(__xludf.DUMMYFUNCTION("""COMPUTED_VALUE"""),45083.6458333333)</f>
        <v>45083.645833333299</v>
      </c>
      <c r="B481" s="1">
        <f ca="1">IFERROR(__xludf.DUMMYFUNCTION("""COMPUTED_VALUE"""),3232.3)</f>
        <v>3232.3</v>
      </c>
      <c r="C481" s="3">
        <f t="shared" ca="1" si="14"/>
        <v>-1.7209401319590107E-2</v>
      </c>
      <c r="D481">
        <f t="shared" ca="1" si="13"/>
        <v>3221.3724489795918</v>
      </c>
    </row>
    <row r="482" spans="1:4" x14ac:dyDescent="0.25">
      <c r="A482" s="2">
        <f ca="1">IFERROR(__xludf.DUMMYFUNCTION("""COMPUTED_VALUE"""),45084.6458333333)</f>
        <v>45084.645833333299</v>
      </c>
      <c r="B482" s="1">
        <f ca="1">IFERROR(__xludf.DUMMYFUNCTION("""COMPUTED_VALUE"""),3274.9)</f>
        <v>3274.9</v>
      </c>
      <c r="C482" s="3">
        <f t="shared" ca="1" si="14"/>
        <v>1.3179469727438636E-2</v>
      </c>
      <c r="D482">
        <f t="shared" ca="1" si="13"/>
        <v>3223.4438775510203</v>
      </c>
    </row>
    <row r="483" spans="1:4" x14ac:dyDescent="0.25">
      <c r="A483" s="2">
        <f ca="1">IFERROR(__xludf.DUMMYFUNCTION("""COMPUTED_VALUE"""),45085.6458333333)</f>
        <v>45085.645833333299</v>
      </c>
      <c r="B483" s="1">
        <f ca="1">IFERROR(__xludf.DUMMYFUNCTION("""COMPUTED_VALUE"""),3236.45)</f>
        <v>3236.45</v>
      </c>
      <c r="C483" s="3">
        <f t="shared" ca="1" si="14"/>
        <v>-1.1740816513481411E-2</v>
      </c>
      <c r="D483">
        <f t="shared" ca="1" si="13"/>
        <v>3226.5102040816328</v>
      </c>
    </row>
    <row r="484" spans="1:4" x14ac:dyDescent="0.25">
      <c r="A484" s="2">
        <f ca="1">IFERROR(__xludf.DUMMYFUNCTION("""COMPUTED_VALUE"""),45086.6458333333)</f>
        <v>45086.645833333299</v>
      </c>
      <c r="B484" s="1">
        <f ca="1">IFERROR(__xludf.DUMMYFUNCTION("""COMPUTED_VALUE"""),3209.3)</f>
        <v>3209.3</v>
      </c>
      <c r="C484" s="3">
        <f t="shared" ca="1" si="14"/>
        <v>-8.3888210848304893E-3</v>
      </c>
      <c r="D484">
        <f t="shared" ca="1" si="13"/>
        <v>3228.876530612245</v>
      </c>
    </row>
    <row r="485" spans="1:4" x14ac:dyDescent="0.25">
      <c r="A485" s="2">
        <f ca="1">IFERROR(__xludf.DUMMYFUNCTION("""COMPUTED_VALUE"""),45089.6458333333)</f>
        <v>45089.645833333299</v>
      </c>
      <c r="B485" s="1">
        <f ca="1">IFERROR(__xludf.DUMMYFUNCTION("""COMPUTED_VALUE"""),3246.9)</f>
        <v>3246.9</v>
      </c>
      <c r="C485" s="3">
        <f t="shared" ca="1" si="14"/>
        <v>1.1715950518804695E-2</v>
      </c>
      <c r="D485">
        <f t="shared" ca="1" si="13"/>
        <v>3230.652040816326</v>
      </c>
    </row>
    <row r="486" spans="1:4" x14ac:dyDescent="0.25">
      <c r="A486" s="2">
        <f ca="1">IFERROR(__xludf.DUMMYFUNCTION("""COMPUTED_VALUE"""),45090.6458333333)</f>
        <v>45090.645833333299</v>
      </c>
      <c r="B486" s="1">
        <f ca="1">IFERROR(__xludf.DUMMYFUNCTION("""COMPUTED_VALUE"""),3243.7)</f>
        <v>3243.7</v>
      </c>
      <c r="C486" s="3">
        <f t="shared" ca="1" si="14"/>
        <v>-9.8555545289361318E-4</v>
      </c>
      <c r="D486">
        <f t="shared" ca="1" si="13"/>
        <v>3233.3255102040812</v>
      </c>
    </row>
    <row r="487" spans="1:4" x14ac:dyDescent="0.25">
      <c r="A487" s="2">
        <f ca="1">IFERROR(__xludf.DUMMYFUNCTION("""COMPUTED_VALUE"""),45091.6458333333)</f>
        <v>45091.645833333299</v>
      </c>
      <c r="B487" s="1">
        <f ca="1">IFERROR(__xludf.DUMMYFUNCTION("""COMPUTED_VALUE"""),3251.05)</f>
        <v>3251.05</v>
      </c>
      <c r="C487" s="3">
        <f t="shared" ca="1" si="14"/>
        <v>2.2659308814009815E-3</v>
      </c>
      <c r="D487">
        <f t="shared" ca="1" si="13"/>
        <v>3235.4642857142858</v>
      </c>
    </row>
    <row r="488" spans="1:4" x14ac:dyDescent="0.25">
      <c r="A488" s="2">
        <f ca="1">IFERROR(__xludf.DUMMYFUNCTION("""COMPUTED_VALUE"""),45092.6458333333)</f>
        <v>45092.645833333299</v>
      </c>
      <c r="B488" s="1">
        <f ca="1">IFERROR(__xludf.DUMMYFUNCTION("""COMPUTED_VALUE"""),3216.3)</f>
        <v>3216.3</v>
      </c>
      <c r="C488" s="3">
        <f t="shared" ca="1" si="14"/>
        <v>-1.0688854370126575E-2</v>
      </c>
      <c r="D488">
        <f t="shared" ca="1" si="13"/>
        <v>3236.3857142857141</v>
      </c>
    </row>
    <row r="489" spans="1:4" x14ac:dyDescent="0.25">
      <c r="A489" s="2">
        <f ca="1">IFERROR(__xludf.DUMMYFUNCTION("""COMPUTED_VALUE"""),45093.6458333333)</f>
        <v>45093.645833333299</v>
      </c>
      <c r="B489" s="1">
        <f ca="1">IFERROR(__xludf.DUMMYFUNCTION("""COMPUTED_VALUE"""),3174.9)</f>
        <v>3174.9</v>
      </c>
      <c r="C489" s="3">
        <f t="shared" ca="1" si="14"/>
        <v>-1.2871933588284703E-2</v>
      </c>
      <c r="D489">
        <f t="shared" ca="1" si="13"/>
        <v>3236.7183673469385</v>
      </c>
    </row>
    <row r="490" spans="1:4" x14ac:dyDescent="0.25">
      <c r="A490" s="2">
        <f ca="1">IFERROR(__xludf.DUMMYFUNCTION("""COMPUTED_VALUE"""),45096.6458333333)</f>
        <v>45096.645833333299</v>
      </c>
      <c r="B490" s="1">
        <f ca="1">IFERROR(__xludf.DUMMYFUNCTION("""COMPUTED_VALUE"""),3210.4)</f>
        <v>3210.4</v>
      </c>
      <c r="C490" s="3">
        <f t="shared" ca="1" si="14"/>
        <v>1.1181454534001071E-2</v>
      </c>
      <c r="D490">
        <f t="shared" ca="1" si="13"/>
        <v>3235.3938775510196</v>
      </c>
    </row>
    <row r="491" spans="1:4" x14ac:dyDescent="0.25">
      <c r="A491" s="2">
        <f ca="1">IFERROR(__xludf.DUMMYFUNCTION("""COMPUTED_VALUE"""),45097.6458333333)</f>
        <v>45097.645833333299</v>
      </c>
      <c r="B491" s="1">
        <f ca="1">IFERROR(__xludf.DUMMYFUNCTION("""COMPUTED_VALUE"""),3227.7)</f>
        <v>3227.7</v>
      </c>
      <c r="C491" s="3">
        <f t="shared" ca="1" si="14"/>
        <v>5.3887366060303161E-3</v>
      </c>
      <c r="D491">
        <f t="shared" ca="1" si="13"/>
        <v>3235.183673469387</v>
      </c>
    </row>
    <row r="492" spans="1:4" x14ac:dyDescent="0.25">
      <c r="A492" s="2">
        <f ca="1">IFERROR(__xludf.DUMMYFUNCTION("""COMPUTED_VALUE"""),45098.6458333333)</f>
        <v>45098.645833333299</v>
      </c>
      <c r="B492" s="1">
        <f ca="1">IFERROR(__xludf.DUMMYFUNCTION("""COMPUTED_VALUE"""),3258.2)</f>
        <v>3258.2</v>
      </c>
      <c r="C492" s="3">
        <f t="shared" ca="1" si="14"/>
        <v>9.4494531709886295E-3</v>
      </c>
      <c r="D492">
        <f t="shared" ca="1" si="13"/>
        <v>3234.4551020408162</v>
      </c>
    </row>
    <row r="493" spans="1:4" x14ac:dyDescent="0.25">
      <c r="A493" s="2">
        <f ca="1">IFERROR(__xludf.DUMMYFUNCTION("""COMPUTED_VALUE"""),45099.6458333333)</f>
        <v>45099.645833333299</v>
      </c>
      <c r="B493" s="1">
        <f ca="1">IFERROR(__xludf.DUMMYFUNCTION("""COMPUTED_VALUE"""),3238.5)</f>
        <v>3238.5</v>
      </c>
      <c r="C493" s="3">
        <f t="shared" ca="1" si="14"/>
        <v>-6.0462832238658828E-3</v>
      </c>
      <c r="D493">
        <f t="shared" ca="1" si="13"/>
        <v>3235.3612244897954</v>
      </c>
    </row>
    <row r="494" spans="1:4" x14ac:dyDescent="0.25">
      <c r="A494" s="2">
        <f ca="1">IFERROR(__xludf.DUMMYFUNCTION("""COMPUTED_VALUE"""),45100.6458333333)</f>
        <v>45100.645833333299</v>
      </c>
      <c r="B494" s="1">
        <f ca="1">IFERROR(__xludf.DUMMYFUNCTION("""COMPUTED_VALUE"""),3216.35)</f>
        <v>3216.35</v>
      </c>
      <c r="C494" s="3">
        <f t="shared" ca="1" si="14"/>
        <v>-6.8395862281920919E-3</v>
      </c>
      <c r="D494">
        <f t="shared" ca="1" si="13"/>
        <v>3235.2969387755106</v>
      </c>
    </row>
    <row r="495" spans="1:4" x14ac:dyDescent="0.25">
      <c r="A495" s="2">
        <f ca="1">IFERROR(__xludf.DUMMYFUNCTION("""COMPUTED_VALUE"""),45103.6458333333)</f>
        <v>45103.645833333299</v>
      </c>
      <c r="B495" s="1">
        <f ca="1">IFERROR(__xludf.DUMMYFUNCTION("""COMPUTED_VALUE"""),3189.65)</f>
        <v>3189.65</v>
      </c>
      <c r="C495" s="3">
        <f t="shared" ca="1" si="14"/>
        <v>-8.3013353646213314E-3</v>
      </c>
      <c r="D495">
        <f t="shared" ca="1" si="13"/>
        <v>3235.8581632653063</v>
      </c>
    </row>
    <row r="496" spans="1:4" x14ac:dyDescent="0.25">
      <c r="A496" s="2">
        <f ca="1">IFERROR(__xludf.DUMMYFUNCTION("""COMPUTED_VALUE"""),45104.6458333333)</f>
        <v>45104.645833333299</v>
      </c>
      <c r="B496" s="1">
        <f ca="1">IFERROR(__xludf.DUMMYFUNCTION("""COMPUTED_VALUE"""),3197.35)</f>
        <v>3197.35</v>
      </c>
      <c r="C496" s="3">
        <f t="shared" ca="1" si="14"/>
        <v>2.4140579687425951E-3</v>
      </c>
      <c r="D496">
        <f t="shared" ca="1" si="13"/>
        <v>3236.8816326530614</v>
      </c>
    </row>
    <row r="497" spans="1:4" x14ac:dyDescent="0.25">
      <c r="A497" s="2">
        <f ca="1">IFERROR(__xludf.DUMMYFUNCTION("""COMPUTED_VALUE"""),45105.6458333333)</f>
        <v>45105.645833333299</v>
      </c>
      <c r="B497" s="1">
        <f ca="1">IFERROR(__xludf.DUMMYFUNCTION("""COMPUTED_VALUE"""),3215.45)</f>
        <v>3215.45</v>
      </c>
      <c r="C497" s="3">
        <f t="shared" ca="1" si="14"/>
        <v>5.6609379642516174E-3</v>
      </c>
      <c r="D497">
        <f t="shared" ca="1" si="13"/>
        <v>3238.2408163265309</v>
      </c>
    </row>
    <row r="498" spans="1:4" x14ac:dyDescent="0.25">
      <c r="A498" s="2">
        <f ca="1">IFERROR(__xludf.DUMMYFUNCTION("""COMPUTED_VALUE"""),45107.6458333333)</f>
        <v>45107.645833333299</v>
      </c>
      <c r="B498" s="1">
        <f ca="1">IFERROR(__xludf.DUMMYFUNCTION("""COMPUTED_VALUE"""),3302.25)</f>
        <v>3302.25</v>
      </c>
      <c r="C498" s="3">
        <f t="shared" ca="1" si="14"/>
        <v>2.6994666376401494E-2</v>
      </c>
      <c r="D498">
        <f t="shared" ca="1" si="13"/>
        <v>3240.8091836734707</v>
      </c>
    </row>
    <row r="499" spans="1:4" x14ac:dyDescent="0.25">
      <c r="A499" s="2">
        <f ca="1">IFERROR(__xludf.DUMMYFUNCTION("""COMPUTED_VALUE"""),45110.6458333333)</f>
        <v>45110.645833333299</v>
      </c>
      <c r="B499" s="1">
        <f ca="1">IFERROR(__xludf.DUMMYFUNCTION("""COMPUTED_VALUE"""),3272.3)</f>
        <v>3272.3</v>
      </c>
      <c r="C499" s="3">
        <f t="shared" ca="1" si="14"/>
        <v>-9.0695737754560735E-3</v>
      </c>
      <c r="D499">
        <f t="shared" ca="1" si="13"/>
        <v>3244.8387755102049</v>
      </c>
    </row>
    <row r="500" spans="1:4" x14ac:dyDescent="0.25">
      <c r="A500" s="2">
        <f ca="1">IFERROR(__xludf.DUMMYFUNCTION("""COMPUTED_VALUE"""),45111.6458333333)</f>
        <v>45111.645833333299</v>
      </c>
      <c r="B500" s="1">
        <f ca="1">IFERROR(__xludf.DUMMYFUNCTION("""COMPUTED_VALUE"""),3308.85)</f>
        <v>3308.85</v>
      </c>
      <c r="C500" s="3">
        <f t="shared" ca="1" si="14"/>
        <v>1.1169513797634607E-2</v>
      </c>
      <c r="D500">
        <f t="shared" ref="D500:D563" ca="1" si="15">AVERAGE(B451:B499)</f>
        <v>3247.1132653061227</v>
      </c>
    </row>
    <row r="501" spans="1:4" x14ac:dyDescent="0.25">
      <c r="A501" s="2">
        <f ca="1">IFERROR(__xludf.DUMMYFUNCTION("""COMPUTED_VALUE"""),45112.6458333333)</f>
        <v>45112.645833333299</v>
      </c>
      <c r="B501" s="1">
        <f ca="1">IFERROR(__xludf.DUMMYFUNCTION("""COMPUTED_VALUE"""),3319.95)</f>
        <v>3319.95</v>
      </c>
      <c r="C501" s="3">
        <f t="shared" ca="1" si="14"/>
        <v>3.3546398295480027E-3</v>
      </c>
      <c r="D501">
        <f t="shared" ca="1" si="15"/>
        <v>3249.8489795918367</v>
      </c>
    </row>
    <row r="502" spans="1:4" x14ac:dyDescent="0.25">
      <c r="A502" s="2">
        <f ca="1">IFERROR(__xludf.DUMMYFUNCTION("""COMPUTED_VALUE"""),45113.6458333333)</f>
        <v>45113.645833333299</v>
      </c>
      <c r="B502" s="1">
        <f ca="1">IFERROR(__xludf.DUMMYFUNCTION("""COMPUTED_VALUE"""),3322.9)</f>
        <v>3322.9</v>
      </c>
      <c r="C502" s="3">
        <f t="shared" ca="1" si="14"/>
        <v>8.8856759890970432E-4</v>
      </c>
      <c r="D502">
        <f t="shared" ca="1" si="15"/>
        <v>3252.7867346938774</v>
      </c>
    </row>
    <row r="503" spans="1:4" x14ac:dyDescent="0.25">
      <c r="A503" s="2">
        <f ca="1">IFERROR(__xludf.DUMMYFUNCTION("""COMPUTED_VALUE"""),45114.6458333333)</f>
        <v>45114.645833333299</v>
      </c>
      <c r="B503" s="1">
        <f ca="1">IFERROR(__xludf.DUMMYFUNCTION("""COMPUTED_VALUE"""),3329.25)</f>
        <v>3329.25</v>
      </c>
      <c r="C503" s="3">
        <f t="shared" ca="1" si="14"/>
        <v>1.9109813716933729E-3</v>
      </c>
      <c r="D503">
        <f t="shared" ca="1" si="15"/>
        <v>3255.3326530612244</v>
      </c>
    </row>
    <row r="504" spans="1:4" x14ac:dyDescent="0.25">
      <c r="A504" s="2">
        <f ca="1">IFERROR(__xludf.DUMMYFUNCTION("""COMPUTED_VALUE"""),45117.6458333333)</f>
        <v>45117.645833333299</v>
      </c>
      <c r="B504" s="1">
        <f ca="1">IFERROR(__xludf.DUMMYFUNCTION("""COMPUTED_VALUE"""),3271.95)</f>
        <v>3271.95</v>
      </c>
      <c r="C504" s="3">
        <f t="shared" ca="1" si="14"/>
        <v>-1.7211083577382349E-2</v>
      </c>
      <c r="D504">
        <f t="shared" ca="1" si="15"/>
        <v>3258.2163265306122</v>
      </c>
    </row>
    <row r="505" spans="1:4" x14ac:dyDescent="0.25">
      <c r="A505" s="2">
        <f ca="1">IFERROR(__xludf.DUMMYFUNCTION("""COMPUTED_VALUE"""),45118.6458333333)</f>
        <v>45118.645833333299</v>
      </c>
      <c r="B505" s="1">
        <f ca="1">IFERROR(__xludf.DUMMYFUNCTION("""COMPUTED_VALUE"""),3272.4)</f>
        <v>3272.4</v>
      </c>
      <c r="C505" s="3">
        <f t="shared" ca="1" si="14"/>
        <v>1.3753266400778522E-4</v>
      </c>
      <c r="D505">
        <f t="shared" ca="1" si="15"/>
        <v>3259.2918367346938</v>
      </c>
    </row>
    <row r="506" spans="1:4" x14ac:dyDescent="0.25">
      <c r="A506" s="2">
        <f ca="1">IFERROR(__xludf.DUMMYFUNCTION("""COMPUTED_VALUE"""),45119.6458333333)</f>
        <v>45119.645833333299</v>
      </c>
      <c r="B506" s="1">
        <f ca="1">IFERROR(__xludf.DUMMYFUNCTION("""COMPUTED_VALUE"""),3259.9)</f>
        <v>3259.9</v>
      </c>
      <c r="C506" s="3">
        <f t="shared" ca="1" si="14"/>
        <v>-3.8198264270871531E-3</v>
      </c>
      <c r="D506">
        <f t="shared" ca="1" si="15"/>
        <v>3260.373469387755</v>
      </c>
    </row>
    <row r="507" spans="1:4" x14ac:dyDescent="0.25">
      <c r="A507" s="2">
        <f ca="1">IFERROR(__xludf.DUMMYFUNCTION("""COMPUTED_VALUE"""),45120.6458333333)</f>
        <v>45120.645833333299</v>
      </c>
      <c r="B507" s="1">
        <f ca="1">IFERROR(__xludf.DUMMYFUNCTION("""COMPUTED_VALUE"""),3340.55)</f>
        <v>3340.55</v>
      </c>
      <c r="C507" s="3">
        <f t="shared" ca="1" si="14"/>
        <v>2.4740022700082853E-2</v>
      </c>
      <c r="D507">
        <f t="shared" ca="1" si="15"/>
        <v>3262.0061224489796</v>
      </c>
    </row>
    <row r="508" spans="1:4" x14ac:dyDescent="0.25">
      <c r="A508" s="2">
        <f ca="1">IFERROR(__xludf.DUMMYFUNCTION("""COMPUTED_VALUE"""),45121.6458333333)</f>
        <v>45121.645833333299</v>
      </c>
      <c r="B508" s="1">
        <f ca="1">IFERROR(__xludf.DUMMYFUNCTION("""COMPUTED_VALUE"""),3514.65)</f>
        <v>3514.65</v>
      </c>
      <c r="C508" s="3">
        <f t="shared" ca="1" si="14"/>
        <v>5.2117166334884946E-2</v>
      </c>
      <c r="D508">
        <f t="shared" ca="1" si="15"/>
        <v>3264.4520408163257</v>
      </c>
    </row>
    <row r="509" spans="1:4" x14ac:dyDescent="0.25">
      <c r="A509" s="2">
        <f ca="1">IFERROR(__xludf.DUMMYFUNCTION("""COMPUTED_VALUE"""),45124.6458333333)</f>
        <v>45124.645833333299</v>
      </c>
      <c r="B509" s="1">
        <f ca="1">IFERROR(__xludf.DUMMYFUNCTION("""COMPUTED_VALUE"""),3491.7)</f>
        <v>3491.7</v>
      </c>
      <c r="C509" s="3">
        <f t="shared" ca="1" si="14"/>
        <v>-6.5298109342325043E-3</v>
      </c>
      <c r="D509">
        <f t="shared" ca="1" si="15"/>
        <v>3270.2469387755095</v>
      </c>
    </row>
    <row r="510" spans="1:4" x14ac:dyDescent="0.25">
      <c r="A510" s="2">
        <f ca="1">IFERROR(__xludf.DUMMYFUNCTION("""COMPUTED_VALUE"""),45125.6458333333)</f>
        <v>45125.645833333299</v>
      </c>
      <c r="B510" s="1">
        <f ca="1">IFERROR(__xludf.DUMMYFUNCTION("""COMPUTED_VALUE"""),3496.85)</f>
        <v>3496.85</v>
      </c>
      <c r="C510" s="3">
        <f t="shared" ca="1" si="14"/>
        <v>1.4749262536873419E-3</v>
      </c>
      <c r="D510">
        <f t="shared" ca="1" si="15"/>
        <v>3275.1673469387752</v>
      </c>
    </row>
    <row r="511" spans="1:4" x14ac:dyDescent="0.25">
      <c r="A511" s="2">
        <f ca="1">IFERROR(__xludf.DUMMYFUNCTION("""COMPUTED_VALUE"""),45126.6458333333)</f>
        <v>45126.645833333299</v>
      </c>
      <c r="B511" s="1">
        <f ca="1">IFERROR(__xludf.DUMMYFUNCTION("""COMPUTED_VALUE"""),3470.05)</f>
        <v>3470.05</v>
      </c>
      <c r="C511" s="3">
        <f t="shared" ca="1" si="14"/>
        <v>-7.6640404935870076E-3</v>
      </c>
      <c r="D511">
        <f t="shared" ca="1" si="15"/>
        <v>3279.5265306122446</v>
      </c>
    </row>
    <row r="512" spans="1:4" x14ac:dyDescent="0.25">
      <c r="A512" s="2">
        <f ca="1">IFERROR(__xludf.DUMMYFUNCTION("""COMPUTED_VALUE"""),45127.6458333333)</f>
        <v>45127.645833333299</v>
      </c>
      <c r="B512" s="1">
        <f ca="1">IFERROR(__xludf.DUMMYFUNCTION("""COMPUTED_VALUE"""),3463.3)</f>
        <v>3463.3</v>
      </c>
      <c r="C512" s="3">
        <f t="shared" ca="1" si="14"/>
        <v>-1.9452169277099753E-3</v>
      </c>
      <c r="D512">
        <f t="shared" ca="1" si="15"/>
        <v>3283.2663265306114</v>
      </c>
    </row>
    <row r="513" spans="1:4" x14ac:dyDescent="0.25">
      <c r="A513" s="2">
        <f ca="1">IFERROR(__xludf.DUMMYFUNCTION("""COMPUTED_VALUE"""),45128.6458333333)</f>
        <v>45128.645833333299</v>
      </c>
      <c r="B513" s="1">
        <f ca="1">IFERROR(__xludf.DUMMYFUNCTION("""COMPUTED_VALUE"""),3368.3)</f>
        <v>3368.3</v>
      </c>
      <c r="C513" s="3">
        <f t="shared" ca="1" si="14"/>
        <v>-2.7430485375220165E-2</v>
      </c>
      <c r="D513">
        <f t="shared" ca="1" si="15"/>
        <v>3286.9632653061217</v>
      </c>
    </row>
    <row r="514" spans="1:4" x14ac:dyDescent="0.25">
      <c r="A514" s="2">
        <f ca="1">IFERROR(__xludf.DUMMYFUNCTION("""COMPUTED_VALUE"""),45131.6458333333)</f>
        <v>45131.645833333299</v>
      </c>
      <c r="B514" s="1">
        <f ca="1">IFERROR(__xludf.DUMMYFUNCTION("""COMPUTED_VALUE"""),3394.75)</f>
        <v>3394.75</v>
      </c>
      <c r="C514" s="3">
        <f t="shared" ca="1" si="14"/>
        <v>7.8526259537451577E-3</v>
      </c>
      <c r="D514">
        <f t="shared" ca="1" si="15"/>
        <v>3288.8816326530605</v>
      </c>
    </row>
    <row r="515" spans="1:4" x14ac:dyDescent="0.25">
      <c r="A515" s="2">
        <f ca="1">IFERROR(__xludf.DUMMYFUNCTION("""COMPUTED_VALUE"""),45132.6458333333)</f>
        <v>45132.645833333299</v>
      </c>
      <c r="B515" s="1">
        <f ca="1">IFERROR(__xludf.DUMMYFUNCTION("""COMPUTED_VALUE"""),3399.15)</f>
        <v>3399.15</v>
      </c>
      <c r="C515" s="3">
        <f t="shared" ca="1" si="14"/>
        <v>1.2961190072906961E-3</v>
      </c>
      <c r="D515">
        <f t="shared" ca="1" si="15"/>
        <v>3291.7326530612236</v>
      </c>
    </row>
    <row r="516" spans="1:4" x14ac:dyDescent="0.25">
      <c r="A516" s="2">
        <f ca="1">IFERROR(__xludf.DUMMYFUNCTION("""COMPUTED_VALUE"""),45133.6458333333)</f>
        <v>45133.645833333299</v>
      </c>
      <c r="B516" s="1">
        <f ca="1">IFERROR(__xludf.DUMMYFUNCTION("""COMPUTED_VALUE"""),3388.3)</f>
        <v>3388.3</v>
      </c>
      <c r="C516" s="3">
        <f t="shared" ref="C516:C579" ca="1" si="16">(B516-B515)/B515</f>
        <v>-3.1919744642042594E-3</v>
      </c>
      <c r="D516">
        <f t="shared" ca="1" si="15"/>
        <v>3294.6102040816313</v>
      </c>
    </row>
    <row r="517" spans="1:4" x14ac:dyDescent="0.25">
      <c r="A517" s="2">
        <f ca="1">IFERROR(__xludf.DUMMYFUNCTION("""COMPUTED_VALUE"""),45134.6458333333)</f>
        <v>45134.645833333299</v>
      </c>
      <c r="B517" s="1">
        <f ca="1">IFERROR(__xludf.DUMMYFUNCTION("""COMPUTED_VALUE"""),3396.9)</f>
        <v>3396.9</v>
      </c>
      <c r="C517" s="3">
        <f t="shared" ca="1" si="16"/>
        <v>2.5381459729067403E-3</v>
      </c>
      <c r="D517">
        <f t="shared" ca="1" si="15"/>
        <v>3298.2755102040805</v>
      </c>
    </row>
    <row r="518" spans="1:4" x14ac:dyDescent="0.25">
      <c r="A518" s="2">
        <f ca="1">IFERROR(__xludf.DUMMYFUNCTION("""COMPUTED_VALUE"""),45135.6458333333)</f>
        <v>45135.645833333299</v>
      </c>
      <c r="B518" s="1">
        <f ca="1">IFERROR(__xludf.DUMMYFUNCTION("""COMPUTED_VALUE"""),3355.4)</f>
        <v>3355.4</v>
      </c>
      <c r="C518" s="3">
        <f t="shared" ca="1" si="16"/>
        <v>-1.2217021401866408E-2</v>
      </c>
      <c r="D518">
        <f t="shared" ca="1" si="15"/>
        <v>3302.2969387755088</v>
      </c>
    </row>
    <row r="519" spans="1:4" x14ac:dyDescent="0.25">
      <c r="A519" s="2">
        <f ca="1">IFERROR(__xludf.DUMMYFUNCTION("""COMPUTED_VALUE"""),45138.6458333333)</f>
        <v>45138.645833333299</v>
      </c>
      <c r="B519" s="1">
        <f ca="1">IFERROR(__xludf.DUMMYFUNCTION("""COMPUTED_VALUE"""),3421.45)</f>
        <v>3421.45</v>
      </c>
      <c r="C519" s="3">
        <f t="shared" ca="1" si="16"/>
        <v>1.9684687369613079E-2</v>
      </c>
      <c r="D519">
        <f t="shared" ca="1" si="15"/>
        <v>3305.0020408163255</v>
      </c>
    </row>
    <row r="520" spans="1:4" x14ac:dyDescent="0.25">
      <c r="A520" s="2">
        <f ca="1">IFERROR(__xludf.DUMMYFUNCTION("""COMPUTED_VALUE"""),45139.6458333333)</f>
        <v>45139.645833333299</v>
      </c>
      <c r="B520" s="1">
        <f ca="1">IFERROR(__xludf.DUMMYFUNCTION("""COMPUTED_VALUE"""),3452.05)</f>
        <v>3452.05</v>
      </c>
      <c r="C520" s="3">
        <f t="shared" ca="1" si="16"/>
        <v>8.9435765538003961E-3</v>
      </c>
      <c r="D520">
        <f t="shared" ca="1" si="15"/>
        <v>3307.5071428571418</v>
      </c>
    </row>
    <row r="521" spans="1:4" x14ac:dyDescent="0.25">
      <c r="A521" s="2">
        <f ca="1">IFERROR(__xludf.DUMMYFUNCTION("""COMPUTED_VALUE"""),45140.6458333333)</f>
        <v>45140.645833333299</v>
      </c>
      <c r="B521" s="1">
        <f ca="1">IFERROR(__xludf.DUMMYFUNCTION("""COMPUTED_VALUE"""),3440.65)</f>
        <v>3440.65</v>
      </c>
      <c r="C521" s="3">
        <f t="shared" ca="1" si="16"/>
        <v>-3.3023855390275606E-3</v>
      </c>
      <c r="D521">
        <f t="shared" ca="1" si="15"/>
        <v>3310.6704081632643</v>
      </c>
    </row>
    <row r="522" spans="1:4" x14ac:dyDescent="0.25">
      <c r="A522" s="2">
        <f ca="1">IFERROR(__xludf.DUMMYFUNCTION("""COMPUTED_VALUE"""),45141.6458333333)</f>
        <v>45141.645833333299</v>
      </c>
      <c r="B522" s="1">
        <f ca="1">IFERROR(__xludf.DUMMYFUNCTION("""COMPUTED_VALUE"""),3399.95)</f>
        <v>3399.95</v>
      </c>
      <c r="C522" s="3">
        <f t="shared" ca="1" si="16"/>
        <v>-1.1829160187755299E-2</v>
      </c>
      <c r="D522">
        <f t="shared" ca="1" si="15"/>
        <v>3313.4724489795904</v>
      </c>
    </row>
    <row r="523" spans="1:4" x14ac:dyDescent="0.25">
      <c r="A523" s="2">
        <f ca="1">IFERROR(__xludf.DUMMYFUNCTION("""COMPUTED_VALUE"""),45142.6458333333)</f>
        <v>45142.645833333299</v>
      </c>
      <c r="B523" s="1">
        <f ca="1">IFERROR(__xludf.DUMMYFUNCTION("""COMPUTED_VALUE"""),3443.55)</f>
        <v>3443.55</v>
      </c>
      <c r="C523" s="3">
        <f t="shared" ca="1" si="16"/>
        <v>1.2823717995852989E-2</v>
      </c>
      <c r="D523">
        <f t="shared" ca="1" si="15"/>
        <v>3315.6448979591833</v>
      </c>
    </row>
    <row r="524" spans="1:4" x14ac:dyDescent="0.25">
      <c r="A524" s="2">
        <f ca="1">IFERROR(__xludf.DUMMYFUNCTION("""COMPUTED_VALUE"""),45145.6458333333)</f>
        <v>45145.645833333299</v>
      </c>
      <c r="B524" s="1">
        <f ca="1">IFERROR(__xludf.DUMMYFUNCTION("""COMPUTED_VALUE"""),3484.05)</f>
        <v>3484.05</v>
      </c>
      <c r="C524" s="3">
        <f t="shared" ca="1" si="16"/>
        <v>1.1761118613059196E-2</v>
      </c>
      <c r="D524">
        <f t="shared" ca="1" si="15"/>
        <v>3317.9846938775499</v>
      </c>
    </row>
    <row r="525" spans="1:4" x14ac:dyDescent="0.25">
      <c r="A525" s="2">
        <f ca="1">IFERROR(__xludf.DUMMYFUNCTION("""COMPUTED_VALUE"""),45146.6458333333)</f>
        <v>45146.645833333299</v>
      </c>
      <c r="B525" s="1">
        <f ca="1">IFERROR(__xludf.DUMMYFUNCTION("""COMPUTED_VALUE"""),3470.6)</f>
        <v>3470.6</v>
      </c>
      <c r="C525" s="3">
        <f t="shared" ca="1" si="16"/>
        <v>-3.8604497639242469E-3</v>
      </c>
      <c r="D525">
        <f t="shared" ca="1" si="15"/>
        <v>3321.3255102040807</v>
      </c>
    </row>
    <row r="526" spans="1:4" x14ac:dyDescent="0.25">
      <c r="A526" s="2">
        <f ca="1">IFERROR(__xludf.DUMMYFUNCTION("""COMPUTED_VALUE"""),45147.6458333333)</f>
        <v>45147.645833333299</v>
      </c>
      <c r="B526" s="1">
        <f ca="1">IFERROR(__xludf.DUMMYFUNCTION("""COMPUTED_VALUE"""),3462.5)</f>
        <v>3462.5</v>
      </c>
      <c r="C526" s="3">
        <f t="shared" ca="1" si="16"/>
        <v>-2.33389039359186E-3</v>
      </c>
      <c r="D526">
        <f t="shared" ca="1" si="15"/>
        <v>3324.4765306122445</v>
      </c>
    </row>
    <row r="527" spans="1:4" x14ac:dyDescent="0.25">
      <c r="A527" s="2">
        <f ca="1">IFERROR(__xludf.DUMMYFUNCTION("""COMPUTED_VALUE"""),45148.6458333333)</f>
        <v>45148.645833333299</v>
      </c>
      <c r="B527" s="1">
        <f ca="1">IFERROR(__xludf.DUMMYFUNCTION("""COMPUTED_VALUE"""),3442.1)</f>
        <v>3442.1</v>
      </c>
      <c r="C527" s="3">
        <f t="shared" ca="1" si="16"/>
        <v>-5.8916967509025538E-3</v>
      </c>
      <c r="D527">
        <f t="shared" ca="1" si="15"/>
        <v>3328.0071428571423</v>
      </c>
    </row>
    <row r="528" spans="1:4" x14ac:dyDescent="0.25">
      <c r="A528" s="2">
        <f ca="1">IFERROR(__xludf.DUMMYFUNCTION("""COMPUTED_VALUE"""),45149.6458333333)</f>
        <v>45149.645833333299</v>
      </c>
      <c r="B528" s="1">
        <f ca="1">IFERROR(__xludf.DUMMYFUNCTION("""COMPUTED_VALUE"""),3448.8)</f>
        <v>3448.8</v>
      </c>
      <c r="C528" s="3">
        <f t="shared" ca="1" si="16"/>
        <v>1.946486156706741E-3</v>
      </c>
      <c r="D528">
        <f t="shared" ca="1" si="15"/>
        <v>3330.4173469387747</v>
      </c>
    </row>
    <row r="529" spans="1:4" x14ac:dyDescent="0.25">
      <c r="A529" s="2">
        <f ca="1">IFERROR(__xludf.DUMMYFUNCTION("""COMPUTED_VALUE"""),45152.6458333333)</f>
        <v>45152.645833333299</v>
      </c>
      <c r="B529" s="1">
        <f ca="1">IFERROR(__xludf.DUMMYFUNCTION("""COMPUTED_VALUE"""),3449.85)</f>
        <v>3449.85</v>
      </c>
      <c r="C529" s="3">
        <f t="shared" ca="1" si="16"/>
        <v>3.0445372303401969E-4</v>
      </c>
      <c r="D529">
        <f t="shared" ca="1" si="15"/>
        <v>3333.3397959183662</v>
      </c>
    </row>
    <row r="530" spans="1:4" x14ac:dyDescent="0.25">
      <c r="A530" s="2">
        <f ca="1">IFERROR(__xludf.DUMMYFUNCTION("""COMPUTED_VALUE"""),45154.6458333333)</f>
        <v>45154.645833333299</v>
      </c>
      <c r="B530" s="1">
        <f ca="1">IFERROR(__xludf.DUMMYFUNCTION("""COMPUTED_VALUE"""),3458.4)</f>
        <v>3458.4</v>
      </c>
      <c r="C530" s="3">
        <f t="shared" ca="1" si="16"/>
        <v>2.4783686247228666E-3</v>
      </c>
      <c r="D530">
        <f t="shared" ca="1" si="15"/>
        <v>3336.6244897959173</v>
      </c>
    </row>
    <row r="531" spans="1:4" x14ac:dyDescent="0.25">
      <c r="A531" s="2">
        <f ca="1">IFERROR(__xludf.DUMMYFUNCTION("""COMPUTED_VALUE"""),45155.6458333333)</f>
        <v>45155.645833333299</v>
      </c>
      <c r="B531" s="1">
        <f ca="1">IFERROR(__xludf.DUMMYFUNCTION("""COMPUTED_VALUE"""),3435.75)</f>
        <v>3435.75</v>
      </c>
      <c r="C531" s="3">
        <f t="shared" ca="1" si="16"/>
        <v>-6.5492713393477016E-3</v>
      </c>
      <c r="D531">
        <f t="shared" ca="1" si="15"/>
        <v>3341.2387755102031</v>
      </c>
    </row>
    <row r="532" spans="1:4" x14ac:dyDescent="0.25">
      <c r="A532" s="2">
        <f ca="1">IFERROR(__xludf.DUMMYFUNCTION("""COMPUTED_VALUE"""),45156.6458333333)</f>
        <v>45156.645833333299</v>
      </c>
      <c r="B532" s="1">
        <f ca="1">IFERROR(__xludf.DUMMYFUNCTION("""COMPUTED_VALUE"""),3367.1)</f>
        <v>3367.1</v>
      </c>
      <c r="C532" s="3">
        <f t="shared" ca="1" si="16"/>
        <v>-1.9981081277741421E-2</v>
      </c>
      <c r="D532">
        <f t="shared" ca="1" si="15"/>
        <v>3344.5214285714278</v>
      </c>
    </row>
    <row r="533" spans="1:4" x14ac:dyDescent="0.25">
      <c r="A533" s="2">
        <f ca="1">IFERROR(__xludf.DUMMYFUNCTION("""COMPUTED_VALUE"""),45159.6458333333)</f>
        <v>45159.645833333299</v>
      </c>
      <c r="B533" s="1">
        <f ca="1">IFERROR(__xludf.DUMMYFUNCTION("""COMPUTED_VALUE"""),3401.65)</f>
        <v>3401.65</v>
      </c>
      <c r="C533" s="3">
        <f t="shared" ca="1" si="16"/>
        <v>1.0261055507706984E-2</v>
      </c>
      <c r="D533">
        <f t="shared" ca="1" si="15"/>
        <v>3347.1877551020398</v>
      </c>
    </row>
    <row r="534" spans="1:4" x14ac:dyDescent="0.25">
      <c r="A534" s="2">
        <f ca="1">IFERROR(__xludf.DUMMYFUNCTION("""COMPUTED_VALUE"""),45160.6458333333)</f>
        <v>45160.645833333299</v>
      </c>
      <c r="B534" s="1">
        <f ca="1">IFERROR(__xludf.DUMMYFUNCTION("""COMPUTED_VALUE"""),3382.15)</f>
        <v>3382.15</v>
      </c>
      <c r="C534" s="3">
        <f t="shared" ca="1" si="16"/>
        <v>-5.7325121632149098E-3</v>
      </c>
      <c r="D534">
        <f t="shared" ca="1" si="15"/>
        <v>3351.1132653061218</v>
      </c>
    </row>
    <row r="535" spans="1:4" x14ac:dyDescent="0.25">
      <c r="A535" s="2">
        <f ca="1">IFERROR(__xludf.DUMMYFUNCTION("""COMPUTED_VALUE"""),45161.6458333333)</f>
        <v>45161.645833333299</v>
      </c>
      <c r="B535" s="1">
        <f ca="1">IFERROR(__xludf.DUMMYFUNCTION("""COMPUTED_VALUE"""),3398.25)</f>
        <v>3398.25</v>
      </c>
      <c r="C535" s="3">
        <f t="shared" ca="1" si="16"/>
        <v>4.7602856171370016E-3</v>
      </c>
      <c r="D535">
        <f t="shared" ca="1" si="15"/>
        <v>3353.8734693877541</v>
      </c>
    </row>
    <row r="536" spans="1:4" x14ac:dyDescent="0.25">
      <c r="A536" s="2">
        <f ca="1">IFERROR(__xludf.DUMMYFUNCTION("""COMPUTED_VALUE"""),45162.6458333333)</f>
        <v>45162.645833333299</v>
      </c>
      <c r="B536" s="1">
        <f ca="1">IFERROR(__xludf.DUMMYFUNCTION("""COMPUTED_VALUE"""),3387.75)</f>
        <v>3387.75</v>
      </c>
      <c r="C536" s="3">
        <f t="shared" ca="1" si="16"/>
        <v>-3.0898256455528582E-3</v>
      </c>
      <c r="D536">
        <f t="shared" ca="1" si="15"/>
        <v>3357.0275510204078</v>
      </c>
    </row>
    <row r="537" spans="1:4" x14ac:dyDescent="0.25">
      <c r="A537" s="2">
        <f ca="1">IFERROR(__xludf.DUMMYFUNCTION("""COMPUTED_VALUE"""),45163.6458333333)</f>
        <v>45163.645833333299</v>
      </c>
      <c r="B537" s="1">
        <f ca="1">IFERROR(__xludf.DUMMYFUNCTION("""COMPUTED_VALUE"""),3381.3)</f>
        <v>3381.3</v>
      </c>
      <c r="C537" s="3">
        <f t="shared" ca="1" si="16"/>
        <v>-1.9039185299977324E-3</v>
      </c>
      <c r="D537">
        <f t="shared" ca="1" si="15"/>
        <v>3359.8173469387752</v>
      </c>
    </row>
    <row r="538" spans="1:4" x14ac:dyDescent="0.25">
      <c r="A538" s="2">
        <f ca="1">IFERROR(__xludf.DUMMYFUNCTION("""COMPUTED_VALUE"""),45166.6458333333)</f>
        <v>45166.645833333299</v>
      </c>
      <c r="B538" s="1">
        <f ca="1">IFERROR(__xludf.DUMMYFUNCTION("""COMPUTED_VALUE"""),3375.55)</f>
        <v>3375.55</v>
      </c>
      <c r="C538" s="3">
        <f t="shared" ca="1" si="16"/>
        <v>-1.7005293821902817E-3</v>
      </c>
      <c r="D538">
        <f t="shared" ca="1" si="15"/>
        <v>3363.1846938775507</v>
      </c>
    </row>
    <row r="539" spans="1:4" x14ac:dyDescent="0.25">
      <c r="A539" s="2">
        <f ca="1">IFERROR(__xludf.DUMMYFUNCTION("""COMPUTED_VALUE"""),45167.6458333333)</f>
        <v>45167.645833333299</v>
      </c>
      <c r="B539" s="1">
        <f ca="1">IFERROR(__xludf.DUMMYFUNCTION("""COMPUTED_VALUE"""),3376.15)</f>
        <v>3376.15</v>
      </c>
      <c r="C539" s="3">
        <f t="shared" ca="1" si="16"/>
        <v>1.7774881130479744E-4</v>
      </c>
      <c r="D539">
        <f t="shared" ca="1" si="15"/>
        <v>3367.2795918367342</v>
      </c>
    </row>
    <row r="540" spans="1:4" x14ac:dyDescent="0.25">
      <c r="A540" s="2">
        <f ca="1">IFERROR(__xludf.DUMMYFUNCTION("""COMPUTED_VALUE"""),45168.6458333333)</f>
        <v>45168.645833333299</v>
      </c>
      <c r="B540" s="1">
        <f ca="1">IFERROR(__xludf.DUMMYFUNCTION("""COMPUTED_VALUE"""),3390.95)</f>
        <v>3390.95</v>
      </c>
      <c r="C540" s="3">
        <f t="shared" ca="1" si="16"/>
        <v>4.3836914829020416E-3</v>
      </c>
      <c r="D540">
        <f t="shared" ca="1" si="15"/>
        <v>3370.6622448979583</v>
      </c>
    </row>
    <row r="541" spans="1:4" x14ac:dyDescent="0.25">
      <c r="A541" s="2">
        <f ca="1">IFERROR(__xludf.DUMMYFUNCTION("""COMPUTED_VALUE"""),45169.6458333333)</f>
        <v>45169.645833333299</v>
      </c>
      <c r="B541" s="1">
        <f ca="1">IFERROR(__xludf.DUMMYFUNCTION("""COMPUTED_VALUE"""),3356.8)</f>
        <v>3356.8</v>
      </c>
      <c r="C541" s="3">
        <f t="shared" ca="1" si="16"/>
        <v>-1.0070924077323358E-2</v>
      </c>
      <c r="D541">
        <f t="shared" ca="1" si="15"/>
        <v>3373.99387755102</v>
      </c>
    </row>
    <row r="542" spans="1:4" x14ac:dyDescent="0.25">
      <c r="A542" s="2">
        <f ca="1">IFERROR(__xludf.DUMMYFUNCTION("""COMPUTED_VALUE"""),45170.6458333333)</f>
        <v>45170.645833333299</v>
      </c>
      <c r="B542" s="1">
        <f ca="1">IFERROR(__xludf.DUMMYFUNCTION("""COMPUTED_VALUE"""),3379.2)</f>
        <v>3379.2</v>
      </c>
      <c r="C542" s="3">
        <f t="shared" ca="1" si="16"/>
        <v>6.6730219256433609E-3</v>
      </c>
      <c r="D542">
        <f t="shared" ca="1" si="15"/>
        <v>3376.0061224489796</v>
      </c>
    </row>
    <row r="543" spans="1:4" x14ac:dyDescent="0.25">
      <c r="A543" s="2">
        <f ca="1">IFERROR(__xludf.DUMMYFUNCTION("""COMPUTED_VALUE"""),45173.6458333333)</f>
        <v>45173.645833333299</v>
      </c>
      <c r="B543" s="1">
        <f ca="1">IFERROR(__xludf.DUMMYFUNCTION("""COMPUTED_VALUE"""),3418.5)</f>
        <v>3418.5</v>
      </c>
      <c r="C543" s="3">
        <f t="shared" ca="1" si="16"/>
        <v>1.1629971590909146E-2</v>
      </c>
      <c r="D543">
        <f t="shared" ca="1" si="15"/>
        <v>3378.8775510204077</v>
      </c>
    </row>
    <row r="544" spans="1:4" x14ac:dyDescent="0.25">
      <c r="A544" s="2">
        <f ca="1">IFERROR(__xludf.DUMMYFUNCTION("""COMPUTED_VALUE"""),45174.6458333333)</f>
        <v>45174.645833333299</v>
      </c>
      <c r="B544" s="1">
        <f ca="1">IFERROR(__xludf.DUMMYFUNCTION("""COMPUTED_VALUE"""),3429.35)</f>
        <v>3429.35</v>
      </c>
      <c r="C544" s="3">
        <f t="shared" ca="1" si="16"/>
        <v>3.1739066842181979E-3</v>
      </c>
      <c r="D544">
        <f t="shared" ca="1" si="15"/>
        <v>3383.0030612244896</v>
      </c>
    </row>
    <row r="545" spans="1:4" x14ac:dyDescent="0.25">
      <c r="A545" s="2">
        <f ca="1">IFERROR(__xludf.DUMMYFUNCTION("""COMPUTED_VALUE"""),45175.6458333333)</f>
        <v>45175.645833333299</v>
      </c>
      <c r="B545" s="1">
        <f ca="1">IFERROR(__xludf.DUMMYFUNCTION("""COMPUTED_VALUE"""),3429.9)</f>
        <v>3429.9</v>
      </c>
      <c r="C545" s="3">
        <f t="shared" ca="1" si="16"/>
        <v>1.6038024698563339E-4</v>
      </c>
      <c r="D545">
        <f t="shared" ca="1" si="15"/>
        <v>3387.8948979591837</v>
      </c>
    </row>
    <row r="546" spans="1:4" x14ac:dyDescent="0.25">
      <c r="A546" s="2">
        <f ca="1">IFERROR(__xludf.DUMMYFUNCTION("""COMPUTED_VALUE"""),45176.6458333333)</f>
        <v>45176.645833333299</v>
      </c>
      <c r="B546" s="1">
        <f ca="1">IFERROR(__xludf.DUMMYFUNCTION("""COMPUTED_VALUE"""),3455.25)</f>
        <v>3455.25</v>
      </c>
      <c r="C546" s="3">
        <f t="shared" ca="1" si="16"/>
        <v>7.3908860316627039E-3</v>
      </c>
      <c r="D546">
        <f t="shared" ca="1" si="15"/>
        <v>3392.6408163265305</v>
      </c>
    </row>
    <row r="547" spans="1:4" x14ac:dyDescent="0.25">
      <c r="A547" s="2">
        <f ca="1">IFERROR(__xludf.DUMMYFUNCTION("""COMPUTED_VALUE"""),45177.6458333333)</f>
        <v>45177.645833333299</v>
      </c>
      <c r="B547" s="1">
        <f ca="1">IFERROR(__xludf.DUMMYFUNCTION("""COMPUTED_VALUE"""),3441.9)</f>
        <v>3441.9</v>
      </c>
      <c r="C547" s="3">
        <f t="shared" ca="1" si="16"/>
        <v>-3.8636856956804598E-3</v>
      </c>
      <c r="D547">
        <f t="shared" ca="1" si="15"/>
        <v>3397.5346938775506</v>
      </c>
    </row>
    <row r="548" spans="1:4" x14ac:dyDescent="0.25">
      <c r="A548" s="2">
        <f ca="1">IFERROR(__xludf.DUMMYFUNCTION("""COMPUTED_VALUE"""),45180.6458333333)</f>
        <v>45180.645833333299</v>
      </c>
      <c r="B548" s="1">
        <f ca="1">IFERROR(__xludf.DUMMYFUNCTION("""COMPUTED_VALUE"""),3480.65)</f>
        <v>3480.65</v>
      </c>
      <c r="C548" s="3">
        <f t="shared" ca="1" si="16"/>
        <v>1.1258316627444144E-2</v>
      </c>
      <c r="D548">
        <f t="shared" ca="1" si="15"/>
        <v>3400.3846938775509</v>
      </c>
    </row>
    <row r="549" spans="1:4" x14ac:dyDescent="0.25">
      <c r="A549" s="2">
        <f ca="1">IFERROR(__xludf.DUMMYFUNCTION("""COMPUTED_VALUE"""),45181.6458333333)</f>
        <v>45181.645833333299</v>
      </c>
      <c r="B549" s="1">
        <f ca="1">IFERROR(__xludf.DUMMYFUNCTION("""COMPUTED_VALUE"""),3580.8)</f>
        <v>3580.8</v>
      </c>
      <c r="C549" s="3">
        <f t="shared" ca="1" si="16"/>
        <v>2.8773361297458833E-2</v>
      </c>
      <c r="D549">
        <f t="shared" ca="1" si="15"/>
        <v>3404.6367346938778</v>
      </c>
    </row>
    <row r="550" spans="1:4" x14ac:dyDescent="0.25">
      <c r="A550" s="2">
        <f ca="1">IFERROR(__xludf.DUMMYFUNCTION("""COMPUTED_VALUE"""),45182.6458333333)</f>
        <v>45182.645833333299</v>
      </c>
      <c r="B550" s="1">
        <f ca="1">IFERROR(__xludf.DUMMYFUNCTION("""COMPUTED_VALUE"""),3567.85)</f>
        <v>3567.85</v>
      </c>
      <c r="C550" s="3">
        <f t="shared" ca="1" si="16"/>
        <v>-3.6165102770331411E-3</v>
      </c>
      <c r="D550">
        <f t="shared" ca="1" si="15"/>
        <v>3410.186734693878</v>
      </c>
    </row>
    <row r="551" spans="1:4" x14ac:dyDescent="0.25">
      <c r="A551" s="2">
        <f ca="1">IFERROR(__xludf.DUMMYFUNCTION("""COMPUTED_VALUE"""),45183.6458333333)</f>
        <v>45183.645833333299</v>
      </c>
      <c r="B551" s="1">
        <f ca="1">IFERROR(__xludf.DUMMYFUNCTION("""COMPUTED_VALUE"""),3560.05)</f>
        <v>3560.05</v>
      </c>
      <c r="C551" s="3">
        <f t="shared" ca="1" si="16"/>
        <v>-2.1861905629439937E-3</v>
      </c>
      <c r="D551">
        <f t="shared" ca="1" si="15"/>
        <v>3415.2459183673473</v>
      </c>
    </row>
    <row r="552" spans="1:4" x14ac:dyDescent="0.25">
      <c r="A552" s="2">
        <f ca="1">IFERROR(__xludf.DUMMYFUNCTION("""COMPUTED_VALUE"""),45184.6458333333)</f>
        <v>45184.645833333299</v>
      </c>
      <c r="B552" s="1">
        <f ca="1">IFERROR(__xludf.DUMMYFUNCTION("""COMPUTED_VALUE"""),3598.3)</f>
        <v>3598.3</v>
      </c>
      <c r="C552" s="3">
        <f t="shared" ca="1" si="16"/>
        <v>1.0744231120349433E-2</v>
      </c>
      <c r="D552">
        <f t="shared" ca="1" si="15"/>
        <v>3420.0857142857144</v>
      </c>
    </row>
    <row r="553" spans="1:4" x14ac:dyDescent="0.25">
      <c r="A553" s="2">
        <f ca="1">IFERROR(__xludf.DUMMYFUNCTION("""COMPUTED_VALUE"""),45187.6458333333)</f>
        <v>45187.645833333299</v>
      </c>
      <c r="B553" s="1">
        <f ca="1">IFERROR(__xludf.DUMMYFUNCTION("""COMPUTED_VALUE"""),3606.15)</f>
        <v>3606.15</v>
      </c>
      <c r="C553" s="3">
        <f t="shared" ca="1" si="16"/>
        <v>2.1815857488258089E-3</v>
      </c>
      <c r="D553">
        <f t="shared" ca="1" si="15"/>
        <v>3425.5765306122444</v>
      </c>
    </row>
    <row r="554" spans="1:4" x14ac:dyDescent="0.25">
      <c r="A554" s="2">
        <f ca="1">IFERROR(__xludf.DUMMYFUNCTION("""COMPUTED_VALUE"""),45189.6458333333)</f>
        <v>45189.645833333299</v>
      </c>
      <c r="B554" s="1">
        <f ca="1">IFERROR(__xludf.DUMMYFUNCTION("""COMPUTED_VALUE"""),3606.05)</f>
        <v>3606.05</v>
      </c>
      <c r="C554" s="3">
        <f t="shared" ca="1" si="16"/>
        <v>-2.773040500253984E-5</v>
      </c>
      <c r="D554">
        <f t="shared" ca="1" si="15"/>
        <v>3432.3969387755092</v>
      </c>
    </row>
    <row r="555" spans="1:4" x14ac:dyDescent="0.25">
      <c r="A555" s="2">
        <f ca="1">IFERROR(__xludf.DUMMYFUNCTION("""COMPUTED_VALUE"""),45190.6458333333)</f>
        <v>45190.645833333299</v>
      </c>
      <c r="B555" s="1">
        <f ca="1">IFERROR(__xludf.DUMMYFUNCTION("""COMPUTED_VALUE"""),3585.3)</f>
        <v>3585.3</v>
      </c>
      <c r="C555" s="3">
        <f t="shared" ca="1" si="16"/>
        <v>-5.7542186048446355E-3</v>
      </c>
      <c r="D555">
        <f t="shared" ca="1" si="15"/>
        <v>3439.2061224489785</v>
      </c>
    </row>
    <row r="556" spans="1:4" x14ac:dyDescent="0.25">
      <c r="A556" s="2">
        <f ca="1">IFERROR(__xludf.DUMMYFUNCTION("""COMPUTED_VALUE"""),45191.6458333333)</f>
        <v>45191.645833333299</v>
      </c>
      <c r="B556" s="1">
        <f ca="1">IFERROR(__xludf.DUMMYFUNCTION("""COMPUTED_VALUE"""),3603.65)</f>
        <v>3603.65</v>
      </c>
      <c r="C556" s="3">
        <f t="shared" ca="1" si="16"/>
        <v>5.1181212171923993E-3</v>
      </c>
      <c r="D556">
        <f t="shared" ca="1" si="15"/>
        <v>3445.846938775509</v>
      </c>
    </row>
    <row r="557" spans="1:4" x14ac:dyDescent="0.25">
      <c r="A557" s="2">
        <f ca="1">IFERROR(__xludf.DUMMYFUNCTION("""COMPUTED_VALUE"""),45194.6458333333)</f>
        <v>45194.645833333299</v>
      </c>
      <c r="B557" s="1">
        <f ca="1">IFERROR(__xludf.DUMMYFUNCTION("""COMPUTED_VALUE"""),3577.15)</f>
        <v>3577.15</v>
      </c>
      <c r="C557" s="3">
        <f t="shared" ca="1" si="16"/>
        <v>-7.3536553216877335E-3</v>
      </c>
      <c r="D557">
        <f t="shared" ca="1" si="15"/>
        <v>3451.2163265306108</v>
      </c>
    </row>
    <row r="558" spans="1:4" x14ac:dyDescent="0.25">
      <c r="A558" s="2">
        <f ca="1">IFERROR(__xludf.DUMMYFUNCTION("""COMPUTED_VALUE"""),45195.6458333333)</f>
        <v>45195.645833333299</v>
      </c>
      <c r="B558" s="1">
        <f ca="1">IFERROR(__xludf.DUMMYFUNCTION("""COMPUTED_VALUE"""),3585.7)</f>
        <v>3585.7</v>
      </c>
      <c r="C558" s="3">
        <f t="shared" ca="1" si="16"/>
        <v>2.3901709461442004E-3</v>
      </c>
      <c r="D558">
        <f t="shared" ca="1" si="15"/>
        <v>3452.4918367346922</v>
      </c>
    </row>
    <row r="559" spans="1:4" x14ac:dyDescent="0.25">
      <c r="A559" s="2">
        <f ca="1">IFERROR(__xludf.DUMMYFUNCTION("""COMPUTED_VALUE"""),45196.6458333333)</f>
        <v>45196.645833333299</v>
      </c>
      <c r="B559" s="1">
        <f ca="1">IFERROR(__xludf.DUMMYFUNCTION("""COMPUTED_VALUE"""),3589.3)</f>
        <v>3589.3</v>
      </c>
      <c r="C559" s="3">
        <f t="shared" ca="1" si="16"/>
        <v>1.0039880636975665E-3</v>
      </c>
      <c r="D559">
        <f t="shared" ca="1" si="15"/>
        <v>3454.4102040816315</v>
      </c>
    </row>
    <row r="560" spans="1:4" x14ac:dyDescent="0.25">
      <c r="A560" s="2">
        <f ca="1">IFERROR(__xludf.DUMMYFUNCTION("""COMPUTED_VALUE"""),45197.6458333333)</f>
        <v>45197.645833333299</v>
      </c>
      <c r="B560" s="1">
        <f ca="1">IFERROR(__xludf.DUMMYFUNCTION("""COMPUTED_VALUE"""),3536.75)</f>
        <v>3536.75</v>
      </c>
      <c r="C560" s="3">
        <f t="shared" ca="1" si="16"/>
        <v>-1.4640737748307519E-2</v>
      </c>
      <c r="D560">
        <f t="shared" ca="1" si="15"/>
        <v>3456.2969387755088</v>
      </c>
    </row>
    <row r="561" spans="1:4" x14ac:dyDescent="0.25">
      <c r="A561" s="2">
        <f ca="1">IFERROR(__xludf.DUMMYFUNCTION("""COMPUTED_VALUE"""),45198.6458333333)</f>
        <v>45198.645833333299</v>
      </c>
      <c r="B561" s="1">
        <f ca="1">IFERROR(__xludf.DUMMYFUNCTION("""COMPUTED_VALUE"""),3528.6)</f>
        <v>3528.6</v>
      </c>
      <c r="C561" s="3">
        <f t="shared" ca="1" si="16"/>
        <v>-2.3043754859687821E-3</v>
      </c>
      <c r="D561">
        <f t="shared" ca="1" si="15"/>
        <v>3457.6581632653042</v>
      </c>
    </row>
    <row r="562" spans="1:4" x14ac:dyDescent="0.25">
      <c r="A562" s="2">
        <f ca="1">IFERROR(__xludf.DUMMYFUNCTION("""COMPUTED_VALUE"""),45202.6458333333)</f>
        <v>45202.645833333299</v>
      </c>
      <c r="B562" s="1">
        <f ca="1">IFERROR(__xludf.DUMMYFUNCTION("""COMPUTED_VALUE"""),3513.85)</f>
        <v>3513.85</v>
      </c>
      <c r="C562" s="3">
        <f t="shared" ca="1" si="16"/>
        <v>-4.1801280961287768E-3</v>
      </c>
      <c r="D562">
        <f t="shared" ca="1" si="15"/>
        <v>3458.9908163265291</v>
      </c>
    </row>
    <row r="563" spans="1:4" x14ac:dyDescent="0.25">
      <c r="A563" s="2">
        <f ca="1">IFERROR(__xludf.DUMMYFUNCTION("""COMPUTED_VALUE"""),45203.6458333333)</f>
        <v>45203.645833333299</v>
      </c>
      <c r="B563" s="1">
        <f ca="1">IFERROR(__xludf.DUMMYFUNCTION("""COMPUTED_VALUE"""),3537.75)</f>
        <v>3537.75</v>
      </c>
      <c r="C563" s="3">
        <f t="shared" ca="1" si="16"/>
        <v>6.8016563029156315E-3</v>
      </c>
      <c r="D563">
        <f t="shared" ca="1" si="15"/>
        <v>3461.9612244897949</v>
      </c>
    </row>
    <row r="564" spans="1:4" x14ac:dyDescent="0.25">
      <c r="A564" s="2">
        <f ca="1">IFERROR(__xludf.DUMMYFUNCTION("""COMPUTED_VALUE"""),45204.6458333333)</f>
        <v>45204.645833333299</v>
      </c>
      <c r="B564" s="1">
        <f ca="1">IFERROR(__xludf.DUMMYFUNCTION("""COMPUTED_VALUE"""),3589.35)</f>
        <v>3589.35</v>
      </c>
      <c r="C564" s="3">
        <f t="shared" ca="1" si="16"/>
        <v>1.4585541657833342E-2</v>
      </c>
      <c r="D564">
        <f t="shared" ref="D564:D627" ca="1" si="17">AVERAGE(B515:B563)</f>
        <v>3464.8795918367341</v>
      </c>
    </row>
    <row r="565" spans="1:4" x14ac:dyDescent="0.25">
      <c r="A565" s="2">
        <f ca="1">IFERROR(__xludf.DUMMYFUNCTION("""COMPUTED_VALUE"""),45205.6458333333)</f>
        <v>45205.645833333299</v>
      </c>
      <c r="B565" s="1">
        <f ca="1">IFERROR(__xludf.DUMMYFUNCTION("""COMPUTED_VALUE"""),3621.4)</f>
        <v>3621.4</v>
      </c>
      <c r="C565" s="3">
        <f t="shared" ca="1" si="16"/>
        <v>8.9291933079806048E-3</v>
      </c>
      <c r="D565">
        <f t="shared" ca="1" si="17"/>
        <v>3468.7612244897955</v>
      </c>
    </row>
    <row r="566" spans="1:4" x14ac:dyDescent="0.25">
      <c r="A566" s="2">
        <f ca="1">IFERROR(__xludf.DUMMYFUNCTION("""COMPUTED_VALUE"""),45208.6458333333)</f>
        <v>45208.645833333299</v>
      </c>
      <c r="B566" s="1">
        <f ca="1">IFERROR(__xludf.DUMMYFUNCTION("""COMPUTED_VALUE"""),3638.35)</f>
        <v>3638.35</v>
      </c>
      <c r="C566" s="3">
        <f t="shared" ca="1" si="16"/>
        <v>4.6805102998839724E-3</v>
      </c>
      <c r="D566">
        <f t="shared" ca="1" si="17"/>
        <v>3473.5183673469387</v>
      </c>
    </row>
    <row r="567" spans="1:4" x14ac:dyDescent="0.25">
      <c r="A567" s="2">
        <f ca="1">IFERROR(__xludf.DUMMYFUNCTION("""COMPUTED_VALUE"""),45209.6458333333)</f>
        <v>45209.645833333299</v>
      </c>
      <c r="B567" s="1">
        <f ca="1">IFERROR(__xludf.DUMMYFUNCTION("""COMPUTED_VALUE"""),3628.9)</f>
        <v>3628.9</v>
      </c>
      <c r="C567" s="3">
        <f t="shared" ca="1" si="16"/>
        <v>-2.5973312078276744E-3</v>
      </c>
      <c r="D567">
        <f t="shared" ca="1" si="17"/>
        <v>3478.4459183673471</v>
      </c>
    </row>
    <row r="568" spans="1:4" x14ac:dyDescent="0.25">
      <c r="A568" s="2">
        <f ca="1">IFERROR(__xludf.DUMMYFUNCTION("""COMPUTED_VALUE"""),45210.6458333333)</f>
        <v>45210.645833333299</v>
      </c>
      <c r="B568" s="1">
        <f ca="1">IFERROR(__xludf.DUMMYFUNCTION("""COMPUTED_VALUE"""),3609.9)</f>
        <v>3609.9</v>
      </c>
      <c r="C568" s="3">
        <f t="shared" ca="1" si="16"/>
        <v>-5.2357463694232415E-3</v>
      </c>
      <c r="D568">
        <f t="shared" ca="1" si="17"/>
        <v>3484.0275510204083</v>
      </c>
    </row>
    <row r="569" spans="1:4" x14ac:dyDescent="0.25">
      <c r="A569" s="2">
        <f ca="1">IFERROR(__xludf.DUMMYFUNCTION("""COMPUTED_VALUE"""),45211.6458333333)</f>
        <v>45211.645833333299</v>
      </c>
      <c r="B569" s="1">
        <f ca="1">IFERROR(__xludf.DUMMYFUNCTION("""COMPUTED_VALUE"""),3542.55)</f>
        <v>3542.55</v>
      </c>
      <c r="C569" s="3">
        <f t="shared" ca="1" si="16"/>
        <v>-1.8657026510429626E-2</v>
      </c>
      <c r="D569">
        <f t="shared" ca="1" si="17"/>
        <v>3487.8734693877554</v>
      </c>
    </row>
    <row r="570" spans="1:4" x14ac:dyDescent="0.25">
      <c r="A570" s="2">
        <f ca="1">IFERROR(__xludf.DUMMYFUNCTION("""COMPUTED_VALUE"""),45212.6458333333)</f>
        <v>45212.645833333299</v>
      </c>
      <c r="B570" s="1">
        <f ca="1">IFERROR(__xludf.DUMMYFUNCTION("""COMPUTED_VALUE"""),3570.85)</f>
        <v>3570.85</v>
      </c>
      <c r="C570" s="3">
        <f t="shared" ca="1" si="16"/>
        <v>7.9885957855216506E-3</v>
      </c>
      <c r="D570">
        <f t="shared" ca="1" si="17"/>
        <v>3489.7204081632649</v>
      </c>
    </row>
    <row r="571" spans="1:4" x14ac:dyDescent="0.25">
      <c r="A571" s="2">
        <f ca="1">IFERROR(__xludf.DUMMYFUNCTION("""COMPUTED_VALUE"""),45215.6458333333)</f>
        <v>45215.645833333299</v>
      </c>
      <c r="B571" s="1">
        <f ca="1">IFERROR(__xludf.DUMMYFUNCTION("""COMPUTED_VALUE"""),3524.05)</f>
        <v>3524.05</v>
      </c>
      <c r="C571" s="3">
        <f t="shared" ca="1" si="16"/>
        <v>-1.310612319195702E-2</v>
      </c>
      <c r="D571">
        <f t="shared" ca="1" si="17"/>
        <v>3492.3775510204082</v>
      </c>
    </row>
    <row r="572" spans="1:4" x14ac:dyDescent="0.25">
      <c r="A572" s="2">
        <f ca="1">IFERROR(__xludf.DUMMYFUNCTION("""COMPUTED_VALUE"""),45216.6458333333)</f>
        <v>45216.645833333299</v>
      </c>
      <c r="B572" s="1">
        <f ca="1">IFERROR(__xludf.DUMMYFUNCTION("""COMPUTED_VALUE"""),3507.05)</f>
        <v>3507.05</v>
      </c>
      <c r="C572" s="3">
        <f t="shared" ca="1" si="16"/>
        <v>-4.8239951192519965E-3</v>
      </c>
      <c r="D572">
        <f t="shared" ca="1" si="17"/>
        <v>3494.9102040816324</v>
      </c>
    </row>
    <row r="573" spans="1:4" x14ac:dyDescent="0.25">
      <c r="A573" s="2">
        <f ca="1">IFERROR(__xludf.DUMMYFUNCTION("""COMPUTED_VALUE"""),45217.6458333333)</f>
        <v>45217.645833333299</v>
      </c>
      <c r="B573" s="1">
        <f ca="1">IFERROR(__xludf.DUMMYFUNCTION("""COMPUTED_VALUE"""),3487.25)</f>
        <v>3487.25</v>
      </c>
      <c r="C573" s="3">
        <f t="shared" ca="1" si="16"/>
        <v>-5.6457706619524048E-3</v>
      </c>
      <c r="D573">
        <f t="shared" ca="1" si="17"/>
        <v>3496.2061224489785</v>
      </c>
    </row>
    <row r="574" spans="1:4" x14ac:dyDescent="0.25">
      <c r="A574" s="2">
        <f ca="1">IFERROR(__xludf.DUMMYFUNCTION("""COMPUTED_VALUE"""),45218.6458333333)</f>
        <v>45218.645833333299</v>
      </c>
      <c r="B574" s="1">
        <f ca="1">IFERROR(__xludf.DUMMYFUNCTION("""COMPUTED_VALUE"""),3455.65)</f>
        <v>3455.65</v>
      </c>
      <c r="C574" s="3">
        <f t="shared" ca="1" si="16"/>
        <v>-9.0615814753745531E-3</v>
      </c>
      <c r="D574">
        <f t="shared" ca="1" si="17"/>
        <v>3496.2714285714278</v>
      </c>
    </row>
    <row r="575" spans="1:4" x14ac:dyDescent="0.25">
      <c r="A575" s="2">
        <f ca="1">IFERROR(__xludf.DUMMYFUNCTION("""COMPUTED_VALUE"""),45219.6458333333)</f>
        <v>45219.645833333299</v>
      </c>
      <c r="B575" s="1">
        <f ca="1">IFERROR(__xludf.DUMMYFUNCTION("""COMPUTED_VALUE"""),3494.55)</f>
        <v>3494.55</v>
      </c>
      <c r="C575" s="3">
        <f t="shared" ca="1" si="16"/>
        <v>1.1256927061479053E-2</v>
      </c>
      <c r="D575">
        <f t="shared" ca="1" si="17"/>
        <v>3495.9663265306112</v>
      </c>
    </row>
    <row r="576" spans="1:4" x14ac:dyDescent="0.25">
      <c r="A576" s="2">
        <f ca="1">IFERROR(__xludf.DUMMYFUNCTION("""COMPUTED_VALUE"""),45222.6458333333)</f>
        <v>45222.645833333299</v>
      </c>
      <c r="B576" s="1">
        <f ca="1">IFERROR(__xludf.DUMMYFUNCTION("""COMPUTED_VALUE"""),3410.15)</f>
        <v>3410.15</v>
      </c>
      <c r="C576" s="3">
        <f t="shared" ca="1" si="16"/>
        <v>-2.4151893662989535E-2</v>
      </c>
      <c r="D576">
        <f t="shared" ca="1" si="17"/>
        <v>3496.6204081632641</v>
      </c>
    </row>
    <row r="577" spans="1:4" x14ac:dyDescent="0.25">
      <c r="A577" s="2">
        <f ca="1">IFERROR(__xludf.DUMMYFUNCTION("""COMPUTED_VALUE"""),45224.6458333333)</f>
        <v>45224.645833333299</v>
      </c>
      <c r="B577" s="1">
        <f ca="1">IFERROR(__xludf.DUMMYFUNCTION("""COMPUTED_VALUE"""),3390.1)</f>
        <v>3390.1</v>
      </c>
      <c r="C577" s="3">
        <f t="shared" ca="1" si="16"/>
        <v>-5.8795067665645736E-3</v>
      </c>
      <c r="D577">
        <f t="shared" ca="1" si="17"/>
        <v>3495.9683673469376</v>
      </c>
    </row>
    <row r="578" spans="1:4" x14ac:dyDescent="0.25">
      <c r="A578" s="2">
        <f ca="1">IFERROR(__xludf.DUMMYFUNCTION("""COMPUTED_VALUE"""),45225.6458333333)</f>
        <v>45225.645833333299</v>
      </c>
      <c r="B578" s="1">
        <f ca="1">IFERROR(__xludf.DUMMYFUNCTION("""COMPUTED_VALUE"""),3336.75)</f>
        <v>3336.75</v>
      </c>
      <c r="C578" s="3">
        <f t="shared" ca="1" si="16"/>
        <v>-1.5736998908586743E-2</v>
      </c>
      <c r="D578">
        <f t="shared" ca="1" si="17"/>
        <v>3494.7704081632642</v>
      </c>
    </row>
    <row r="579" spans="1:4" x14ac:dyDescent="0.25">
      <c r="A579" s="2">
        <f ca="1">IFERROR(__xludf.DUMMYFUNCTION("""COMPUTED_VALUE"""),45226.6458333333)</f>
        <v>45226.645833333299</v>
      </c>
      <c r="B579" s="1">
        <f ca="1">IFERROR(__xludf.DUMMYFUNCTION("""COMPUTED_VALUE"""),3350.95)</f>
        <v>3350.95</v>
      </c>
      <c r="C579" s="3">
        <f t="shared" ca="1" si="16"/>
        <v>4.2556379710795888E-3</v>
      </c>
      <c r="D579">
        <f t="shared" ca="1" si="17"/>
        <v>3492.4622448979585</v>
      </c>
    </row>
    <row r="580" spans="1:4" x14ac:dyDescent="0.25">
      <c r="A580" s="2">
        <f ca="1">IFERROR(__xludf.DUMMYFUNCTION("""COMPUTED_VALUE"""),45229.6458333333)</f>
        <v>45229.645833333299</v>
      </c>
      <c r="B580" s="1">
        <f ca="1">IFERROR(__xludf.DUMMYFUNCTION("""COMPUTED_VALUE"""),3378.55)</f>
        <v>3378.55</v>
      </c>
      <c r="C580" s="3">
        <f t="shared" ref="C580:C643" ca="1" si="18">(B580-B579)/B579</f>
        <v>8.2364702547039984E-3</v>
      </c>
      <c r="D580">
        <f t="shared" ca="1" si="17"/>
        <v>3490.2693877551019</v>
      </c>
    </row>
    <row r="581" spans="1:4" x14ac:dyDescent="0.25">
      <c r="A581" s="2">
        <f ca="1">IFERROR(__xludf.DUMMYFUNCTION("""COMPUTED_VALUE"""),45230.6458333333)</f>
        <v>45230.645833333299</v>
      </c>
      <c r="B581" s="1">
        <f ca="1">IFERROR(__xludf.DUMMYFUNCTION("""COMPUTED_VALUE"""),3368.75)</f>
        <v>3368.75</v>
      </c>
      <c r="C581" s="3">
        <f t="shared" ca="1" si="18"/>
        <v>-2.9006526468455941E-3</v>
      </c>
      <c r="D581">
        <f t="shared" ca="1" si="17"/>
        <v>3489.1020408163258</v>
      </c>
    </row>
    <row r="582" spans="1:4" x14ac:dyDescent="0.25">
      <c r="A582" s="2">
        <f ca="1">IFERROR(__xludf.DUMMYFUNCTION("""COMPUTED_VALUE"""),45231.6458333333)</f>
        <v>45231.645833333299</v>
      </c>
      <c r="B582" s="1">
        <f ca="1">IFERROR(__xludf.DUMMYFUNCTION("""COMPUTED_VALUE"""),3330.65)</f>
        <v>3330.65</v>
      </c>
      <c r="C582" s="3">
        <f t="shared" ca="1" si="18"/>
        <v>-1.1309833024118711E-2</v>
      </c>
      <c r="D582">
        <f t="shared" ca="1" si="17"/>
        <v>3489.1357142857137</v>
      </c>
    </row>
    <row r="583" spans="1:4" x14ac:dyDescent="0.25">
      <c r="A583" s="2">
        <f ca="1">IFERROR(__xludf.DUMMYFUNCTION("""COMPUTED_VALUE"""),45232.6458333333)</f>
        <v>45232.645833333299</v>
      </c>
      <c r="B583" s="1">
        <f ca="1">IFERROR(__xludf.DUMMYFUNCTION("""COMPUTED_VALUE"""),3360.1)</f>
        <v>3360.1</v>
      </c>
      <c r="C583" s="3">
        <f t="shared" ca="1" si="18"/>
        <v>8.8421179049134012E-3</v>
      </c>
      <c r="D583">
        <f t="shared" ca="1" si="17"/>
        <v>3487.6867346938775</v>
      </c>
    </row>
    <row r="584" spans="1:4" x14ac:dyDescent="0.25">
      <c r="A584" s="2">
        <f ca="1">IFERROR(__xludf.DUMMYFUNCTION("""COMPUTED_VALUE"""),45233.6458333333)</f>
        <v>45233.645833333299</v>
      </c>
      <c r="B584" s="1">
        <f ca="1">IFERROR(__xludf.DUMMYFUNCTION("""COMPUTED_VALUE"""),3350.9)</f>
        <v>3350.9</v>
      </c>
      <c r="C584" s="3">
        <f t="shared" ca="1" si="18"/>
        <v>-2.738013749590732E-3</v>
      </c>
      <c r="D584">
        <f t="shared" ca="1" si="17"/>
        <v>3487.2367346938777</v>
      </c>
    </row>
    <row r="585" spans="1:4" x14ac:dyDescent="0.25">
      <c r="A585" s="2">
        <f ca="1">IFERROR(__xludf.DUMMYFUNCTION("""COMPUTED_VALUE"""),45236.6458333333)</f>
        <v>45236.645833333299</v>
      </c>
      <c r="B585" s="1">
        <f ca="1">IFERROR(__xludf.DUMMYFUNCTION("""COMPUTED_VALUE"""),3380.25)</f>
        <v>3380.25</v>
      </c>
      <c r="C585" s="3">
        <f t="shared" ca="1" si="18"/>
        <v>8.7588409084126372E-3</v>
      </c>
      <c r="D585">
        <f t="shared" ca="1" si="17"/>
        <v>3486.2704081632655</v>
      </c>
    </row>
    <row r="586" spans="1:4" x14ac:dyDescent="0.25">
      <c r="A586" s="2">
        <f ca="1">IFERROR(__xludf.DUMMYFUNCTION("""COMPUTED_VALUE"""),45237.6458333333)</f>
        <v>45237.645833333299</v>
      </c>
      <c r="B586" s="1">
        <f ca="1">IFERROR(__xludf.DUMMYFUNCTION("""COMPUTED_VALUE"""),3370.45)</f>
        <v>3370.45</v>
      </c>
      <c r="C586" s="3">
        <f t="shared" ca="1" si="18"/>
        <v>-2.8991938466090324E-3</v>
      </c>
      <c r="D586">
        <f t="shared" ca="1" si="17"/>
        <v>3486.1173469387754</v>
      </c>
    </row>
    <row r="587" spans="1:4" x14ac:dyDescent="0.25">
      <c r="A587" s="2">
        <f ca="1">IFERROR(__xludf.DUMMYFUNCTION("""COMPUTED_VALUE"""),45238.6458333333)</f>
        <v>45238.645833333299</v>
      </c>
      <c r="B587" s="1">
        <f ca="1">IFERROR(__xludf.DUMMYFUNCTION("""COMPUTED_VALUE"""),3381.55)</f>
        <v>3381.55</v>
      </c>
      <c r="C587" s="3">
        <f t="shared" ca="1" si="18"/>
        <v>3.2933287839903764E-3</v>
      </c>
      <c r="D587">
        <f t="shared" ca="1" si="17"/>
        <v>3485.8959183673473</v>
      </c>
    </row>
    <row r="588" spans="1:4" x14ac:dyDescent="0.25">
      <c r="A588" s="2">
        <f ca="1">IFERROR(__xludf.DUMMYFUNCTION("""COMPUTED_VALUE"""),45239.6458333333)</f>
        <v>45239.645833333299</v>
      </c>
      <c r="B588" s="1">
        <f ca="1">IFERROR(__xludf.DUMMYFUNCTION("""COMPUTED_VALUE"""),3347.45)</f>
        <v>3347.45</v>
      </c>
      <c r="C588" s="3">
        <f t="shared" ca="1" si="18"/>
        <v>-1.0084133015924757E-2</v>
      </c>
      <c r="D588">
        <f t="shared" ca="1" si="17"/>
        <v>3486.0183673469392</v>
      </c>
    </row>
    <row r="589" spans="1:4" x14ac:dyDescent="0.25">
      <c r="A589" s="2">
        <f ca="1">IFERROR(__xludf.DUMMYFUNCTION("""COMPUTED_VALUE"""),45240.6458333333)</f>
        <v>45240.645833333299</v>
      </c>
      <c r="B589" s="1">
        <f ca="1">IFERROR(__xludf.DUMMYFUNCTION("""COMPUTED_VALUE"""),3333.45)</f>
        <v>3333.45</v>
      </c>
      <c r="C589" s="3">
        <f t="shared" ca="1" si="18"/>
        <v>-4.1822880102764795E-3</v>
      </c>
      <c r="D589">
        <f t="shared" ca="1" si="17"/>
        <v>3485.4326530612252</v>
      </c>
    </row>
    <row r="590" spans="1:4" x14ac:dyDescent="0.25">
      <c r="A590" s="2">
        <f ca="1">IFERROR(__xludf.DUMMYFUNCTION("""COMPUTED_VALUE"""),45243.6458333333)</f>
        <v>45243.645833333299</v>
      </c>
      <c r="B590" s="1">
        <f ca="1">IFERROR(__xludf.DUMMYFUNCTION("""COMPUTED_VALUE"""),3331.55)</f>
        <v>3331.55</v>
      </c>
      <c r="C590" s="3">
        <f t="shared" ca="1" si="18"/>
        <v>-5.6998005069811648E-4</v>
      </c>
      <c r="D590">
        <f t="shared" ca="1" si="17"/>
        <v>3484.25918367347</v>
      </c>
    </row>
    <row r="591" spans="1:4" x14ac:dyDescent="0.25">
      <c r="A591" s="2">
        <f ca="1">IFERROR(__xludf.DUMMYFUNCTION("""COMPUTED_VALUE"""),45245.6458333333)</f>
        <v>45245.645833333299</v>
      </c>
      <c r="B591" s="1">
        <f ca="1">IFERROR(__xludf.DUMMYFUNCTION("""COMPUTED_VALUE"""),3404.3)</f>
        <v>3404.3</v>
      </c>
      <c r="C591" s="3">
        <f t="shared" ca="1" si="18"/>
        <v>2.1836682625204482E-2</v>
      </c>
      <c r="D591">
        <f t="shared" ca="1" si="17"/>
        <v>3483.7438775510213</v>
      </c>
    </row>
    <row r="592" spans="1:4" x14ac:dyDescent="0.25">
      <c r="A592" s="2">
        <f ca="1">IFERROR(__xludf.DUMMYFUNCTION("""COMPUTED_VALUE"""),45246.6458333333)</f>
        <v>45246.645833333299</v>
      </c>
      <c r="B592" s="1">
        <f ca="1">IFERROR(__xludf.DUMMYFUNCTION("""COMPUTED_VALUE"""),3497.85)</f>
        <v>3497.85</v>
      </c>
      <c r="C592" s="3">
        <f t="shared" ca="1" si="18"/>
        <v>2.7479951825632207E-2</v>
      </c>
      <c r="D592">
        <f t="shared" ca="1" si="17"/>
        <v>3484.25612244898</v>
      </c>
    </row>
    <row r="593" spans="1:4" x14ac:dyDescent="0.25">
      <c r="A593" s="2">
        <f ca="1">IFERROR(__xludf.DUMMYFUNCTION("""COMPUTED_VALUE"""),45247.6458333333)</f>
        <v>45247.645833333299</v>
      </c>
      <c r="B593" s="1">
        <f ca="1">IFERROR(__xludf.DUMMYFUNCTION("""COMPUTED_VALUE"""),3502.45)</f>
        <v>3502.45</v>
      </c>
      <c r="C593" s="3">
        <f t="shared" ca="1" si="18"/>
        <v>1.3150935574709919E-3</v>
      </c>
      <c r="D593">
        <f t="shared" ca="1" si="17"/>
        <v>3485.8755102040823</v>
      </c>
    </row>
    <row r="594" spans="1:4" x14ac:dyDescent="0.25">
      <c r="A594" s="2">
        <f ca="1">IFERROR(__xludf.DUMMYFUNCTION("""COMPUTED_VALUE"""),45250.6458333333)</f>
        <v>45250.645833333299</v>
      </c>
      <c r="B594" s="1">
        <f ca="1">IFERROR(__xludf.DUMMYFUNCTION("""COMPUTED_VALUE"""),3519.6)</f>
        <v>3519.6</v>
      </c>
      <c r="C594" s="3">
        <f t="shared" ca="1" si="18"/>
        <v>4.8965723993205021E-3</v>
      </c>
      <c r="D594">
        <f t="shared" ca="1" si="17"/>
        <v>3487.3673469387759</v>
      </c>
    </row>
    <row r="595" spans="1:4" x14ac:dyDescent="0.25">
      <c r="A595" s="2">
        <f ca="1">IFERROR(__xludf.DUMMYFUNCTION("""COMPUTED_VALUE"""),45251.6458333333)</f>
        <v>45251.645833333299</v>
      </c>
      <c r="B595" s="1">
        <f ca="1">IFERROR(__xludf.DUMMYFUNCTION("""COMPUTED_VALUE"""),3510.2)</f>
        <v>3510.2</v>
      </c>
      <c r="C595" s="3">
        <f t="shared" ca="1" si="18"/>
        <v>-2.6707580406864677E-3</v>
      </c>
      <c r="D595">
        <f t="shared" ca="1" si="17"/>
        <v>3489.1979591836739</v>
      </c>
    </row>
    <row r="596" spans="1:4" x14ac:dyDescent="0.25">
      <c r="A596" s="2">
        <f ca="1">IFERROR(__xludf.DUMMYFUNCTION("""COMPUTED_VALUE"""),45252.6458333333)</f>
        <v>45252.645833333299</v>
      </c>
      <c r="B596" s="1">
        <f ca="1">IFERROR(__xludf.DUMMYFUNCTION("""COMPUTED_VALUE"""),3530.15)</f>
        <v>3530.15</v>
      </c>
      <c r="C596" s="3">
        <f t="shared" ca="1" si="18"/>
        <v>5.6834368412057076E-3</v>
      </c>
      <c r="D596">
        <f t="shared" ca="1" si="17"/>
        <v>3490.3193877551025</v>
      </c>
    </row>
    <row r="597" spans="1:4" x14ac:dyDescent="0.25">
      <c r="A597" s="2">
        <f ca="1">IFERROR(__xludf.DUMMYFUNCTION("""COMPUTED_VALUE"""),45253.6458333333)</f>
        <v>45253.645833333299</v>
      </c>
      <c r="B597" s="1">
        <f ca="1">IFERROR(__xludf.DUMMYFUNCTION("""COMPUTED_VALUE"""),3508.25)</f>
        <v>3508.25</v>
      </c>
      <c r="C597" s="3">
        <f t="shared" ca="1" si="18"/>
        <v>-6.203702392249647E-3</v>
      </c>
      <c r="D597">
        <f t="shared" ca="1" si="17"/>
        <v>3492.1204081632659</v>
      </c>
    </row>
    <row r="598" spans="1:4" x14ac:dyDescent="0.25">
      <c r="A598" s="2">
        <f ca="1">IFERROR(__xludf.DUMMYFUNCTION("""COMPUTED_VALUE"""),45254.6458333333)</f>
        <v>45254.645833333299</v>
      </c>
      <c r="B598" s="1">
        <f ca="1">IFERROR(__xludf.DUMMYFUNCTION("""COMPUTED_VALUE"""),3457.1)</f>
        <v>3457.1</v>
      </c>
      <c r="C598" s="3">
        <f t="shared" ca="1" si="18"/>
        <v>-1.4579918762916009E-2</v>
      </c>
      <c r="D598">
        <f t="shared" ca="1" si="17"/>
        <v>3492.6836734693884</v>
      </c>
    </row>
    <row r="599" spans="1:4" x14ac:dyDescent="0.25">
      <c r="A599" s="2">
        <f ca="1">IFERROR(__xludf.DUMMYFUNCTION("""COMPUTED_VALUE"""),45258.6458333333)</f>
        <v>45258.645833333299</v>
      </c>
      <c r="B599" s="1">
        <f ca="1">IFERROR(__xludf.DUMMYFUNCTION("""COMPUTED_VALUE"""),3470.15)</f>
        <v>3470.15</v>
      </c>
      <c r="C599" s="3">
        <f t="shared" ca="1" si="18"/>
        <v>3.7748401839692754E-3</v>
      </c>
      <c r="D599">
        <f t="shared" ca="1" si="17"/>
        <v>3490.1591836734701</v>
      </c>
    </row>
    <row r="600" spans="1:4" x14ac:dyDescent="0.25">
      <c r="A600" s="2">
        <f ca="1">IFERROR(__xludf.DUMMYFUNCTION("""COMPUTED_VALUE"""),45259.6458333333)</f>
        <v>45259.645833333299</v>
      </c>
      <c r="B600" s="1">
        <f ca="1">IFERROR(__xludf.DUMMYFUNCTION("""COMPUTED_VALUE"""),3513.75)</f>
        <v>3513.75</v>
      </c>
      <c r="C600" s="3">
        <f t="shared" ca="1" si="18"/>
        <v>1.2564298373269141E-2</v>
      </c>
      <c r="D600">
        <f t="shared" ca="1" si="17"/>
        <v>3488.1653061224497</v>
      </c>
    </row>
    <row r="601" spans="1:4" x14ac:dyDescent="0.25">
      <c r="A601" s="2">
        <f ca="1">IFERROR(__xludf.DUMMYFUNCTION("""COMPUTED_VALUE"""),45260.6458333333)</f>
        <v>45260.645833333299</v>
      </c>
      <c r="B601" s="1">
        <f ca="1">IFERROR(__xludf.DUMMYFUNCTION("""COMPUTED_VALUE"""),3487.6)</f>
        <v>3487.6</v>
      </c>
      <c r="C601" s="3">
        <f t="shared" ca="1" si="18"/>
        <v>-7.4421913909640952E-3</v>
      </c>
      <c r="D601">
        <f t="shared" ca="1" si="17"/>
        <v>3487.2204081632658</v>
      </c>
    </row>
    <row r="602" spans="1:4" x14ac:dyDescent="0.25">
      <c r="A602" s="2">
        <f ca="1">IFERROR(__xludf.DUMMYFUNCTION("""COMPUTED_VALUE"""),45261.6458333333)</f>
        <v>45261.645833333299</v>
      </c>
      <c r="B602" s="1">
        <f ca="1">IFERROR(__xludf.DUMMYFUNCTION("""COMPUTED_VALUE"""),3511.65)</f>
        <v>3511.65</v>
      </c>
      <c r="C602" s="3">
        <f t="shared" ca="1" si="18"/>
        <v>6.8958596169285992E-3</v>
      </c>
      <c r="D602">
        <f t="shared" ca="1" si="17"/>
        <v>3484.9612244897962</v>
      </c>
    </row>
    <row r="603" spans="1:4" x14ac:dyDescent="0.25">
      <c r="A603" s="2">
        <f ca="1">IFERROR(__xludf.DUMMYFUNCTION("""COMPUTED_VALUE"""),45264.6458333333)</f>
        <v>45264.645833333299</v>
      </c>
      <c r="B603" s="1">
        <f ca="1">IFERROR(__xludf.DUMMYFUNCTION("""COMPUTED_VALUE"""),3512.45)</f>
        <v>3512.45</v>
      </c>
      <c r="C603" s="3">
        <f t="shared" ca="1" si="18"/>
        <v>2.2781313627489276E-4</v>
      </c>
      <c r="D603">
        <f t="shared" ca="1" si="17"/>
        <v>3483.0326530612247</v>
      </c>
    </row>
    <row r="604" spans="1:4" x14ac:dyDescent="0.25">
      <c r="A604" s="2">
        <f ca="1">IFERROR(__xludf.DUMMYFUNCTION("""COMPUTED_VALUE"""),45265.6458333333)</f>
        <v>45265.645833333299</v>
      </c>
      <c r="B604" s="1">
        <f ca="1">IFERROR(__xludf.DUMMYFUNCTION("""COMPUTED_VALUE"""),3531.6)</f>
        <v>3531.6</v>
      </c>
      <c r="C604" s="3">
        <f t="shared" ca="1" si="18"/>
        <v>5.4520349044114768E-3</v>
      </c>
      <c r="D604">
        <f t="shared" ca="1" si="17"/>
        <v>3481.1224489795923</v>
      </c>
    </row>
    <row r="605" spans="1:4" x14ac:dyDescent="0.25">
      <c r="A605" s="2">
        <f ca="1">IFERROR(__xludf.DUMMYFUNCTION("""COMPUTED_VALUE"""),45266.6458333333)</f>
        <v>45266.645833333299</v>
      </c>
      <c r="B605" s="1">
        <f ca="1">IFERROR(__xludf.DUMMYFUNCTION("""COMPUTED_VALUE"""),3604.1)</f>
        <v>3604.1</v>
      </c>
      <c r="C605" s="3">
        <f t="shared" ca="1" si="18"/>
        <v>2.0528938724657379E-2</v>
      </c>
      <c r="D605">
        <f t="shared" ca="1" si="17"/>
        <v>3480.026530612246</v>
      </c>
    </row>
    <row r="606" spans="1:4" x14ac:dyDescent="0.25">
      <c r="A606" s="2">
        <f ca="1">IFERROR(__xludf.DUMMYFUNCTION("""COMPUTED_VALUE"""),45267.6458333333)</f>
        <v>45267.645833333299</v>
      </c>
      <c r="B606" s="1">
        <f ca="1">IFERROR(__xludf.DUMMYFUNCTION("""COMPUTED_VALUE"""),3614.9)</f>
        <v>3614.9</v>
      </c>
      <c r="C606" s="3">
        <f t="shared" ca="1" si="18"/>
        <v>2.9965872201104804E-3</v>
      </c>
      <c r="D606">
        <f t="shared" ca="1" si="17"/>
        <v>3480.0357142857147</v>
      </c>
    </row>
    <row r="607" spans="1:4" x14ac:dyDescent="0.25">
      <c r="A607" s="2">
        <f ca="1">IFERROR(__xludf.DUMMYFUNCTION("""COMPUTED_VALUE"""),45268.6458333333)</f>
        <v>45268.645833333299</v>
      </c>
      <c r="B607" s="1">
        <f ca="1">IFERROR(__xludf.DUMMYFUNCTION("""COMPUTED_VALUE"""),3626.7)</f>
        <v>3626.7</v>
      </c>
      <c r="C607" s="3">
        <f t="shared" ca="1" si="18"/>
        <v>3.2642673379622471E-3</v>
      </c>
      <c r="D607">
        <f t="shared" ca="1" si="17"/>
        <v>3480.8061224489802</v>
      </c>
    </row>
    <row r="608" spans="1:4" x14ac:dyDescent="0.25">
      <c r="A608" s="2">
        <f ca="1">IFERROR(__xludf.DUMMYFUNCTION("""COMPUTED_VALUE"""),45271.6458333333)</f>
        <v>45271.645833333299</v>
      </c>
      <c r="B608" s="1">
        <f ca="1">IFERROR(__xludf.DUMMYFUNCTION("""COMPUTED_VALUE"""),3642.9)</f>
        <v>3642.9</v>
      </c>
      <c r="C608" s="3">
        <f t="shared" ca="1" si="18"/>
        <v>4.4668707089090013E-3</v>
      </c>
      <c r="D608">
        <f t="shared" ca="1" si="17"/>
        <v>3481.6428571428582</v>
      </c>
    </row>
    <row r="609" spans="1:4" x14ac:dyDescent="0.25">
      <c r="A609" s="2">
        <f ca="1">IFERROR(__xludf.DUMMYFUNCTION("""COMPUTED_VALUE"""),45272.6458333333)</f>
        <v>45272.645833333299</v>
      </c>
      <c r="B609" s="1">
        <f ca="1">IFERROR(__xludf.DUMMYFUNCTION("""COMPUTED_VALUE"""),3672.1)</f>
        <v>3672.1</v>
      </c>
      <c r="C609" s="3">
        <f t="shared" ca="1" si="18"/>
        <v>8.0155919734277142E-3</v>
      </c>
      <c r="D609">
        <f t="shared" ca="1" si="17"/>
        <v>3482.7367346938781</v>
      </c>
    </row>
    <row r="610" spans="1:4" x14ac:dyDescent="0.25">
      <c r="A610" s="2">
        <f ca="1">IFERROR(__xludf.DUMMYFUNCTION("""COMPUTED_VALUE"""),45273.6458333333)</f>
        <v>45273.645833333299</v>
      </c>
      <c r="B610" s="1">
        <f ca="1">IFERROR(__xludf.DUMMYFUNCTION("""COMPUTED_VALUE"""),3593.55)</f>
        <v>3593.55</v>
      </c>
      <c r="C610" s="3">
        <f t="shared" ca="1" si="18"/>
        <v>-2.1391029656055046E-2</v>
      </c>
      <c r="D610">
        <f t="shared" ca="1" si="17"/>
        <v>3485.4989795918377</v>
      </c>
    </row>
    <row r="611" spans="1:4" x14ac:dyDescent="0.25">
      <c r="A611" s="2">
        <f ca="1">IFERROR(__xludf.DUMMYFUNCTION("""COMPUTED_VALUE"""),45274.6458333333)</f>
        <v>45274.645833333299</v>
      </c>
      <c r="B611" s="1">
        <f ca="1">IFERROR(__xludf.DUMMYFUNCTION("""COMPUTED_VALUE"""),3667.25)</f>
        <v>3667.25</v>
      </c>
      <c r="C611" s="3">
        <f t="shared" ca="1" si="18"/>
        <v>2.0508967455580084E-2</v>
      </c>
      <c r="D611">
        <f t="shared" ca="1" si="17"/>
        <v>3486.8244897959189</v>
      </c>
    </row>
    <row r="612" spans="1:4" x14ac:dyDescent="0.25">
      <c r="A612" s="2">
        <f ca="1">IFERROR(__xludf.DUMMYFUNCTION("""COMPUTED_VALUE"""),45275.6458333333)</f>
        <v>45275.645833333299</v>
      </c>
      <c r="B612" s="1">
        <f ca="1">IFERROR(__xludf.DUMMYFUNCTION("""COMPUTED_VALUE"""),3861)</f>
        <v>3861</v>
      </c>
      <c r="C612" s="3">
        <f t="shared" ca="1" si="18"/>
        <v>5.2832503919830937E-2</v>
      </c>
      <c r="D612">
        <f t="shared" ca="1" si="17"/>
        <v>3489.9551020408167</v>
      </c>
    </row>
    <row r="613" spans="1:4" x14ac:dyDescent="0.25">
      <c r="A613" s="2">
        <f ca="1">IFERROR(__xludf.DUMMYFUNCTION("""COMPUTED_VALUE"""),45278.6458333333)</f>
        <v>45278.645833333299</v>
      </c>
      <c r="B613" s="1">
        <f ca="1">IFERROR(__xludf.DUMMYFUNCTION("""COMPUTED_VALUE"""),3859.2)</f>
        <v>3859.2</v>
      </c>
      <c r="C613" s="3">
        <f t="shared" ca="1" si="18"/>
        <v>-4.6620046620051331E-4</v>
      </c>
      <c r="D613">
        <f t="shared" ca="1" si="17"/>
        <v>3496.552040816327</v>
      </c>
    </row>
    <row r="614" spans="1:4" x14ac:dyDescent="0.25">
      <c r="A614" s="2">
        <f ca="1">IFERROR(__xludf.DUMMYFUNCTION("""COMPUTED_VALUE"""),45279.6458333333)</f>
        <v>45279.645833333299</v>
      </c>
      <c r="B614" s="1">
        <f ca="1">IFERROR(__xludf.DUMMYFUNCTION("""COMPUTED_VALUE"""),3816.2)</f>
        <v>3816.2</v>
      </c>
      <c r="C614" s="3">
        <f t="shared" ca="1" si="18"/>
        <v>-1.1142205638474297E-2</v>
      </c>
      <c r="D614">
        <f t="shared" ca="1" si="17"/>
        <v>3502.0591836734698</v>
      </c>
    </row>
    <row r="615" spans="1:4" x14ac:dyDescent="0.25">
      <c r="A615" s="2">
        <f ca="1">IFERROR(__xludf.DUMMYFUNCTION("""COMPUTED_VALUE"""),45280.6458333333)</f>
        <v>45280.645833333299</v>
      </c>
      <c r="B615" s="1">
        <f ca="1">IFERROR(__xludf.DUMMYFUNCTION("""COMPUTED_VALUE"""),3780.05)</f>
        <v>3780.05</v>
      </c>
      <c r="C615" s="3">
        <f t="shared" ca="1" si="18"/>
        <v>-9.4727739636286459E-3</v>
      </c>
      <c r="D615">
        <f t="shared" ca="1" si="17"/>
        <v>3506.0346938775519</v>
      </c>
    </row>
    <row r="616" spans="1:4" x14ac:dyDescent="0.25">
      <c r="A616" s="2">
        <f ca="1">IFERROR(__xludf.DUMMYFUNCTION("""COMPUTED_VALUE"""),45281.6458333333)</f>
        <v>45281.645833333299</v>
      </c>
      <c r="B616" s="1">
        <f ca="1">IFERROR(__xludf.DUMMYFUNCTION("""COMPUTED_VALUE"""),3787.5)</f>
        <v>3787.5</v>
      </c>
      <c r="C616" s="3">
        <f t="shared" ca="1" si="18"/>
        <v>1.9708734011454391E-3</v>
      </c>
      <c r="D616">
        <f t="shared" ca="1" si="17"/>
        <v>3508.9265306122452</v>
      </c>
    </row>
    <row r="617" spans="1:4" x14ac:dyDescent="0.25">
      <c r="A617" s="2">
        <f ca="1">IFERROR(__xludf.DUMMYFUNCTION("""COMPUTED_VALUE"""),45282.6458333333)</f>
        <v>45282.645833333299</v>
      </c>
      <c r="B617" s="1">
        <f ca="1">IFERROR(__xludf.DUMMYFUNCTION("""COMPUTED_VALUE"""),3824)</f>
        <v>3824</v>
      </c>
      <c r="C617" s="3">
        <f t="shared" ca="1" si="18"/>
        <v>9.6369636963696374E-3</v>
      </c>
      <c r="D617">
        <f t="shared" ca="1" si="17"/>
        <v>3512.1632653061224</v>
      </c>
    </row>
    <row r="618" spans="1:4" x14ac:dyDescent="0.25">
      <c r="A618" s="2">
        <f ca="1">IFERROR(__xludf.DUMMYFUNCTION("""COMPUTED_VALUE"""),45286.6458333333)</f>
        <v>45286.645833333299</v>
      </c>
      <c r="B618" s="1">
        <f ca="1">IFERROR(__xludf.DUMMYFUNCTION("""COMPUTED_VALUE"""),3795.55)</f>
        <v>3795.55</v>
      </c>
      <c r="C618" s="3">
        <f t="shared" ca="1" si="18"/>
        <v>-7.4398535564853081E-3</v>
      </c>
      <c r="D618">
        <f t="shared" ca="1" si="17"/>
        <v>3516.5326530612251</v>
      </c>
    </row>
    <row r="619" spans="1:4" x14ac:dyDescent="0.25">
      <c r="A619" s="2">
        <f ca="1">IFERROR(__xludf.DUMMYFUNCTION("""COMPUTED_VALUE"""),45287.6458333333)</f>
        <v>45287.645833333299</v>
      </c>
      <c r="B619" s="1">
        <f ca="1">IFERROR(__xludf.DUMMYFUNCTION("""COMPUTED_VALUE"""),3811.2)</f>
        <v>3811.2</v>
      </c>
      <c r="C619" s="3">
        <f t="shared" ca="1" si="18"/>
        <v>4.1232495949202709E-3</v>
      </c>
      <c r="D619">
        <f t="shared" ca="1" si="17"/>
        <v>3521.6959183673471</v>
      </c>
    </row>
    <row r="620" spans="1:4" x14ac:dyDescent="0.25">
      <c r="A620" s="2">
        <f ca="1">IFERROR(__xludf.DUMMYFUNCTION("""COMPUTED_VALUE"""),45288.6458333333)</f>
        <v>45288.645833333299</v>
      </c>
      <c r="B620" s="1">
        <f ca="1">IFERROR(__xludf.DUMMYFUNCTION("""COMPUTED_VALUE"""),3799.9)</f>
        <v>3799.9</v>
      </c>
      <c r="C620" s="3">
        <f t="shared" ca="1" si="18"/>
        <v>-2.9649454240133627E-3</v>
      </c>
      <c r="D620">
        <f t="shared" ca="1" si="17"/>
        <v>3526.6010204081635</v>
      </c>
    </row>
    <row r="621" spans="1:4" x14ac:dyDescent="0.25">
      <c r="A621" s="2">
        <f ca="1">IFERROR(__xludf.DUMMYFUNCTION("""COMPUTED_VALUE"""),45289.6458333333)</f>
        <v>45289.645833333299</v>
      </c>
      <c r="B621" s="1">
        <f ca="1">IFERROR(__xludf.DUMMYFUNCTION("""COMPUTED_VALUE"""),3793.4)</f>
        <v>3793.4</v>
      </c>
      <c r="C621" s="3">
        <f t="shared" ca="1" si="18"/>
        <v>-1.7105713308244953E-3</v>
      </c>
      <c r="D621">
        <f t="shared" ca="1" si="17"/>
        <v>3532.2306122448977</v>
      </c>
    </row>
    <row r="622" spans="1:4" x14ac:dyDescent="0.25">
      <c r="A622" s="2">
        <f ca="1">IFERROR(__xludf.DUMMYFUNCTION("""COMPUTED_VALUE"""),45292.6458333333)</f>
        <v>45292.645833333299</v>
      </c>
      <c r="B622" s="1">
        <f ca="1">IFERROR(__xludf.DUMMYFUNCTION("""COMPUTED_VALUE"""),3811.1)</f>
        <v>3811.1</v>
      </c>
      <c r="C622" s="3">
        <f t="shared" ca="1" si="18"/>
        <v>4.6659988400906361E-3</v>
      </c>
      <c r="D622">
        <f t="shared" ca="1" si="17"/>
        <v>3538.0744897959185</v>
      </c>
    </row>
    <row r="623" spans="1:4" x14ac:dyDescent="0.25">
      <c r="A623" s="2">
        <f ca="1">IFERROR(__xludf.DUMMYFUNCTION("""COMPUTED_VALUE"""),45293.6458333333)</f>
        <v>45293.645833333299</v>
      </c>
      <c r="B623" s="1">
        <f ca="1">IFERROR(__xludf.DUMMYFUNCTION("""COMPUTED_VALUE"""),3783.2)</f>
        <v>3783.2</v>
      </c>
      <c r="C623" s="3">
        <f t="shared" ca="1" si="18"/>
        <v>-7.3207210516648977E-3</v>
      </c>
      <c r="D623">
        <f t="shared" ca="1" si="17"/>
        <v>3544.6836734693884</v>
      </c>
    </row>
    <row r="624" spans="1:4" x14ac:dyDescent="0.25">
      <c r="A624" s="2">
        <f ca="1">IFERROR(__xludf.DUMMYFUNCTION("""COMPUTED_VALUE"""),45294.6458333333)</f>
        <v>45294.645833333299</v>
      </c>
      <c r="B624" s="1">
        <f ca="1">IFERROR(__xludf.DUMMYFUNCTION("""COMPUTED_VALUE"""),3691.75)</f>
        <v>3691.75</v>
      </c>
      <c r="C624" s="3">
        <f t="shared" ca="1" si="18"/>
        <v>-2.4172658067244612E-2</v>
      </c>
      <c r="D624">
        <f t="shared" ca="1" si="17"/>
        <v>3551.3683673469391</v>
      </c>
    </row>
    <row r="625" spans="1:4" x14ac:dyDescent="0.25">
      <c r="A625" s="2">
        <f ca="1">IFERROR(__xludf.DUMMYFUNCTION("""COMPUTED_VALUE"""),45295.6458333333)</f>
        <v>45295.645833333299</v>
      </c>
      <c r="B625" s="1">
        <f ca="1">IFERROR(__xludf.DUMMYFUNCTION("""COMPUTED_VALUE"""),3666.8)</f>
        <v>3666.8</v>
      </c>
      <c r="C625" s="3">
        <f t="shared" ca="1" si="18"/>
        <v>-6.7583124534434397E-3</v>
      </c>
      <c r="D625">
        <f t="shared" ca="1" si="17"/>
        <v>3555.3928571428573</v>
      </c>
    </row>
    <row r="626" spans="1:4" x14ac:dyDescent="0.25">
      <c r="A626" s="2">
        <f ca="1">IFERROR(__xludf.DUMMYFUNCTION("""COMPUTED_VALUE"""),45296.6458333333)</f>
        <v>45296.645833333299</v>
      </c>
      <c r="B626" s="1">
        <f ca="1">IFERROR(__xludf.DUMMYFUNCTION("""COMPUTED_VALUE"""),3737.9)</f>
        <v>3737.9</v>
      </c>
      <c r="C626" s="3">
        <f t="shared" ca="1" si="18"/>
        <v>1.9390203992582063E-2</v>
      </c>
      <c r="D626">
        <f t="shared" ca="1" si="17"/>
        <v>3560.6306122448973</v>
      </c>
    </row>
    <row r="627" spans="1:4" x14ac:dyDescent="0.25">
      <c r="A627" s="2">
        <f ca="1">IFERROR(__xludf.DUMMYFUNCTION("""COMPUTED_VALUE"""),45299.6458333333)</f>
        <v>45299.645833333299</v>
      </c>
      <c r="B627" s="1">
        <f ca="1">IFERROR(__xludf.DUMMYFUNCTION("""COMPUTED_VALUE"""),3678.3)</f>
        <v>3678.3</v>
      </c>
      <c r="C627" s="3">
        <f t="shared" ca="1" si="18"/>
        <v>-1.5944781829369408E-2</v>
      </c>
      <c r="D627">
        <f t="shared" ca="1" si="17"/>
        <v>3567.7285714285713</v>
      </c>
    </row>
    <row r="628" spans="1:4" x14ac:dyDescent="0.25">
      <c r="A628" s="2">
        <f ca="1">IFERROR(__xludf.DUMMYFUNCTION("""COMPUTED_VALUE"""),45300.6458333333)</f>
        <v>45300.645833333299</v>
      </c>
      <c r="B628" s="1">
        <f ca="1">IFERROR(__xludf.DUMMYFUNCTION("""COMPUTED_VALUE"""),3689.9)</f>
        <v>3689.9</v>
      </c>
      <c r="C628" s="3">
        <f t="shared" ca="1" si="18"/>
        <v>3.1536307533371146E-3</v>
      </c>
      <c r="D628">
        <f t="shared" ref="D628:D691" ca="1" si="19">AVERAGE(B579:B627)</f>
        <v>3574.6989795918362</v>
      </c>
    </row>
    <row r="629" spans="1:4" x14ac:dyDescent="0.25">
      <c r="A629" s="2">
        <f ca="1">IFERROR(__xludf.DUMMYFUNCTION("""COMPUTED_VALUE"""),45301.6458333333)</f>
        <v>45301.645833333299</v>
      </c>
      <c r="B629" s="1">
        <f ca="1">IFERROR(__xludf.DUMMYFUNCTION("""COMPUTED_VALUE"""),3713.05)</f>
        <v>3713.05</v>
      </c>
      <c r="C629" s="3">
        <f t="shared" ca="1" si="18"/>
        <v>6.2738827610504594E-3</v>
      </c>
      <c r="D629">
        <f t="shared" ca="1" si="19"/>
        <v>3581.6163265306118</v>
      </c>
    </row>
    <row r="630" spans="1:4" x14ac:dyDescent="0.25">
      <c r="A630" s="2">
        <f ca="1">IFERROR(__xludf.DUMMYFUNCTION("""COMPUTED_VALUE"""),45302.6458333333)</f>
        <v>45302.645833333299</v>
      </c>
      <c r="B630" s="1">
        <f ca="1">IFERROR(__xludf.DUMMYFUNCTION("""COMPUTED_VALUE"""),3735.55)</f>
        <v>3735.55</v>
      </c>
      <c r="C630" s="3">
        <f t="shared" ca="1" si="18"/>
        <v>6.0597083260392395E-3</v>
      </c>
      <c r="D630">
        <f t="shared" ca="1" si="19"/>
        <v>3588.4428571428562</v>
      </c>
    </row>
    <row r="631" spans="1:4" x14ac:dyDescent="0.25">
      <c r="A631" s="2">
        <f ca="1">IFERROR(__xludf.DUMMYFUNCTION("""COMPUTED_VALUE"""),45303.6458333333)</f>
        <v>45303.645833333299</v>
      </c>
      <c r="B631" s="1">
        <f ca="1">IFERROR(__xludf.DUMMYFUNCTION("""COMPUTED_VALUE"""),3882.8)</f>
        <v>3882.8</v>
      </c>
      <c r="C631" s="3">
        <f t="shared" ca="1" si="18"/>
        <v>3.9418559516001657E-2</v>
      </c>
      <c r="D631">
        <f t="shared" ca="1" si="19"/>
        <v>3595.9285714285702</v>
      </c>
    </row>
    <row r="632" spans="1:4" x14ac:dyDescent="0.25">
      <c r="A632" s="2">
        <f ca="1">IFERROR(__xludf.DUMMYFUNCTION("""COMPUTED_VALUE"""),45306.6458333333)</f>
        <v>45306.645833333299</v>
      </c>
      <c r="B632" s="1">
        <f ca="1">IFERROR(__xludf.DUMMYFUNCTION("""COMPUTED_VALUE"""),3903.8)</f>
        <v>3903.8</v>
      </c>
      <c r="C632" s="3">
        <f t="shared" ca="1" si="18"/>
        <v>5.4084681157927266E-3</v>
      </c>
      <c r="D632">
        <f t="shared" ca="1" si="19"/>
        <v>3607.1969387755089</v>
      </c>
    </row>
    <row r="633" spans="1:4" x14ac:dyDescent="0.25">
      <c r="A633" s="2">
        <f ca="1">IFERROR(__xludf.DUMMYFUNCTION("""COMPUTED_VALUE"""),45307.6458333333)</f>
        <v>45307.645833333299</v>
      </c>
      <c r="B633" s="1">
        <f ca="1">IFERROR(__xludf.DUMMYFUNCTION("""COMPUTED_VALUE"""),3861.3)</f>
        <v>3861.3</v>
      </c>
      <c r="C633" s="3">
        <f t="shared" ca="1" si="18"/>
        <v>-1.0886828218658742E-2</v>
      </c>
      <c r="D633">
        <f t="shared" ca="1" si="19"/>
        <v>3618.2928571428556</v>
      </c>
    </row>
    <row r="634" spans="1:4" x14ac:dyDescent="0.25">
      <c r="A634" s="2">
        <f ca="1">IFERROR(__xludf.DUMMYFUNCTION("""COMPUTED_VALUE"""),45308.6458333333)</f>
        <v>45308.645833333299</v>
      </c>
      <c r="B634" s="1">
        <f ca="1">IFERROR(__xludf.DUMMYFUNCTION("""COMPUTED_VALUE"""),3884.6)</f>
        <v>3884.6</v>
      </c>
      <c r="C634" s="3">
        <f t="shared" ca="1" si="18"/>
        <v>6.0342371740086829E-3</v>
      </c>
      <c r="D634">
        <f t="shared" ca="1" si="19"/>
        <v>3628.7091836734676</v>
      </c>
    </row>
    <row r="635" spans="1:4" x14ac:dyDescent="0.25">
      <c r="A635" s="2">
        <f ca="1">IFERROR(__xludf.DUMMYFUNCTION("""COMPUTED_VALUE"""),45309.6458333333)</f>
        <v>45309.645833333299</v>
      </c>
      <c r="B635" s="1">
        <f ca="1">IFERROR(__xludf.DUMMYFUNCTION("""COMPUTED_VALUE"""),3902.6)</f>
        <v>3902.6</v>
      </c>
      <c r="C635" s="3">
        <f t="shared" ca="1" si="18"/>
        <v>4.6336817175513566E-3</v>
      </c>
      <c r="D635">
        <f t="shared" ca="1" si="19"/>
        <v>3639.002040816325</v>
      </c>
    </row>
    <row r="636" spans="1:4" x14ac:dyDescent="0.25">
      <c r="A636" s="2">
        <f ca="1">IFERROR(__xludf.DUMMYFUNCTION("""COMPUTED_VALUE"""),45310.6458333333)</f>
        <v>45310.645833333299</v>
      </c>
      <c r="B636" s="1">
        <f ca="1">IFERROR(__xludf.DUMMYFUNCTION("""COMPUTED_VALUE"""),3943.05)</f>
        <v>3943.05</v>
      </c>
      <c r="C636" s="3">
        <f t="shared" ca="1" si="18"/>
        <v>1.0364884948495945E-2</v>
      </c>
      <c r="D636">
        <f t="shared" ca="1" si="19"/>
        <v>3649.8622448979572</v>
      </c>
    </row>
    <row r="637" spans="1:4" x14ac:dyDescent="0.25">
      <c r="A637" s="2">
        <f ca="1">IFERROR(__xludf.DUMMYFUNCTION("""COMPUTED_VALUE"""),45314.6458333333)</f>
        <v>45314.645833333299</v>
      </c>
      <c r="B637" s="1">
        <f ca="1">IFERROR(__xludf.DUMMYFUNCTION("""COMPUTED_VALUE"""),3858.25)</f>
        <v>3858.25</v>
      </c>
      <c r="C637" s="3">
        <f t="shared" ca="1" si="18"/>
        <v>-2.1506194443387777E-2</v>
      </c>
      <c r="D637">
        <f t="shared" ca="1" si="19"/>
        <v>3661.3214285714262</v>
      </c>
    </row>
    <row r="638" spans="1:4" x14ac:dyDescent="0.25">
      <c r="A638" s="2">
        <f ca="1">IFERROR(__xludf.DUMMYFUNCTION("""COMPUTED_VALUE"""),45315.6458333333)</f>
        <v>45315.645833333299</v>
      </c>
      <c r="B638" s="1">
        <f ca="1">IFERROR(__xludf.DUMMYFUNCTION("""COMPUTED_VALUE"""),3841.8)</f>
        <v>3841.8</v>
      </c>
      <c r="C638" s="3">
        <f t="shared" ca="1" si="18"/>
        <v>-4.2635910062851856E-3</v>
      </c>
      <c r="D638">
        <f t="shared" ca="1" si="19"/>
        <v>3671.745918367345</v>
      </c>
    </row>
    <row r="639" spans="1:4" x14ac:dyDescent="0.25">
      <c r="A639" s="2">
        <f ca="1">IFERROR(__xludf.DUMMYFUNCTION("""COMPUTED_VALUE"""),45316.6458333333)</f>
        <v>45316.645833333299</v>
      </c>
      <c r="B639" s="1">
        <f ca="1">IFERROR(__xludf.DUMMYFUNCTION("""COMPUTED_VALUE"""),3810.3)</f>
        <v>3810.3</v>
      </c>
      <c r="C639" s="3">
        <f t="shared" ca="1" si="18"/>
        <v>-8.1992815867562071E-3</v>
      </c>
      <c r="D639">
        <f t="shared" ca="1" si="19"/>
        <v>3682.1204081632636</v>
      </c>
    </row>
    <row r="640" spans="1:4" x14ac:dyDescent="0.25">
      <c r="A640" s="2">
        <f ca="1">IFERROR(__xludf.DUMMYFUNCTION("""COMPUTED_VALUE"""),45320.6458333333)</f>
        <v>45320.645833333299</v>
      </c>
      <c r="B640" s="1">
        <f ca="1">IFERROR(__xludf.DUMMYFUNCTION("""COMPUTED_VALUE"""),3801)</f>
        <v>3801</v>
      </c>
      <c r="C640" s="3">
        <f t="shared" ca="1" si="18"/>
        <v>-2.4407526966381075E-3</v>
      </c>
      <c r="D640">
        <f t="shared" ca="1" si="19"/>
        <v>3691.8908163265287</v>
      </c>
    </row>
    <row r="641" spans="1:4" x14ac:dyDescent="0.25">
      <c r="A641" s="2">
        <f ca="1">IFERROR(__xludf.DUMMYFUNCTION("""COMPUTED_VALUE"""),45321.6458333333)</f>
        <v>45321.645833333299</v>
      </c>
      <c r="B641" s="1">
        <f ca="1">IFERROR(__xludf.DUMMYFUNCTION("""COMPUTED_VALUE"""),3800.55)</f>
        <v>3800.55</v>
      </c>
      <c r="C641" s="3">
        <f t="shared" ca="1" si="18"/>
        <v>-1.1838989739537441E-4</v>
      </c>
      <c r="D641">
        <f t="shared" ca="1" si="19"/>
        <v>3699.9867346938754</v>
      </c>
    </row>
    <row r="642" spans="1:4" x14ac:dyDescent="0.25">
      <c r="A642" s="2">
        <f ca="1">IFERROR(__xludf.DUMMYFUNCTION("""COMPUTED_VALUE"""),45322.6458333333)</f>
        <v>45322.645833333299</v>
      </c>
      <c r="B642" s="1">
        <f ca="1">IFERROR(__xludf.DUMMYFUNCTION("""COMPUTED_VALUE"""),3815.95)</f>
        <v>3815.95</v>
      </c>
      <c r="C642" s="3">
        <f t="shared" ca="1" si="18"/>
        <v>4.0520450987356132E-3</v>
      </c>
      <c r="D642">
        <f t="shared" ca="1" si="19"/>
        <v>3706.1642857142838</v>
      </c>
    </row>
    <row r="643" spans="1:4" x14ac:dyDescent="0.25">
      <c r="A643" s="2">
        <f ca="1">IFERROR(__xludf.DUMMYFUNCTION("""COMPUTED_VALUE"""),45323.6458333333)</f>
        <v>45323.645833333299</v>
      </c>
      <c r="B643" s="1">
        <f ca="1">IFERROR(__xludf.DUMMYFUNCTION("""COMPUTED_VALUE"""),3854.15)</f>
        <v>3854.15</v>
      </c>
      <c r="C643" s="3">
        <f t="shared" ca="1" si="18"/>
        <v>1.0010613346611007E-2</v>
      </c>
      <c r="D643">
        <f t="shared" ca="1" si="19"/>
        <v>3712.562244897957</v>
      </c>
    </row>
    <row r="644" spans="1:4" x14ac:dyDescent="0.25">
      <c r="A644" s="2">
        <f ca="1">IFERROR(__xludf.DUMMYFUNCTION("""COMPUTED_VALUE"""),45324.6458333333)</f>
        <v>45324.645833333299</v>
      </c>
      <c r="B644" s="1">
        <f ca="1">IFERROR(__xludf.DUMMYFUNCTION("""COMPUTED_VALUE"""),3966.3)</f>
        <v>3966.3</v>
      </c>
      <c r="C644" s="3">
        <f t="shared" ref="C644:C707" ca="1" si="20">(B644-B643)/B643</f>
        <v>2.9098504209747956E-2</v>
      </c>
      <c r="D644">
        <f t="shared" ca="1" si="19"/>
        <v>3719.3897959183655</v>
      </c>
    </row>
    <row r="645" spans="1:4" x14ac:dyDescent="0.25">
      <c r="A645" s="2">
        <f ca="1">IFERROR(__xludf.DUMMYFUNCTION("""COMPUTED_VALUE"""),45327.6458333333)</f>
        <v>45327.645833333299</v>
      </c>
      <c r="B645" s="1">
        <f ca="1">IFERROR(__xludf.DUMMYFUNCTION("""COMPUTED_VALUE"""),3973.3)</f>
        <v>3973.3</v>
      </c>
      <c r="C645" s="3">
        <f t="shared" ca="1" si="20"/>
        <v>1.7648690215061895E-3</v>
      </c>
      <c r="D645">
        <f t="shared" ca="1" si="19"/>
        <v>3728.6979591836721</v>
      </c>
    </row>
    <row r="646" spans="1:4" x14ac:dyDescent="0.25">
      <c r="A646" s="2">
        <f ca="1">IFERROR(__xludf.DUMMYFUNCTION("""COMPUTED_VALUE"""),45328.6458333333)</f>
        <v>45328.645833333299</v>
      </c>
      <c r="B646" s="1">
        <f ca="1">IFERROR(__xludf.DUMMYFUNCTION("""COMPUTED_VALUE"""),4136)</f>
        <v>4136</v>
      </c>
      <c r="C646" s="3">
        <f t="shared" ca="1" si="20"/>
        <v>4.0948330103440414E-2</v>
      </c>
      <c r="D646">
        <f t="shared" ca="1" si="19"/>
        <v>3737.7418367346922</v>
      </c>
    </row>
    <row r="647" spans="1:4" x14ac:dyDescent="0.25">
      <c r="A647" s="2">
        <f ca="1">IFERROR(__xludf.DUMMYFUNCTION("""COMPUTED_VALUE"""),45329.6458333333)</f>
        <v>45329.645833333299</v>
      </c>
      <c r="B647" s="1">
        <f ca="1">IFERROR(__xludf.DUMMYFUNCTION("""COMPUTED_VALUE"""),4083.4)</f>
        <v>4083.4</v>
      </c>
      <c r="C647" s="3">
        <f t="shared" ca="1" si="20"/>
        <v>-1.271760154738876E-2</v>
      </c>
      <c r="D647">
        <f t="shared" ca="1" si="19"/>
        <v>3750.5530612244888</v>
      </c>
    </row>
    <row r="648" spans="1:4" x14ac:dyDescent="0.25">
      <c r="A648" s="2">
        <f ca="1">IFERROR(__xludf.DUMMYFUNCTION("""COMPUTED_VALUE"""),45330.6458333333)</f>
        <v>45330.645833333299</v>
      </c>
      <c r="B648" s="1">
        <f ca="1">IFERROR(__xludf.DUMMYFUNCTION("""COMPUTED_VALUE"""),4134.1)</f>
        <v>4134.1000000000004</v>
      </c>
      <c r="C648" s="3">
        <f t="shared" ca="1" si="20"/>
        <v>1.2416123818386705E-2</v>
      </c>
      <c r="D648">
        <f t="shared" ca="1" si="19"/>
        <v>3763.3346938775499</v>
      </c>
    </row>
    <row r="649" spans="1:4" x14ac:dyDescent="0.25">
      <c r="A649" s="2">
        <f ca="1">IFERROR(__xludf.DUMMYFUNCTION("""COMPUTED_VALUE"""),45331.6458333333)</f>
        <v>45331.645833333299</v>
      </c>
      <c r="B649" s="1">
        <f ca="1">IFERROR(__xludf.DUMMYFUNCTION("""COMPUTED_VALUE"""),4133.7)</f>
        <v>4133.7</v>
      </c>
      <c r="C649" s="3">
        <f t="shared" ca="1" si="20"/>
        <v>-9.6756246825317638E-5</v>
      </c>
      <c r="D649">
        <f t="shared" ca="1" si="19"/>
        <v>3776.88469387755</v>
      </c>
    </row>
    <row r="650" spans="1:4" x14ac:dyDescent="0.25">
      <c r="A650" s="2">
        <f ca="1">IFERROR(__xludf.DUMMYFUNCTION("""COMPUTED_VALUE"""),45334.6458333333)</f>
        <v>45334.645833333299</v>
      </c>
      <c r="B650" s="1">
        <f ca="1">IFERROR(__xludf.DUMMYFUNCTION("""COMPUTED_VALUE"""),4120.7)</f>
        <v>4120.7</v>
      </c>
      <c r="C650" s="3">
        <f t="shared" ca="1" si="20"/>
        <v>-3.1448823088274427E-3</v>
      </c>
      <c r="D650">
        <f t="shared" ca="1" si="19"/>
        <v>3789.5367346938765</v>
      </c>
    </row>
    <row r="651" spans="1:4" x14ac:dyDescent="0.25">
      <c r="A651" s="2">
        <f ca="1">IFERROR(__xludf.DUMMYFUNCTION("""COMPUTED_VALUE"""),45335.6458333333)</f>
        <v>45335.645833333299</v>
      </c>
      <c r="B651" s="1">
        <f ca="1">IFERROR(__xludf.DUMMYFUNCTION("""COMPUTED_VALUE"""),4149.5)</f>
        <v>4149.5</v>
      </c>
      <c r="C651" s="3">
        <f t="shared" ca="1" si="20"/>
        <v>6.9891037930449153E-3</v>
      </c>
      <c r="D651">
        <f t="shared" ca="1" si="19"/>
        <v>3802.4571428571426</v>
      </c>
    </row>
    <row r="652" spans="1:4" x14ac:dyDescent="0.25">
      <c r="A652" s="2">
        <f ca="1">IFERROR(__xludf.DUMMYFUNCTION("""COMPUTED_VALUE"""),45336.6458333333)</f>
        <v>45336.645833333299</v>
      </c>
      <c r="B652" s="1">
        <f ca="1">IFERROR(__xludf.DUMMYFUNCTION("""COMPUTED_VALUE"""),4100.1)</f>
        <v>4100.1000000000004</v>
      </c>
      <c r="C652" s="3">
        <f t="shared" ca="1" si="20"/>
        <v>-1.190504880106028E-2</v>
      </c>
      <c r="D652">
        <f t="shared" ca="1" si="19"/>
        <v>3815.4744897959176</v>
      </c>
    </row>
    <row r="653" spans="1:4" x14ac:dyDescent="0.25">
      <c r="A653" s="2">
        <f ca="1">IFERROR(__xludf.DUMMYFUNCTION("""COMPUTED_VALUE"""),45337.6458333333)</f>
        <v>45337.645833333299</v>
      </c>
      <c r="B653" s="1">
        <f ca="1">IFERROR(__xludf.DUMMYFUNCTION("""COMPUTED_VALUE"""),4103.2)</f>
        <v>4103.2</v>
      </c>
      <c r="C653" s="3">
        <f t="shared" ca="1" si="20"/>
        <v>7.5607912002132978E-4</v>
      </c>
      <c r="D653">
        <f t="shared" ca="1" si="19"/>
        <v>3827.4673469387753</v>
      </c>
    </row>
    <row r="654" spans="1:4" x14ac:dyDescent="0.25">
      <c r="A654" s="2">
        <f ca="1">IFERROR(__xludf.DUMMYFUNCTION("""COMPUTED_VALUE"""),45338.6458333333)</f>
        <v>45338.645833333299</v>
      </c>
      <c r="B654" s="1">
        <f ca="1">IFERROR(__xludf.DUMMYFUNCTION("""COMPUTED_VALUE"""),4128.3)</f>
        <v>4128.3</v>
      </c>
      <c r="C654" s="3">
        <f t="shared" ca="1" si="20"/>
        <v>6.1171768375902621E-3</v>
      </c>
      <c r="D654">
        <f t="shared" ca="1" si="19"/>
        <v>3839.132653061225</v>
      </c>
    </row>
    <row r="655" spans="1:4" x14ac:dyDescent="0.25">
      <c r="A655" s="2">
        <f ca="1">IFERROR(__xludf.DUMMYFUNCTION("""COMPUTED_VALUE"""),45341.6458333333)</f>
        <v>45341.645833333299</v>
      </c>
      <c r="B655" s="1">
        <f ca="1">IFERROR(__xludf.DUMMYFUNCTION("""COMPUTED_VALUE"""),4103.8)</f>
        <v>4103.8</v>
      </c>
      <c r="C655" s="3">
        <f t="shared" ca="1" si="20"/>
        <v>-5.9346462224160066E-3</v>
      </c>
      <c r="D655">
        <f t="shared" ca="1" si="19"/>
        <v>3849.8306122448989</v>
      </c>
    </row>
    <row r="656" spans="1:4" x14ac:dyDescent="0.25">
      <c r="A656" s="2">
        <f ca="1">IFERROR(__xludf.DUMMYFUNCTION("""COMPUTED_VALUE"""),45342.6458333333)</f>
        <v>45342.645833333299</v>
      </c>
      <c r="B656" s="1">
        <f ca="1">IFERROR(__xludf.DUMMYFUNCTION("""COMPUTED_VALUE"""),4030.65)</f>
        <v>4030.65</v>
      </c>
      <c r="C656" s="3">
        <f t="shared" ca="1" si="20"/>
        <v>-1.7824942736000802E-2</v>
      </c>
      <c r="D656">
        <f t="shared" ca="1" si="19"/>
        <v>3859.808163265307</v>
      </c>
    </row>
    <row r="657" spans="1:4" x14ac:dyDescent="0.25">
      <c r="A657" s="2">
        <f ca="1">IFERROR(__xludf.DUMMYFUNCTION("""COMPUTED_VALUE"""),45343.6458333333)</f>
        <v>45343.645833333299</v>
      </c>
      <c r="B657" s="1">
        <f ca="1">IFERROR(__xludf.DUMMYFUNCTION("""COMPUTED_VALUE"""),3991.5)</f>
        <v>3991.5</v>
      </c>
      <c r="C657" s="3">
        <f t="shared" ca="1" si="20"/>
        <v>-9.7130735737412308E-3</v>
      </c>
      <c r="D657">
        <f t="shared" ca="1" si="19"/>
        <v>3868.052040816327</v>
      </c>
    </row>
    <row r="658" spans="1:4" x14ac:dyDescent="0.25">
      <c r="A658" s="2">
        <f ca="1">IFERROR(__xludf.DUMMYFUNCTION("""COMPUTED_VALUE"""),45344.6458333333)</f>
        <v>45344.645833333299</v>
      </c>
      <c r="B658" s="1">
        <f ca="1">IFERROR(__xludf.DUMMYFUNCTION("""COMPUTED_VALUE"""),4087.1)</f>
        <v>4087.1</v>
      </c>
      <c r="C658" s="3">
        <f t="shared" ca="1" si="20"/>
        <v>2.3950895653263162E-2</v>
      </c>
      <c r="D658">
        <f t="shared" ca="1" si="19"/>
        <v>3875.1663265306129</v>
      </c>
    </row>
    <row r="659" spans="1:4" x14ac:dyDescent="0.25">
      <c r="A659" s="2">
        <f ca="1">IFERROR(__xludf.DUMMYFUNCTION("""COMPUTED_VALUE"""),45345.6458333333)</f>
        <v>45345.645833333299</v>
      </c>
      <c r="B659" s="1">
        <f ca="1">IFERROR(__xludf.DUMMYFUNCTION("""COMPUTED_VALUE"""),4052.1)</f>
        <v>4052.1</v>
      </c>
      <c r="C659" s="3">
        <f t="shared" ca="1" si="20"/>
        <v>-8.5635291526999589E-3</v>
      </c>
      <c r="D659">
        <f t="shared" ca="1" si="19"/>
        <v>3883.6357142857146</v>
      </c>
    </row>
    <row r="660" spans="1:4" x14ac:dyDescent="0.25">
      <c r="A660" s="2">
        <f ca="1">IFERROR(__xludf.DUMMYFUNCTION("""COMPUTED_VALUE"""),45348.6458333333)</f>
        <v>45348.645833333299</v>
      </c>
      <c r="B660" s="1">
        <f ca="1">IFERROR(__xludf.DUMMYFUNCTION("""COMPUTED_VALUE"""),4001.05)</f>
        <v>4001.05</v>
      </c>
      <c r="C660" s="3">
        <f t="shared" ca="1" si="20"/>
        <v>-1.2598405764911953E-2</v>
      </c>
      <c r="D660">
        <f t="shared" ca="1" si="19"/>
        <v>3892.9938775510213</v>
      </c>
    </row>
    <row r="661" spans="1:4" x14ac:dyDescent="0.25">
      <c r="A661" s="2">
        <f ca="1">IFERROR(__xludf.DUMMYFUNCTION("""COMPUTED_VALUE"""),45349.6458333333)</f>
        <v>45349.645833333299</v>
      </c>
      <c r="B661" s="1">
        <f ca="1">IFERROR(__xludf.DUMMYFUNCTION("""COMPUTED_VALUE"""),4104.4)</f>
        <v>4104.3999999999996</v>
      </c>
      <c r="C661" s="3">
        <f t="shared" ca="1" si="20"/>
        <v>2.5830719436147873E-2</v>
      </c>
      <c r="D661">
        <f t="shared" ca="1" si="19"/>
        <v>3899.8061224489807</v>
      </c>
    </row>
    <row r="662" spans="1:4" x14ac:dyDescent="0.25">
      <c r="A662" s="2">
        <f ca="1">IFERROR(__xludf.DUMMYFUNCTION("""COMPUTED_VALUE"""),45350.6458333333)</f>
        <v>45350.645833333299</v>
      </c>
      <c r="B662" s="1">
        <f ca="1">IFERROR(__xludf.DUMMYFUNCTION("""COMPUTED_VALUE"""),4118.95)</f>
        <v>4118.95</v>
      </c>
      <c r="C662" s="3">
        <f t="shared" ca="1" si="20"/>
        <v>3.5449761231849193E-3</v>
      </c>
      <c r="D662">
        <f t="shared" ca="1" si="19"/>
        <v>3904.773469387756</v>
      </c>
    </row>
    <row r="663" spans="1:4" x14ac:dyDescent="0.25">
      <c r="A663" s="2">
        <f ca="1">IFERROR(__xludf.DUMMYFUNCTION("""COMPUTED_VALUE"""),45351.6458333333)</f>
        <v>45351.645833333299</v>
      </c>
      <c r="B663" s="1">
        <f ca="1">IFERROR(__xludf.DUMMYFUNCTION("""COMPUTED_VALUE"""),4095.1)</f>
        <v>4095.1</v>
      </c>
      <c r="C663" s="3">
        <f t="shared" ca="1" si="20"/>
        <v>-5.7903106374197089E-3</v>
      </c>
      <c r="D663">
        <f t="shared" ca="1" si="19"/>
        <v>3910.0744897959194</v>
      </c>
    </row>
    <row r="664" spans="1:4" x14ac:dyDescent="0.25">
      <c r="A664" s="2">
        <f ca="1">IFERROR(__xludf.DUMMYFUNCTION("""COMPUTED_VALUE"""),45352.6458333333)</f>
        <v>45352.645833333299</v>
      </c>
      <c r="B664" s="1">
        <f ca="1">IFERROR(__xludf.DUMMYFUNCTION("""COMPUTED_VALUE"""),4094.35)</f>
        <v>4094.35</v>
      </c>
      <c r="C664" s="3">
        <f t="shared" ca="1" si="20"/>
        <v>-1.8314571072745476E-4</v>
      </c>
      <c r="D664">
        <f t="shared" ca="1" si="19"/>
        <v>3915.7663265306132</v>
      </c>
    </row>
    <row r="665" spans="1:4" x14ac:dyDescent="0.25">
      <c r="A665" s="2">
        <f ca="1">IFERROR(__xludf.DUMMYFUNCTION("""COMPUTED_VALUE"""),45355.6458333333)</f>
        <v>45355.645833333299</v>
      </c>
      <c r="B665" s="1">
        <f ca="1">IFERROR(__xludf.DUMMYFUNCTION("""COMPUTED_VALUE"""),4080.7)</f>
        <v>4080.7</v>
      </c>
      <c r="C665" s="3">
        <f t="shared" ca="1" si="20"/>
        <v>-3.33386251786E-3</v>
      </c>
      <c r="D665">
        <f t="shared" ca="1" si="19"/>
        <v>3922.1806122448993</v>
      </c>
    </row>
    <row r="666" spans="1:4" x14ac:dyDescent="0.25">
      <c r="A666" s="2">
        <f ca="1">IFERROR(__xludf.DUMMYFUNCTION("""COMPUTED_VALUE"""),45356.6458333333)</f>
        <v>45356.645833333299</v>
      </c>
      <c r="B666" s="1">
        <f ca="1">IFERROR(__xludf.DUMMYFUNCTION("""COMPUTED_VALUE"""),4012.1)</f>
        <v>4012.1</v>
      </c>
      <c r="C666" s="3">
        <f t="shared" ca="1" si="20"/>
        <v>-1.6810841277231824E-2</v>
      </c>
      <c r="D666">
        <f t="shared" ca="1" si="19"/>
        <v>3928.1642857142865</v>
      </c>
    </row>
    <row r="667" spans="1:4" x14ac:dyDescent="0.25">
      <c r="A667" s="2">
        <f ca="1">IFERROR(__xludf.DUMMYFUNCTION("""COMPUTED_VALUE"""),45357.6458333333)</f>
        <v>45357.645833333299</v>
      </c>
      <c r="B667" s="1">
        <f ca="1">IFERROR(__xludf.DUMMYFUNCTION("""COMPUTED_VALUE"""),4064.3)</f>
        <v>4064.3</v>
      </c>
      <c r="C667" s="3">
        <f t="shared" ca="1" si="20"/>
        <v>1.301064280551339E-2</v>
      </c>
      <c r="D667">
        <f t="shared" ca="1" si="19"/>
        <v>3932.0030612244905</v>
      </c>
    </row>
    <row r="668" spans="1:4" x14ac:dyDescent="0.25">
      <c r="A668" s="2">
        <f ca="1">IFERROR(__xludf.DUMMYFUNCTION("""COMPUTED_VALUE"""),45358.6458333333)</f>
        <v>45358.645833333299</v>
      </c>
      <c r="B668" s="1">
        <f ca="1">IFERROR(__xludf.DUMMYFUNCTION("""COMPUTED_VALUE"""),4108.6)</f>
        <v>4108.6000000000004</v>
      </c>
      <c r="C668" s="3">
        <f t="shared" ca="1" si="20"/>
        <v>1.0899785940998495E-2</v>
      </c>
      <c r="D668">
        <f t="shared" ca="1" si="19"/>
        <v>3937.4877551020413</v>
      </c>
    </row>
    <row r="669" spans="1:4" x14ac:dyDescent="0.25">
      <c r="A669" s="2">
        <f ca="1">IFERROR(__xludf.DUMMYFUNCTION("""COMPUTED_VALUE"""),45362.6458333333)</f>
        <v>45362.645833333299</v>
      </c>
      <c r="B669" s="1">
        <f ca="1">IFERROR(__xludf.DUMMYFUNCTION("""COMPUTED_VALUE"""),4122.35)</f>
        <v>4122.3500000000004</v>
      </c>
      <c r="C669" s="3">
        <f t="shared" ca="1" si="20"/>
        <v>3.346638757727693E-3</v>
      </c>
      <c r="D669">
        <f t="shared" ca="1" si="19"/>
        <v>3943.5571428571434</v>
      </c>
    </row>
    <row r="670" spans="1:4" x14ac:dyDescent="0.25">
      <c r="A670" s="2">
        <f ca="1">IFERROR(__xludf.DUMMYFUNCTION("""COMPUTED_VALUE"""),45363.6458333333)</f>
        <v>45363.645833333299</v>
      </c>
      <c r="B670" s="1">
        <f ca="1">IFERROR(__xludf.DUMMYFUNCTION("""COMPUTED_VALUE"""),4192.25)</f>
        <v>4192.25</v>
      </c>
      <c r="C670" s="3">
        <f t="shared" ca="1" si="20"/>
        <v>1.695634771428909E-2</v>
      </c>
      <c r="D670">
        <f t="shared" ca="1" si="19"/>
        <v>3950.1377551020414</v>
      </c>
    </row>
    <row r="671" spans="1:4" x14ac:dyDescent="0.25">
      <c r="A671" s="2">
        <f ca="1">IFERROR(__xludf.DUMMYFUNCTION("""COMPUTED_VALUE"""),45364.6458333333)</f>
        <v>45364.645833333299</v>
      </c>
      <c r="B671" s="1">
        <f ca="1">IFERROR(__xludf.DUMMYFUNCTION("""COMPUTED_VALUE"""),4149)</f>
        <v>4149</v>
      </c>
      <c r="C671" s="3">
        <f t="shared" ca="1" si="20"/>
        <v>-1.0316655733794502E-2</v>
      </c>
      <c r="D671">
        <f t="shared" ca="1" si="19"/>
        <v>3958.2775510204087</v>
      </c>
    </row>
    <row r="672" spans="1:4" x14ac:dyDescent="0.25">
      <c r="A672" s="2">
        <f ca="1">IFERROR(__xludf.DUMMYFUNCTION("""COMPUTED_VALUE"""),45365.6458333333)</f>
        <v>45365.645833333299</v>
      </c>
      <c r="B672" s="1">
        <f ca="1">IFERROR(__xludf.DUMMYFUNCTION("""COMPUTED_VALUE"""),4207.6)</f>
        <v>4207.6000000000004</v>
      </c>
      <c r="C672" s="3">
        <f t="shared" ca="1" si="20"/>
        <v>1.4123885273559981E-2</v>
      </c>
      <c r="D672">
        <f t="shared" ca="1" si="19"/>
        <v>3965.1734693877561</v>
      </c>
    </row>
    <row r="673" spans="1:4" x14ac:dyDescent="0.25">
      <c r="A673" s="2">
        <f ca="1">IFERROR(__xludf.DUMMYFUNCTION("""COMPUTED_VALUE"""),45366.6458333333)</f>
        <v>45366.645833333299</v>
      </c>
      <c r="B673" s="1">
        <f ca="1">IFERROR(__xludf.DUMMYFUNCTION("""COMPUTED_VALUE"""),4219.25)</f>
        <v>4219.25</v>
      </c>
      <c r="C673" s="3">
        <f t="shared" ca="1" si="20"/>
        <v>2.7687993155242029E-3</v>
      </c>
      <c r="D673">
        <f t="shared" ca="1" si="19"/>
        <v>3973.8346938775521</v>
      </c>
    </row>
    <row r="674" spans="1:4" x14ac:dyDescent="0.25">
      <c r="A674" s="2">
        <f ca="1">IFERROR(__xludf.DUMMYFUNCTION("""COMPUTED_VALUE"""),45369.6458333333)</f>
        <v>45369.645833333299</v>
      </c>
      <c r="B674" s="1">
        <f ca="1">IFERROR(__xludf.DUMMYFUNCTION("""COMPUTED_VALUE"""),4152.5)</f>
        <v>4152.5</v>
      </c>
      <c r="C674" s="3">
        <f t="shared" ca="1" si="20"/>
        <v>-1.5820347218107482E-2</v>
      </c>
      <c r="D674">
        <f t="shared" ca="1" si="19"/>
        <v>3984.6000000000013</v>
      </c>
    </row>
    <row r="675" spans="1:4" x14ac:dyDescent="0.25">
      <c r="A675" s="2">
        <f ca="1">IFERROR(__xludf.DUMMYFUNCTION("""COMPUTED_VALUE"""),45370.6458333333)</f>
        <v>45370.645833333299</v>
      </c>
      <c r="B675" s="1">
        <f ca="1">IFERROR(__xludf.DUMMYFUNCTION("""COMPUTED_VALUE"""),3977.3)</f>
        <v>3977.3</v>
      </c>
      <c r="C675" s="3">
        <f t="shared" ca="1" si="20"/>
        <v>-4.2191450933172746E-2</v>
      </c>
      <c r="D675">
        <f t="shared" ca="1" si="19"/>
        <v>3994.51224489796</v>
      </c>
    </row>
    <row r="676" spans="1:4" x14ac:dyDescent="0.25">
      <c r="A676" s="2">
        <f ca="1">IFERROR(__xludf.DUMMYFUNCTION("""COMPUTED_VALUE"""),45371.6458333333)</f>
        <v>45371.645833333299</v>
      </c>
      <c r="B676" s="1">
        <f ca="1">IFERROR(__xludf.DUMMYFUNCTION("""COMPUTED_VALUE"""),3970.9)</f>
        <v>3970.9</v>
      </c>
      <c r="C676" s="3">
        <f t="shared" ca="1" si="20"/>
        <v>-1.609131823096093E-3</v>
      </c>
      <c r="D676">
        <f t="shared" ca="1" si="19"/>
        <v>3999.3979591836742</v>
      </c>
    </row>
    <row r="677" spans="1:4" x14ac:dyDescent="0.25">
      <c r="A677" s="2">
        <f ca="1">IFERROR(__xludf.DUMMYFUNCTION("""COMPUTED_VALUE"""),45372.6458333333)</f>
        <v>45372.645833333299</v>
      </c>
      <c r="B677" s="1">
        <f ca="1">IFERROR(__xludf.DUMMYFUNCTION("""COMPUTED_VALUE"""),3972.95)</f>
        <v>3972.95</v>
      </c>
      <c r="C677" s="3">
        <f t="shared" ca="1" si="20"/>
        <v>5.1625576065872402E-4</v>
      </c>
      <c r="D677">
        <f t="shared" ca="1" si="19"/>
        <v>4005.3693877551027</v>
      </c>
    </row>
    <row r="678" spans="1:4" x14ac:dyDescent="0.25">
      <c r="A678" s="2">
        <f ca="1">IFERROR(__xludf.DUMMYFUNCTION("""COMPUTED_VALUE"""),45373.6458333333)</f>
        <v>45373.645833333299</v>
      </c>
      <c r="B678" s="1">
        <f ca="1">IFERROR(__xludf.DUMMYFUNCTION("""COMPUTED_VALUE"""),3910.9)</f>
        <v>3910.9</v>
      </c>
      <c r="C678" s="3">
        <f t="shared" ca="1" si="20"/>
        <v>-1.5618117519727087E-2</v>
      </c>
      <c r="D678">
        <f t="shared" ca="1" si="19"/>
        <v>4011.1459183673478</v>
      </c>
    </row>
    <row r="679" spans="1:4" x14ac:dyDescent="0.25">
      <c r="A679" s="2">
        <f ca="1">IFERROR(__xludf.DUMMYFUNCTION("""COMPUTED_VALUE"""),45377.6458333333)</f>
        <v>45377.645833333299</v>
      </c>
      <c r="B679" s="1">
        <f ca="1">IFERROR(__xludf.DUMMYFUNCTION("""COMPUTED_VALUE"""),3877.5)</f>
        <v>3877.5</v>
      </c>
      <c r="C679" s="3">
        <f t="shared" ca="1" si="20"/>
        <v>-8.5402337057966429E-3</v>
      </c>
      <c r="D679">
        <f t="shared" ca="1" si="19"/>
        <v>4015.1836734693889</v>
      </c>
    </row>
    <row r="680" spans="1:4" x14ac:dyDescent="0.25">
      <c r="A680" s="2">
        <f ca="1">IFERROR(__xludf.DUMMYFUNCTION("""COMPUTED_VALUE"""),45378.6458333333)</f>
        <v>45378.645833333299</v>
      </c>
      <c r="B680" s="1">
        <f ca="1">IFERROR(__xludf.DUMMYFUNCTION("""COMPUTED_VALUE"""),3840.9)</f>
        <v>3840.9</v>
      </c>
      <c r="C680" s="3">
        <f t="shared" ca="1" si="20"/>
        <v>-9.4390715667311172E-3</v>
      </c>
      <c r="D680">
        <f t="shared" ca="1" si="19"/>
        <v>4018.0806122448989</v>
      </c>
    </row>
    <row r="681" spans="1:4" x14ac:dyDescent="0.25">
      <c r="A681" s="2">
        <f ca="1">IFERROR(__xludf.DUMMYFUNCTION("""COMPUTED_VALUE"""),45379.6458333333)</f>
        <v>45379.645833333299</v>
      </c>
      <c r="B681" s="1">
        <f ca="1">IFERROR(__xludf.DUMMYFUNCTION("""COMPUTED_VALUE"""),3876.3)</f>
        <v>3876.3</v>
      </c>
      <c r="C681" s="3">
        <f t="shared" ca="1" si="20"/>
        <v>9.2165898617511764E-3</v>
      </c>
      <c r="D681">
        <f t="shared" ca="1" si="19"/>
        <v>4017.2255102040822</v>
      </c>
    </row>
    <row r="682" spans="1:4" x14ac:dyDescent="0.25">
      <c r="A682" s="2">
        <f ca="1">IFERROR(__xludf.DUMMYFUNCTION("""COMPUTED_VALUE"""),45383.6458333333)</f>
        <v>45383.645833333299</v>
      </c>
      <c r="B682" s="1">
        <f ca="1">IFERROR(__xludf.DUMMYFUNCTION("""COMPUTED_VALUE"""),3916.75)</f>
        <v>3916.75</v>
      </c>
      <c r="C682" s="3">
        <f t="shared" ca="1" si="20"/>
        <v>1.04352088331656E-2</v>
      </c>
      <c r="D682">
        <f t="shared" ca="1" si="19"/>
        <v>4016.6642857142861</v>
      </c>
    </row>
    <row r="683" spans="1:4" x14ac:dyDescent="0.25">
      <c r="A683" s="2">
        <f ca="1">IFERROR(__xludf.DUMMYFUNCTION("""COMPUTED_VALUE"""),45384.6458333333)</f>
        <v>45384.645833333299</v>
      </c>
      <c r="B683" s="1">
        <f ca="1">IFERROR(__xludf.DUMMYFUNCTION("""COMPUTED_VALUE"""),3883.8)</f>
        <v>3883.8</v>
      </c>
      <c r="C683" s="3">
        <f t="shared" ca="1" si="20"/>
        <v>-8.4125869662347152E-3</v>
      </c>
      <c r="D683">
        <f t="shared" ca="1" si="19"/>
        <v>4017.795918367347</v>
      </c>
    </row>
    <row r="684" spans="1:4" x14ac:dyDescent="0.25">
      <c r="A684" s="2">
        <f ca="1">IFERROR(__xludf.DUMMYFUNCTION("""COMPUTED_VALUE"""),45385.6458333333)</f>
        <v>45385.645833333299</v>
      </c>
      <c r="B684" s="1">
        <f ca="1">IFERROR(__xludf.DUMMYFUNCTION("""COMPUTED_VALUE"""),3947.3)</f>
        <v>3947.3</v>
      </c>
      <c r="C684" s="3">
        <f t="shared" ca="1" si="20"/>
        <v>1.6349966527627581E-2</v>
      </c>
      <c r="D684">
        <f t="shared" ca="1" si="19"/>
        <v>4017.7795918367342</v>
      </c>
    </row>
    <row r="685" spans="1:4" x14ac:dyDescent="0.25">
      <c r="A685" s="2">
        <f ca="1">IFERROR(__xludf.DUMMYFUNCTION("""COMPUTED_VALUE"""),45386.6458333333)</f>
        <v>45386.645833333299</v>
      </c>
      <c r="B685" s="1">
        <f ca="1">IFERROR(__xludf.DUMMYFUNCTION("""COMPUTED_VALUE"""),4003.3)</f>
        <v>4003.3</v>
      </c>
      <c r="C685" s="3">
        <f t="shared" ca="1" si="20"/>
        <v>1.4186912573151267E-2</v>
      </c>
      <c r="D685">
        <f t="shared" ca="1" si="19"/>
        <v>4018.6918367346939</v>
      </c>
    </row>
    <row r="686" spans="1:4" x14ac:dyDescent="0.25">
      <c r="A686" s="2">
        <f ca="1">IFERROR(__xludf.DUMMYFUNCTION("""COMPUTED_VALUE"""),45387.6458333333)</f>
        <v>45387.645833333299</v>
      </c>
      <c r="B686" s="1">
        <f ca="1">IFERROR(__xludf.DUMMYFUNCTION("""COMPUTED_VALUE"""),3979.25)</f>
        <v>3979.25</v>
      </c>
      <c r="C686" s="3">
        <f t="shared" ca="1" si="20"/>
        <v>-6.0075437763845276E-3</v>
      </c>
      <c r="D686">
        <f t="shared" ca="1" si="19"/>
        <v>4019.9214285714279</v>
      </c>
    </row>
    <row r="687" spans="1:4" x14ac:dyDescent="0.25">
      <c r="A687" s="2">
        <f ca="1">IFERROR(__xludf.DUMMYFUNCTION("""COMPUTED_VALUE"""),45390.6458333333)</f>
        <v>45390.645833333299</v>
      </c>
      <c r="B687" s="1">
        <f ca="1">IFERROR(__xludf.DUMMYFUNCTION("""COMPUTED_VALUE"""),3972.55)</f>
        <v>3972.55</v>
      </c>
      <c r="C687" s="3">
        <f t="shared" ca="1" si="20"/>
        <v>-1.6837343720549898E-3</v>
      </c>
      <c r="D687">
        <f t="shared" ca="1" si="19"/>
        <v>4022.3908163265301</v>
      </c>
    </row>
    <row r="688" spans="1:4" x14ac:dyDescent="0.25">
      <c r="A688" s="2">
        <f ca="1">IFERROR(__xludf.DUMMYFUNCTION("""COMPUTED_VALUE"""),45391.6458333333)</f>
        <v>45391.645833333299</v>
      </c>
      <c r="B688" s="1">
        <f ca="1">IFERROR(__xludf.DUMMYFUNCTION("""COMPUTED_VALUE"""),3946.55)</f>
        <v>3946.55</v>
      </c>
      <c r="C688" s="3">
        <f t="shared" ca="1" si="20"/>
        <v>-6.544914475588727E-3</v>
      </c>
      <c r="D688">
        <f t="shared" ca="1" si="19"/>
        <v>4025.0591836734689</v>
      </c>
    </row>
    <row r="689" spans="1:4" x14ac:dyDescent="0.25">
      <c r="A689" s="2">
        <f ca="1">IFERROR(__xludf.DUMMYFUNCTION("""COMPUTED_VALUE"""),45392.6458333333)</f>
        <v>45392.645833333299</v>
      </c>
      <c r="B689" s="1">
        <f ca="1">IFERROR(__xludf.DUMMYFUNCTION("""COMPUTED_VALUE"""),3984.65)</f>
        <v>3984.65</v>
      </c>
      <c r="C689" s="3">
        <f t="shared" ca="1" si="20"/>
        <v>9.6540015963309488E-3</v>
      </c>
      <c r="D689">
        <f t="shared" ca="1" si="19"/>
        <v>4027.8397959183662</v>
      </c>
    </row>
    <row r="690" spans="1:4" x14ac:dyDescent="0.25">
      <c r="A690" s="2">
        <f ca="1">IFERROR(__xludf.DUMMYFUNCTION("""COMPUTED_VALUE"""),45394.6458333333)</f>
        <v>45394.645833333299</v>
      </c>
      <c r="B690" s="1">
        <f ca="1">IFERROR(__xludf.DUMMYFUNCTION("""COMPUTED_VALUE"""),4001.4)</f>
        <v>4001.4</v>
      </c>
      <c r="C690" s="3">
        <f t="shared" ca="1" si="20"/>
        <v>4.2036314356342459E-3</v>
      </c>
      <c r="D690">
        <f t="shared" ca="1" si="19"/>
        <v>4031.5877551020394</v>
      </c>
    </row>
    <row r="691" spans="1:4" x14ac:dyDescent="0.25">
      <c r="A691" s="2">
        <f ca="1">IFERROR(__xludf.DUMMYFUNCTION("""COMPUTED_VALUE"""),45397.6458333333)</f>
        <v>45397.645833333299</v>
      </c>
      <c r="B691" s="1">
        <f ca="1">IFERROR(__xludf.DUMMYFUNCTION("""COMPUTED_VALUE"""),3941.2)</f>
        <v>3941.2</v>
      </c>
      <c r="C691" s="3">
        <f t="shared" ca="1" si="20"/>
        <v>-1.5044734342980025E-2</v>
      </c>
      <c r="D691">
        <f t="shared" ca="1" si="19"/>
        <v>4035.6867346938761</v>
      </c>
    </row>
    <row r="692" spans="1:4" x14ac:dyDescent="0.25">
      <c r="A692" s="2">
        <f ca="1">IFERROR(__xludf.DUMMYFUNCTION("""COMPUTED_VALUE"""),45398.6458333333)</f>
        <v>45398.645833333299</v>
      </c>
      <c r="B692" s="1">
        <f ca="1">IFERROR(__xludf.DUMMYFUNCTION("""COMPUTED_VALUE"""),3872.8)</f>
        <v>3872.8</v>
      </c>
      <c r="C692" s="3">
        <f t="shared" ca="1" si="20"/>
        <v>-1.7355120267938607E-2</v>
      </c>
      <c r="D692">
        <f t="shared" ref="D692:D755" ca="1" si="21">AVERAGE(B643:B691)</f>
        <v>4038.2428571428563</v>
      </c>
    </row>
    <row r="693" spans="1:4" x14ac:dyDescent="0.25">
      <c r="A693" s="2">
        <f ca="1">IFERROR(__xludf.DUMMYFUNCTION("""COMPUTED_VALUE"""),45400.6458333333)</f>
        <v>45400.645833333299</v>
      </c>
      <c r="B693" s="1">
        <f ca="1">IFERROR(__xludf.DUMMYFUNCTION("""COMPUTED_VALUE"""),3862)</f>
        <v>3862</v>
      </c>
      <c r="C693" s="3">
        <f t="shared" ca="1" si="20"/>
        <v>-2.7886800247883137E-3</v>
      </c>
      <c r="D693">
        <f t="shared" ca="1" si="21"/>
        <v>4038.6234693877541</v>
      </c>
    </row>
    <row r="694" spans="1:4" x14ac:dyDescent="0.25">
      <c r="A694" s="2">
        <f ca="1">IFERROR(__xludf.DUMMYFUNCTION("""COMPUTED_VALUE"""),45401.6458333333)</f>
        <v>45401.645833333299</v>
      </c>
      <c r="B694" s="1">
        <f ca="1">IFERROR(__xludf.DUMMYFUNCTION("""COMPUTED_VALUE"""),3826.2)</f>
        <v>3826.2</v>
      </c>
      <c r="C694" s="3">
        <f t="shared" ca="1" si="20"/>
        <v>-9.2698083894355732E-3</v>
      </c>
      <c r="D694">
        <f t="shared" ca="1" si="21"/>
        <v>4036.4948979591827</v>
      </c>
    </row>
    <row r="695" spans="1:4" x14ac:dyDescent="0.25">
      <c r="A695" s="2">
        <f ca="1">IFERROR(__xludf.DUMMYFUNCTION("""COMPUTED_VALUE"""),45404.6458333333)</f>
        <v>45404.645833333299</v>
      </c>
      <c r="B695" s="1">
        <f ca="1">IFERROR(__xludf.DUMMYFUNCTION("""COMPUTED_VALUE"""),3864.6)</f>
        <v>3864.6</v>
      </c>
      <c r="C695" s="3">
        <f t="shared" ca="1" si="20"/>
        <v>1.0036067116198864E-2</v>
      </c>
      <c r="D695">
        <f t="shared" ca="1" si="21"/>
        <v>4033.4928571428563</v>
      </c>
    </row>
    <row r="696" spans="1:4" x14ac:dyDescent="0.25">
      <c r="A696" s="2">
        <f ca="1">IFERROR(__xludf.DUMMYFUNCTION("""COMPUTED_VALUE"""),45405.6458333333)</f>
        <v>45405.645833333299</v>
      </c>
      <c r="B696" s="1">
        <f ca="1">IFERROR(__xludf.DUMMYFUNCTION("""COMPUTED_VALUE"""),3874.7)</f>
        <v>3874.7</v>
      </c>
      <c r="C696" s="3">
        <f t="shared" ca="1" si="20"/>
        <v>2.61346581793715E-3</v>
      </c>
      <c r="D696">
        <f t="shared" ca="1" si="21"/>
        <v>4027.9540816326517</v>
      </c>
    </row>
    <row r="697" spans="1:4" x14ac:dyDescent="0.25">
      <c r="A697" s="2">
        <f ca="1">IFERROR(__xludf.DUMMYFUNCTION("""COMPUTED_VALUE"""),45406.6458333333)</f>
        <v>45406.645833333299</v>
      </c>
      <c r="B697" s="1">
        <f ca="1">IFERROR(__xludf.DUMMYFUNCTION("""COMPUTED_VALUE"""),3831.05)</f>
        <v>3831.05</v>
      </c>
      <c r="C697" s="3">
        <f t="shared" ca="1" si="20"/>
        <v>-1.126538828812544E-2</v>
      </c>
      <c r="D697">
        <f t="shared" ca="1" si="21"/>
        <v>4023.694897959183</v>
      </c>
    </row>
    <row r="698" spans="1:4" x14ac:dyDescent="0.25">
      <c r="A698" s="2">
        <f ca="1">IFERROR(__xludf.DUMMYFUNCTION("""COMPUTED_VALUE"""),45407.6458333333)</f>
        <v>45407.645833333299</v>
      </c>
      <c r="B698" s="1">
        <f ca="1">IFERROR(__xludf.DUMMYFUNCTION("""COMPUTED_VALUE"""),3852.2)</f>
        <v>3852.2</v>
      </c>
      <c r="C698" s="3">
        <f t="shared" ca="1" si="20"/>
        <v>5.5206797092180043E-3</v>
      </c>
      <c r="D698">
        <f t="shared" ca="1" si="21"/>
        <v>4017.5102040816314</v>
      </c>
    </row>
    <row r="699" spans="1:4" x14ac:dyDescent="0.25">
      <c r="A699" s="2">
        <f ca="1">IFERROR(__xludf.DUMMYFUNCTION("""COMPUTED_VALUE"""),45408.6458333333)</f>
        <v>45408.645833333299</v>
      </c>
      <c r="B699" s="1">
        <f ca="1">IFERROR(__xludf.DUMMYFUNCTION("""COMPUTED_VALUE"""),3821.35)</f>
        <v>3821.35</v>
      </c>
      <c r="C699" s="3">
        <f t="shared" ca="1" si="20"/>
        <v>-8.0084107782565569E-3</v>
      </c>
      <c r="D699">
        <f t="shared" ca="1" si="21"/>
        <v>4011.7653061224482</v>
      </c>
    </row>
    <row r="700" spans="1:4" x14ac:dyDescent="0.25">
      <c r="A700" s="2">
        <f ca="1">IFERROR(__xludf.DUMMYFUNCTION("""COMPUTED_VALUE"""),45411.6458333333)</f>
        <v>45411.645833333299</v>
      </c>
      <c r="B700" s="1">
        <f ca="1">IFERROR(__xludf.DUMMYFUNCTION("""COMPUTED_VALUE"""),3870.2)</f>
        <v>3870.2</v>
      </c>
      <c r="C700" s="3">
        <f t="shared" ca="1" si="20"/>
        <v>1.2783440407185919E-2</v>
      </c>
      <c r="D700">
        <f t="shared" ca="1" si="21"/>
        <v>4005.6561224489787</v>
      </c>
    </row>
    <row r="701" spans="1:4" x14ac:dyDescent="0.25">
      <c r="A701" s="2">
        <f ca="1">IFERROR(__xludf.DUMMYFUNCTION("""COMPUTED_VALUE"""),45412.6458333333)</f>
        <v>45412.645833333299</v>
      </c>
      <c r="B701" s="1">
        <f ca="1">IFERROR(__xludf.DUMMYFUNCTION("""COMPUTED_VALUE"""),3820.65)</f>
        <v>3820.65</v>
      </c>
      <c r="C701" s="3">
        <f t="shared" ca="1" si="20"/>
        <v>-1.280295591959065E-2</v>
      </c>
      <c r="D701">
        <f t="shared" ca="1" si="21"/>
        <v>3999.9561224489789</v>
      </c>
    </row>
    <row r="702" spans="1:4" x14ac:dyDescent="0.25">
      <c r="A702" s="2">
        <f ca="1">IFERROR(__xludf.DUMMYFUNCTION("""COMPUTED_VALUE"""),45414.6458333333)</f>
        <v>45414.645833333299</v>
      </c>
      <c r="B702" s="1">
        <f ca="1">IFERROR(__xludf.DUMMYFUNCTION("""COMPUTED_VALUE"""),3863.3)</f>
        <v>3863.3</v>
      </c>
      <c r="C702" s="3">
        <f t="shared" ca="1" si="20"/>
        <v>1.116302199887456E-2</v>
      </c>
      <c r="D702">
        <f t="shared" ca="1" si="21"/>
        <v>3994.2530612244896</v>
      </c>
    </row>
    <row r="703" spans="1:4" x14ac:dyDescent="0.25">
      <c r="A703" s="2">
        <f ca="1">IFERROR(__xludf.DUMMYFUNCTION("""COMPUTED_VALUE"""),45415.6458333333)</f>
        <v>45415.645833333299</v>
      </c>
      <c r="B703" s="1">
        <f ca="1">IFERROR(__xludf.DUMMYFUNCTION("""COMPUTED_VALUE"""),3843.4)</f>
        <v>3843.4</v>
      </c>
      <c r="C703" s="3">
        <f t="shared" ca="1" si="20"/>
        <v>-5.1510366784873265E-3</v>
      </c>
      <c r="D703">
        <f t="shared" ca="1" si="21"/>
        <v>3989.3571428571422</v>
      </c>
    </row>
    <row r="704" spans="1:4" x14ac:dyDescent="0.25">
      <c r="A704" s="2">
        <f ca="1">IFERROR(__xludf.DUMMYFUNCTION("""COMPUTED_VALUE"""),45418.6458333333)</f>
        <v>45418.645833333299</v>
      </c>
      <c r="B704" s="1">
        <f ca="1">IFERROR(__xludf.DUMMYFUNCTION("""COMPUTED_VALUE"""),3921.05)</f>
        <v>3921.05</v>
      </c>
      <c r="C704" s="3">
        <f t="shared" ca="1" si="20"/>
        <v>2.0203465681427925E-2</v>
      </c>
      <c r="D704">
        <f t="shared" ca="1" si="21"/>
        <v>3983.5428571428565</v>
      </c>
    </row>
    <row r="705" spans="1:4" x14ac:dyDescent="0.25">
      <c r="A705" s="2">
        <f ca="1">IFERROR(__xludf.DUMMYFUNCTION("""COMPUTED_VALUE"""),45419.6458333333)</f>
        <v>45419.645833333299</v>
      </c>
      <c r="B705" s="1">
        <f ca="1">IFERROR(__xludf.DUMMYFUNCTION("""COMPUTED_VALUE"""),3978.95)</f>
        <v>3978.95</v>
      </c>
      <c r="C705" s="3">
        <f t="shared" ca="1" si="20"/>
        <v>1.4766452863391091E-2</v>
      </c>
      <c r="D705">
        <f t="shared" ca="1" si="21"/>
        <v>3979.8132653061225</v>
      </c>
    </row>
    <row r="706" spans="1:4" x14ac:dyDescent="0.25">
      <c r="A706" s="2">
        <f ca="1">IFERROR(__xludf.DUMMYFUNCTION("""COMPUTED_VALUE"""),45420.6458333333)</f>
        <v>45420.645833333299</v>
      </c>
      <c r="B706" s="1">
        <f ca="1">IFERROR(__xludf.DUMMYFUNCTION("""COMPUTED_VALUE"""),3976.95)</f>
        <v>3976.95</v>
      </c>
      <c r="C706" s="3">
        <f t="shared" ca="1" si="20"/>
        <v>-5.026451702082208E-4</v>
      </c>
      <c r="D706">
        <f t="shared" ca="1" si="21"/>
        <v>3978.7581632653064</v>
      </c>
    </row>
    <row r="707" spans="1:4" x14ac:dyDescent="0.25">
      <c r="A707" s="2">
        <f ca="1">IFERROR(__xludf.DUMMYFUNCTION("""COMPUTED_VALUE"""),45421.6458333333)</f>
        <v>45421.645833333299</v>
      </c>
      <c r="B707" s="1">
        <f ca="1">IFERROR(__xludf.DUMMYFUNCTION("""COMPUTED_VALUE"""),3960.2)</f>
        <v>3960.2</v>
      </c>
      <c r="C707" s="3">
        <f t="shared" ca="1" si="20"/>
        <v>-4.2117703265064938E-3</v>
      </c>
      <c r="D707">
        <f t="shared" ca="1" si="21"/>
        <v>3978.4612244897967</v>
      </c>
    </row>
    <row r="708" spans="1:4" x14ac:dyDescent="0.25">
      <c r="A708" s="2">
        <f ca="1">IFERROR(__xludf.DUMMYFUNCTION("""COMPUTED_VALUE"""),45422.6458333333)</f>
        <v>45422.645833333299</v>
      </c>
      <c r="B708" s="1">
        <f ca="1">IFERROR(__xludf.DUMMYFUNCTION("""COMPUTED_VALUE"""),3893.9)</f>
        <v>3893.9</v>
      </c>
      <c r="C708" s="3">
        <f t="shared" ref="C708:C771" ca="1" si="22">(B708-B707)/B707</f>
        <v>-1.6741578708145986E-2</v>
      </c>
      <c r="D708">
        <f t="shared" ca="1" si="21"/>
        <v>3975.8714285714286</v>
      </c>
    </row>
    <row r="709" spans="1:4" x14ac:dyDescent="0.25">
      <c r="A709" s="2">
        <f ca="1">IFERROR(__xludf.DUMMYFUNCTION("""COMPUTED_VALUE"""),45425.6458333333)</f>
        <v>45425.645833333299</v>
      </c>
      <c r="B709" s="1">
        <f ca="1">IFERROR(__xludf.DUMMYFUNCTION("""COMPUTED_VALUE"""),3947.8)</f>
        <v>3947.8</v>
      </c>
      <c r="C709" s="3">
        <f t="shared" ca="1" si="22"/>
        <v>1.3842163383754101E-2</v>
      </c>
      <c r="D709">
        <f t="shared" ca="1" si="21"/>
        <v>3972.6428571428573</v>
      </c>
    </row>
    <row r="710" spans="1:4" x14ac:dyDescent="0.25">
      <c r="A710" s="2">
        <f ca="1">IFERROR(__xludf.DUMMYFUNCTION("""COMPUTED_VALUE"""),45426.6458333333)</f>
        <v>45426.645833333299</v>
      </c>
      <c r="B710" s="1">
        <f ca="1">IFERROR(__xludf.DUMMYFUNCTION("""COMPUTED_VALUE"""),3901.2)</f>
        <v>3901.2</v>
      </c>
      <c r="C710" s="3">
        <f t="shared" ca="1" si="22"/>
        <v>-1.1804042757991885E-2</v>
      </c>
      <c r="D710">
        <f t="shared" ca="1" si="21"/>
        <v>3971.5561224489802</v>
      </c>
    </row>
    <row r="711" spans="1:4" x14ac:dyDescent="0.25">
      <c r="A711" s="2">
        <f ca="1">IFERROR(__xludf.DUMMYFUNCTION("""COMPUTED_VALUE"""),45427.6458333333)</f>
        <v>45427.645833333299</v>
      </c>
      <c r="B711" s="1">
        <f ca="1">IFERROR(__xludf.DUMMYFUNCTION("""COMPUTED_VALUE"""),3880.4)</f>
        <v>3880.4</v>
      </c>
      <c r="C711" s="3">
        <f t="shared" ca="1" si="22"/>
        <v>-5.3316928124678888E-3</v>
      </c>
      <c r="D711">
        <f t="shared" ca="1" si="21"/>
        <v>3967.4091836734697</v>
      </c>
    </row>
    <row r="712" spans="1:4" x14ac:dyDescent="0.25">
      <c r="A712" s="2">
        <f ca="1">IFERROR(__xludf.DUMMYFUNCTION("""COMPUTED_VALUE"""),45428.6458333333)</f>
        <v>45428.645833333299</v>
      </c>
      <c r="B712" s="1">
        <f ca="1">IFERROR(__xludf.DUMMYFUNCTION("""COMPUTED_VALUE"""),3900.95)</f>
        <v>3900.95</v>
      </c>
      <c r="C712" s="3">
        <f t="shared" ca="1" si="22"/>
        <v>5.2958457890938376E-3</v>
      </c>
      <c r="D712">
        <f t="shared" ca="1" si="21"/>
        <v>3962.5408163265306</v>
      </c>
    </row>
    <row r="713" spans="1:4" x14ac:dyDescent="0.25">
      <c r="A713" s="2">
        <f ca="1">IFERROR(__xludf.DUMMYFUNCTION("""COMPUTED_VALUE"""),45429.6458333333)</f>
        <v>45429.645833333299</v>
      </c>
      <c r="B713" s="1">
        <f ca="1">IFERROR(__xludf.DUMMYFUNCTION("""COMPUTED_VALUE"""),3834.1)</f>
        <v>3834.1</v>
      </c>
      <c r="C713" s="3">
        <f t="shared" ca="1" si="22"/>
        <v>-1.7136851279816432E-2</v>
      </c>
      <c r="D713">
        <f t="shared" ca="1" si="21"/>
        <v>3958.5785714285721</v>
      </c>
    </row>
    <row r="714" spans="1:4" x14ac:dyDescent="0.25">
      <c r="A714" s="2">
        <f ca="1">IFERROR(__xludf.DUMMYFUNCTION("""COMPUTED_VALUE"""),45433.6458333333)</f>
        <v>45433.645833333299</v>
      </c>
      <c r="B714" s="1">
        <f ca="1">IFERROR(__xludf.DUMMYFUNCTION("""COMPUTED_VALUE"""),3820.2)</f>
        <v>3820.2</v>
      </c>
      <c r="C714" s="3">
        <f t="shared" ca="1" si="22"/>
        <v>-3.625361884144934E-3</v>
      </c>
      <c r="D714">
        <f t="shared" ca="1" si="21"/>
        <v>3953.2673469387764</v>
      </c>
    </row>
    <row r="715" spans="1:4" x14ac:dyDescent="0.25">
      <c r="A715" s="2">
        <f ca="1">IFERROR(__xludf.DUMMYFUNCTION("""COMPUTED_VALUE"""),45434.6458333333)</f>
        <v>45434.645833333299</v>
      </c>
      <c r="B715" s="1">
        <f ca="1">IFERROR(__xludf.DUMMYFUNCTION("""COMPUTED_VALUE"""),3832)</f>
        <v>3832</v>
      </c>
      <c r="C715" s="3">
        <f t="shared" ca="1" si="22"/>
        <v>3.088843516046328E-3</v>
      </c>
      <c r="D715">
        <f t="shared" ca="1" si="21"/>
        <v>3947.9510204081644</v>
      </c>
    </row>
    <row r="716" spans="1:4" x14ac:dyDescent="0.25">
      <c r="A716" s="2">
        <f ca="1">IFERROR(__xludf.DUMMYFUNCTION("""COMPUTED_VALUE"""),45435.6458333333)</f>
        <v>45435.645833333299</v>
      </c>
      <c r="B716" s="1">
        <f ca="1">IFERROR(__xludf.DUMMYFUNCTION("""COMPUTED_VALUE"""),3893.45)</f>
        <v>3893.45</v>
      </c>
      <c r="C716" s="3">
        <f t="shared" ca="1" si="22"/>
        <v>1.6036012526095985E-2</v>
      </c>
      <c r="D716">
        <f t="shared" ca="1" si="21"/>
        <v>3944.2755102040824</v>
      </c>
    </row>
    <row r="717" spans="1:4" x14ac:dyDescent="0.25">
      <c r="A717" s="2">
        <f ca="1">IFERROR(__xludf.DUMMYFUNCTION("""COMPUTED_VALUE"""),45436.6458333333)</f>
        <v>45436.645833333299</v>
      </c>
      <c r="B717" s="1">
        <f ca="1">IFERROR(__xludf.DUMMYFUNCTION("""COMPUTED_VALUE"""),3849.5)</f>
        <v>3849.5</v>
      </c>
      <c r="C717" s="3">
        <f t="shared" ca="1" si="22"/>
        <v>-1.1288189138167903E-2</v>
      </c>
      <c r="D717">
        <f t="shared" ca="1" si="21"/>
        <v>3940.7887755102051</v>
      </c>
    </row>
    <row r="718" spans="1:4" x14ac:dyDescent="0.25">
      <c r="A718" s="2">
        <f ca="1">IFERROR(__xludf.DUMMYFUNCTION("""COMPUTED_VALUE"""),45439.6458333333)</f>
        <v>45439.645833333299</v>
      </c>
      <c r="B718" s="1">
        <f ca="1">IFERROR(__xludf.DUMMYFUNCTION("""COMPUTED_VALUE"""),3847.05)</f>
        <v>3847.05</v>
      </c>
      <c r="C718" s="3">
        <f t="shared" ca="1" si="22"/>
        <v>-6.3644629172615098E-4</v>
      </c>
      <c r="D718">
        <f t="shared" ca="1" si="21"/>
        <v>3935.5010204081641</v>
      </c>
    </row>
    <row r="719" spans="1:4" x14ac:dyDescent="0.25">
      <c r="A719" s="2">
        <f ca="1">IFERROR(__xludf.DUMMYFUNCTION("""COMPUTED_VALUE"""),45440.6458333333)</f>
        <v>45440.645833333299</v>
      </c>
      <c r="B719" s="1">
        <f ca="1">IFERROR(__xludf.DUMMYFUNCTION("""COMPUTED_VALUE"""),3839.9)</f>
        <v>3839.9</v>
      </c>
      <c r="C719" s="3">
        <f t="shared" ca="1" si="22"/>
        <v>-1.8585669538997648E-3</v>
      </c>
      <c r="D719">
        <f t="shared" ca="1" si="21"/>
        <v>3929.8826530612255</v>
      </c>
    </row>
    <row r="720" spans="1:4" x14ac:dyDescent="0.25">
      <c r="A720" s="2">
        <f ca="1">IFERROR(__xludf.DUMMYFUNCTION("""COMPUTED_VALUE"""),45441.6458333333)</f>
        <v>45441.645833333299</v>
      </c>
      <c r="B720" s="1">
        <f ca="1">IFERROR(__xludf.DUMMYFUNCTION("""COMPUTED_VALUE"""),3803.65)</f>
        <v>3803.65</v>
      </c>
      <c r="C720" s="3">
        <f t="shared" ca="1" si="22"/>
        <v>-9.4403500091148201E-3</v>
      </c>
      <c r="D720">
        <f t="shared" ca="1" si="21"/>
        <v>3922.6918367346948</v>
      </c>
    </row>
    <row r="721" spans="1:4" x14ac:dyDescent="0.25">
      <c r="A721" s="2">
        <f ca="1">IFERROR(__xludf.DUMMYFUNCTION("""COMPUTED_VALUE"""),45442.6458333333)</f>
        <v>45442.645833333299</v>
      </c>
      <c r="B721" s="1">
        <f ca="1">IFERROR(__xludf.DUMMYFUNCTION("""COMPUTED_VALUE"""),3736.1)</f>
        <v>3736.1</v>
      </c>
      <c r="C721" s="3">
        <f t="shared" ca="1" si="22"/>
        <v>-1.7759257555243036E-2</v>
      </c>
      <c r="D721">
        <f t="shared" ca="1" si="21"/>
        <v>3915.6438775510214</v>
      </c>
    </row>
    <row r="722" spans="1:4" x14ac:dyDescent="0.25">
      <c r="A722" s="2">
        <f ca="1">IFERROR(__xludf.DUMMYFUNCTION("""COMPUTED_VALUE"""),45443.6458333333)</f>
        <v>45443.645833333299</v>
      </c>
      <c r="B722" s="1">
        <f ca="1">IFERROR(__xludf.DUMMYFUNCTION("""COMPUTED_VALUE"""),3670.95)</f>
        <v>3670.95</v>
      </c>
      <c r="C722" s="3">
        <f t="shared" ca="1" si="22"/>
        <v>-1.7437970075747461E-2</v>
      </c>
      <c r="D722">
        <f t="shared" ca="1" si="21"/>
        <v>3906.0214285714287</v>
      </c>
    </row>
    <row r="723" spans="1:4" x14ac:dyDescent="0.25">
      <c r="A723" s="2">
        <f ca="1">IFERROR(__xludf.DUMMYFUNCTION("""COMPUTED_VALUE"""),45446.6458333333)</f>
        <v>45446.645833333299</v>
      </c>
      <c r="B723" s="1">
        <f ca="1">IFERROR(__xludf.DUMMYFUNCTION("""COMPUTED_VALUE"""),3702.85)</f>
        <v>3702.85</v>
      </c>
      <c r="C723" s="3">
        <f t="shared" ca="1" si="22"/>
        <v>8.6898486767730682E-3</v>
      </c>
      <c r="D723">
        <f t="shared" ca="1" si="21"/>
        <v>3894.8316326530617</v>
      </c>
    </row>
    <row r="724" spans="1:4" x14ac:dyDescent="0.25">
      <c r="A724" s="2">
        <f ca="1">IFERROR(__xludf.DUMMYFUNCTION("""COMPUTED_VALUE"""),45447.6458333333)</f>
        <v>45447.645833333299</v>
      </c>
      <c r="B724" s="1">
        <f ca="1">IFERROR(__xludf.DUMMYFUNCTION("""COMPUTED_VALUE"""),3715)</f>
        <v>3715</v>
      </c>
      <c r="C724" s="3">
        <f t="shared" ca="1" si="22"/>
        <v>3.2812563295839935E-3</v>
      </c>
      <c r="D724">
        <f t="shared" ca="1" si="21"/>
        <v>3885.6551020408169</v>
      </c>
    </row>
    <row r="725" spans="1:4" x14ac:dyDescent="0.25">
      <c r="A725" s="2">
        <f ca="1">IFERROR(__xludf.DUMMYFUNCTION("""COMPUTED_VALUE"""),45448.6458333333)</f>
        <v>45448.645833333299</v>
      </c>
      <c r="B725" s="1">
        <f ca="1">IFERROR(__xludf.DUMMYFUNCTION("""COMPUTED_VALUE"""),3746.45)</f>
        <v>3746.45</v>
      </c>
      <c r="C725" s="3">
        <f t="shared" ca="1" si="22"/>
        <v>8.465679676985147E-3</v>
      </c>
      <c r="D725">
        <f t="shared" ca="1" si="21"/>
        <v>3880.3020408163275</v>
      </c>
    </row>
    <row r="726" spans="1:4" x14ac:dyDescent="0.25">
      <c r="A726" s="2">
        <f ca="1">IFERROR(__xludf.DUMMYFUNCTION("""COMPUTED_VALUE"""),45449.6458333333)</f>
        <v>45449.645833333299</v>
      </c>
      <c r="B726" s="1">
        <f ca="1">IFERROR(__xludf.DUMMYFUNCTION("""COMPUTED_VALUE"""),3830.4)</f>
        <v>3830.4</v>
      </c>
      <c r="C726" s="3">
        <f t="shared" ca="1" si="22"/>
        <v>2.2407879459221468E-2</v>
      </c>
      <c r="D726">
        <f t="shared" ca="1" si="21"/>
        <v>3875.7214285714294</v>
      </c>
    </row>
    <row r="727" spans="1:4" x14ac:dyDescent="0.25">
      <c r="A727" s="2">
        <f ca="1">IFERROR(__xludf.DUMMYFUNCTION("""COMPUTED_VALUE"""),45450.6458333333)</f>
        <v>45450.645833333299</v>
      </c>
      <c r="B727" s="1">
        <f ca="1">IFERROR(__xludf.DUMMYFUNCTION("""COMPUTED_VALUE"""),3893.95)</f>
        <v>3893.95</v>
      </c>
      <c r="C727" s="3">
        <f t="shared" ca="1" si="22"/>
        <v>1.659095655806175E-2</v>
      </c>
      <c r="D727">
        <f t="shared" ca="1" si="21"/>
        <v>3872.8122448979602</v>
      </c>
    </row>
    <row r="728" spans="1:4" x14ac:dyDescent="0.25">
      <c r="A728" s="2">
        <f ca="1">IFERROR(__xludf.DUMMYFUNCTION("""COMPUTED_VALUE"""),45453.6458333333)</f>
        <v>45453.645833333299</v>
      </c>
      <c r="B728" s="1">
        <f ca="1">IFERROR(__xludf.DUMMYFUNCTION("""COMPUTED_VALUE"""),3858.7)</f>
        <v>3858.7</v>
      </c>
      <c r="C728" s="3">
        <f t="shared" ca="1" si="22"/>
        <v>-9.0525045262522634E-3</v>
      </c>
      <c r="D728">
        <f t="shared" ca="1" si="21"/>
        <v>3872.4663265306131</v>
      </c>
    </row>
    <row r="729" spans="1:4" x14ac:dyDescent="0.25">
      <c r="A729" s="2">
        <f ca="1">IFERROR(__xludf.DUMMYFUNCTION("""COMPUTED_VALUE"""),45454.6458333333)</f>
        <v>45454.645833333299</v>
      </c>
      <c r="B729" s="1">
        <f ca="1">IFERROR(__xludf.DUMMYFUNCTION("""COMPUTED_VALUE"""),3852.1)</f>
        <v>3852.1</v>
      </c>
      <c r="C729" s="3">
        <f t="shared" ca="1" si="22"/>
        <v>-1.7104206079767562E-3</v>
      </c>
      <c r="D729">
        <f t="shared" ca="1" si="21"/>
        <v>3872.0826530612248</v>
      </c>
    </row>
    <row r="730" spans="1:4" x14ac:dyDescent="0.25">
      <c r="A730" s="2">
        <f ca="1">IFERROR(__xludf.DUMMYFUNCTION("""COMPUTED_VALUE"""),45455.6458333333)</f>
        <v>45455.645833333299</v>
      </c>
      <c r="B730" s="1">
        <f ca="1">IFERROR(__xludf.DUMMYFUNCTION("""COMPUTED_VALUE"""),3831.65)</f>
        <v>3831.65</v>
      </c>
      <c r="C730" s="3">
        <f t="shared" ca="1" si="22"/>
        <v>-5.3087926066301026E-3</v>
      </c>
      <c r="D730">
        <f t="shared" ca="1" si="21"/>
        <v>3872.3112244897966</v>
      </c>
    </row>
    <row r="731" spans="1:4" x14ac:dyDescent="0.25">
      <c r="A731" s="2">
        <f ca="1">IFERROR(__xludf.DUMMYFUNCTION("""COMPUTED_VALUE"""),45456.6458333333)</f>
        <v>45456.645833333299</v>
      </c>
      <c r="B731" s="1">
        <f ca="1">IFERROR(__xludf.DUMMYFUNCTION("""COMPUTED_VALUE"""),3878.15)</f>
        <v>3878.15</v>
      </c>
      <c r="C731" s="3">
        <f t="shared" ca="1" si="22"/>
        <v>1.2135763965915466E-2</v>
      </c>
      <c r="D731">
        <f t="shared" ca="1" si="21"/>
        <v>3871.4</v>
      </c>
    </row>
    <row r="732" spans="1:4" x14ac:dyDescent="0.25">
      <c r="A732" s="2">
        <f ca="1">IFERROR(__xludf.DUMMYFUNCTION("""COMPUTED_VALUE"""),45457.6458333333)</f>
        <v>45457.645833333299</v>
      </c>
      <c r="B732" s="1">
        <f ca="1">IFERROR(__xludf.DUMMYFUNCTION("""COMPUTED_VALUE"""),3832.05)</f>
        <v>3832.05</v>
      </c>
      <c r="C732" s="3">
        <f t="shared" ca="1" si="22"/>
        <v>-1.1887111122571306E-2</v>
      </c>
      <c r="D732">
        <f t="shared" ca="1" si="21"/>
        <v>3870.612244897959</v>
      </c>
    </row>
    <row r="733" spans="1:4" x14ac:dyDescent="0.25">
      <c r="A733" s="2">
        <f ca="1">IFERROR(__xludf.DUMMYFUNCTION("""COMPUTED_VALUE"""),45461.6458333333)</f>
        <v>45461.645833333299</v>
      </c>
      <c r="B733" s="1">
        <f ca="1">IFERROR(__xludf.DUMMYFUNCTION("""COMPUTED_VALUE"""),3815.1)</f>
        <v>3815.1</v>
      </c>
      <c r="C733" s="3">
        <f t="shared" ca="1" si="22"/>
        <v>-4.4232199475477286E-3</v>
      </c>
      <c r="D733">
        <f t="shared" ca="1" si="21"/>
        <v>3869.5561224489797</v>
      </c>
    </row>
    <row r="734" spans="1:4" x14ac:dyDescent="0.25">
      <c r="A734" s="2">
        <f ca="1">IFERROR(__xludf.DUMMYFUNCTION("""COMPUTED_VALUE"""),45462.6458333333)</f>
        <v>45462.645833333299</v>
      </c>
      <c r="B734" s="1">
        <f ca="1">IFERROR(__xludf.DUMMYFUNCTION("""COMPUTED_VALUE"""),3801.7)</f>
        <v>3801.7</v>
      </c>
      <c r="C734" s="3">
        <f t="shared" ca="1" si="22"/>
        <v>-3.5123587848287308E-3</v>
      </c>
      <c r="D734">
        <f t="shared" ca="1" si="21"/>
        <v>3866.8581632653058</v>
      </c>
    </row>
    <row r="735" spans="1:4" x14ac:dyDescent="0.25">
      <c r="A735" s="2">
        <f ca="1">IFERROR(__xludf.DUMMYFUNCTION("""COMPUTED_VALUE"""),45463.6458333333)</f>
        <v>45463.645833333299</v>
      </c>
      <c r="B735" s="1">
        <f ca="1">IFERROR(__xludf.DUMMYFUNCTION("""COMPUTED_VALUE"""),3787.25)</f>
        <v>3787.25</v>
      </c>
      <c r="C735" s="3">
        <f t="shared" ca="1" si="22"/>
        <v>-3.8009311623746793E-3</v>
      </c>
      <c r="D735">
        <f t="shared" ca="1" si="21"/>
        <v>3862.7438775510204</v>
      </c>
    </row>
    <row r="736" spans="1:4" x14ac:dyDescent="0.25">
      <c r="A736" s="2">
        <f ca="1">IFERROR(__xludf.DUMMYFUNCTION("""COMPUTED_VALUE"""),45464.6458333333)</f>
        <v>45464.645833333299</v>
      </c>
      <c r="B736" s="1">
        <f ca="1">IFERROR(__xludf.DUMMYFUNCTION("""COMPUTED_VALUE"""),3810.75)</f>
        <v>3810.75</v>
      </c>
      <c r="C736" s="3">
        <f t="shared" ca="1" si="22"/>
        <v>6.2050300349858079E-3</v>
      </c>
      <c r="D736">
        <f t="shared" ca="1" si="21"/>
        <v>3858.8255102040821</v>
      </c>
    </row>
    <row r="737" spans="1:4" x14ac:dyDescent="0.25">
      <c r="A737" s="2">
        <f ca="1">IFERROR(__xludf.DUMMYFUNCTION("""COMPUTED_VALUE"""),45467.6458333333)</f>
        <v>45467.645833333299</v>
      </c>
      <c r="B737" s="1">
        <f ca="1">IFERROR(__xludf.DUMMYFUNCTION("""COMPUTED_VALUE"""),3816.8)</f>
        <v>3816.8</v>
      </c>
      <c r="C737" s="3">
        <f t="shared" ca="1" si="22"/>
        <v>1.5876139867480631E-3</v>
      </c>
      <c r="D737">
        <f t="shared" ca="1" si="21"/>
        <v>3855.5234693877555</v>
      </c>
    </row>
    <row r="738" spans="1:4" x14ac:dyDescent="0.25">
      <c r="A738" s="2">
        <f ca="1">IFERROR(__xludf.DUMMYFUNCTION("""COMPUTED_VALUE"""),45468.6458333333)</f>
        <v>45468.645833333299</v>
      </c>
      <c r="B738" s="1">
        <f ca="1">IFERROR(__xludf.DUMMYFUNCTION("""COMPUTED_VALUE"""),3838.45)</f>
        <v>3838.45</v>
      </c>
      <c r="C738" s="3">
        <f t="shared" ca="1" si="22"/>
        <v>5.6722909243344258E-3</v>
      </c>
      <c r="D738">
        <f t="shared" ca="1" si="21"/>
        <v>3852.8755102040814</v>
      </c>
    </row>
    <row r="739" spans="1:4" x14ac:dyDescent="0.25">
      <c r="A739" s="2">
        <f ca="1">IFERROR(__xludf.DUMMYFUNCTION("""COMPUTED_VALUE"""),45469.6458333333)</f>
        <v>45469.645833333299</v>
      </c>
      <c r="B739" s="1">
        <f ca="1">IFERROR(__xludf.DUMMYFUNCTION("""COMPUTED_VALUE"""),3855.85)</f>
        <v>3855.85</v>
      </c>
      <c r="C739" s="3">
        <f t="shared" ca="1" si="22"/>
        <v>4.5330797587568141E-3</v>
      </c>
      <c r="D739">
        <f t="shared" ca="1" si="21"/>
        <v>3849.8918367346942</v>
      </c>
    </row>
    <row r="740" spans="1:4" x14ac:dyDescent="0.25">
      <c r="A740" s="2">
        <f ca="1">IFERROR(__xludf.DUMMYFUNCTION("""COMPUTED_VALUE"""),45470.6458333333)</f>
        <v>45470.645833333299</v>
      </c>
      <c r="B740" s="1">
        <f ca="1">IFERROR(__xludf.DUMMYFUNCTION("""COMPUTED_VALUE"""),3934.15)</f>
        <v>3934.15</v>
      </c>
      <c r="C740" s="3">
        <f t="shared" ca="1" si="22"/>
        <v>2.0306806540710917E-2</v>
      </c>
      <c r="D740">
        <f t="shared" ca="1" si="21"/>
        <v>3846.9214285714293</v>
      </c>
    </row>
    <row r="741" spans="1:4" x14ac:dyDescent="0.25">
      <c r="A741" s="2">
        <f ca="1">IFERROR(__xludf.DUMMYFUNCTION("""COMPUTED_VALUE"""),45471.6458333333)</f>
        <v>45471.645833333299</v>
      </c>
      <c r="B741" s="1">
        <f ca="1">IFERROR(__xludf.DUMMYFUNCTION("""COMPUTED_VALUE"""),3904.15)</f>
        <v>3904.15</v>
      </c>
      <c r="C741" s="3">
        <f t="shared" ca="1" si="22"/>
        <v>-7.6255353761295322E-3</v>
      </c>
      <c r="D741">
        <f t="shared" ca="1" si="21"/>
        <v>3846.7775510204083</v>
      </c>
    </row>
    <row r="742" spans="1:4" x14ac:dyDescent="0.25">
      <c r="A742" s="2">
        <f ca="1">IFERROR(__xludf.DUMMYFUNCTION("""COMPUTED_VALUE"""),45474.6458333333)</f>
        <v>45474.645833333299</v>
      </c>
      <c r="B742" s="1">
        <f ca="1">IFERROR(__xludf.DUMMYFUNCTION("""COMPUTED_VALUE"""),3978.2)</f>
        <v>3978.2</v>
      </c>
      <c r="C742" s="3">
        <f t="shared" ca="1" si="22"/>
        <v>1.8966996657402948E-2</v>
      </c>
      <c r="D742">
        <f t="shared" ca="1" si="21"/>
        <v>3847.4173469387752</v>
      </c>
    </row>
    <row r="743" spans="1:4" x14ac:dyDescent="0.25">
      <c r="A743" s="2">
        <f ca="1">IFERROR(__xludf.DUMMYFUNCTION("""COMPUTED_VALUE"""),45475.6458333333)</f>
        <v>45475.645833333299</v>
      </c>
      <c r="B743" s="1">
        <f ca="1">IFERROR(__xludf.DUMMYFUNCTION("""COMPUTED_VALUE"""),4017.4)</f>
        <v>4017.4</v>
      </c>
      <c r="C743" s="3">
        <f t="shared" ca="1" si="22"/>
        <v>9.8537026796039102E-3</v>
      </c>
      <c r="D743">
        <f t="shared" ca="1" si="21"/>
        <v>3849.7887755102038</v>
      </c>
    </row>
    <row r="744" spans="1:4" x14ac:dyDescent="0.25">
      <c r="A744" s="2">
        <f ca="1">IFERROR(__xludf.DUMMYFUNCTION("""COMPUTED_VALUE"""),45476.6458333333)</f>
        <v>45476.645833333299</v>
      </c>
      <c r="B744" s="1">
        <f ca="1">IFERROR(__xludf.DUMMYFUNCTION("""COMPUTED_VALUE"""),3965.25)</f>
        <v>3965.25</v>
      </c>
      <c r="C744" s="3">
        <f t="shared" ca="1" si="22"/>
        <v>-1.2981032508587667E-2</v>
      </c>
      <c r="D744">
        <f t="shared" ca="1" si="21"/>
        <v>3853.6908163265302</v>
      </c>
    </row>
    <row r="745" spans="1:4" x14ac:dyDescent="0.25">
      <c r="A745" s="2">
        <f ca="1">IFERROR(__xludf.DUMMYFUNCTION("""COMPUTED_VALUE"""),45477.6458333333)</f>
        <v>45477.645833333299</v>
      </c>
      <c r="B745" s="1">
        <f ca="1">IFERROR(__xludf.DUMMYFUNCTION("""COMPUTED_VALUE"""),4020.95)</f>
        <v>4020.95</v>
      </c>
      <c r="C745" s="3">
        <f t="shared" ca="1" si="22"/>
        <v>1.4047033604438514E-2</v>
      </c>
      <c r="D745">
        <f t="shared" ca="1" si="21"/>
        <v>3855.7448979591836</v>
      </c>
    </row>
    <row r="746" spans="1:4" x14ac:dyDescent="0.25">
      <c r="A746" s="2">
        <f ca="1">IFERROR(__xludf.DUMMYFUNCTION("""COMPUTED_VALUE"""),45478.6458333333)</f>
        <v>45478.645833333299</v>
      </c>
      <c r="B746" s="1">
        <f ca="1">IFERROR(__xludf.DUMMYFUNCTION("""COMPUTED_VALUE"""),4011.8)</f>
        <v>4011.8</v>
      </c>
      <c r="C746" s="3">
        <f t="shared" ca="1" si="22"/>
        <v>-2.2755816411543632E-3</v>
      </c>
      <c r="D746">
        <f t="shared" ca="1" si="21"/>
        <v>3858.7295918367345</v>
      </c>
    </row>
    <row r="747" spans="1:4" x14ac:dyDescent="0.25">
      <c r="A747" s="2">
        <f ca="1">IFERROR(__xludf.DUMMYFUNCTION("""COMPUTED_VALUE"""),45481.6458333333)</f>
        <v>45481.645833333299</v>
      </c>
      <c r="B747" s="1">
        <f ca="1">IFERROR(__xludf.DUMMYFUNCTION("""COMPUTED_VALUE"""),3993.2)</f>
        <v>3993.2</v>
      </c>
      <c r="C747" s="3">
        <f t="shared" ca="1" si="22"/>
        <v>-4.6363228475996719E-3</v>
      </c>
      <c r="D747">
        <f t="shared" ca="1" si="21"/>
        <v>3862.4183673469388</v>
      </c>
    </row>
    <row r="748" spans="1:4" x14ac:dyDescent="0.25">
      <c r="A748" s="2">
        <f ca="1">IFERROR(__xludf.DUMMYFUNCTION("""COMPUTED_VALUE"""),45482.6458333333)</f>
        <v>45482.645833333299</v>
      </c>
      <c r="B748" s="1">
        <f ca="1">IFERROR(__xludf.DUMMYFUNCTION("""COMPUTED_VALUE"""),3985.5)</f>
        <v>3985.5</v>
      </c>
      <c r="C748" s="3">
        <f t="shared" ca="1" si="22"/>
        <v>-1.9282780727235846E-3</v>
      </c>
      <c r="D748">
        <f t="shared" ca="1" si="21"/>
        <v>3865.295918367347</v>
      </c>
    </row>
    <row r="749" spans="1:4" x14ac:dyDescent="0.25">
      <c r="A749" s="2">
        <f ca="1">IFERROR(__xludf.DUMMYFUNCTION("""COMPUTED_VALUE"""),45483.6458333333)</f>
        <v>45483.645833333299</v>
      </c>
      <c r="B749" s="1">
        <f ca="1">IFERROR(__xludf.DUMMYFUNCTION("""COMPUTED_VALUE"""),3909.15)</f>
        <v>3909.15</v>
      </c>
      <c r="C749" s="3">
        <f t="shared" ca="1" si="22"/>
        <v>-1.9156943921716199E-2</v>
      </c>
      <c r="D749">
        <f t="shared" ca="1" si="21"/>
        <v>3868.6459183673469</v>
      </c>
    </row>
    <row r="750" spans="1:4" x14ac:dyDescent="0.25">
      <c r="A750" s="2">
        <f ca="1">IFERROR(__xludf.DUMMYFUNCTION("""COMPUTED_VALUE"""),45484.6458333333)</f>
        <v>45484.645833333299</v>
      </c>
      <c r="B750" s="1">
        <f ca="1">IFERROR(__xludf.DUMMYFUNCTION("""COMPUTED_VALUE"""),3923.7)</f>
        <v>3923.7</v>
      </c>
      <c r="C750" s="3">
        <f t="shared" ca="1" si="22"/>
        <v>3.7220367599093735E-3</v>
      </c>
      <c r="D750">
        <f t="shared" ca="1" si="21"/>
        <v>3869.4408163265307</v>
      </c>
    </row>
    <row r="751" spans="1:4" x14ac:dyDescent="0.25">
      <c r="A751" s="2">
        <f ca="1">IFERROR(__xludf.DUMMYFUNCTION("""COMPUTED_VALUE"""),45485.6458333333)</f>
        <v>45485.645833333299</v>
      </c>
      <c r="B751" s="1">
        <f ca="1">IFERROR(__xludf.DUMMYFUNCTION("""COMPUTED_VALUE"""),4183.95)</f>
        <v>4183.95</v>
      </c>
      <c r="C751" s="3">
        <f t="shared" ca="1" si="22"/>
        <v>6.6327700894563801E-2</v>
      </c>
      <c r="D751">
        <f t="shared" ca="1" si="21"/>
        <v>3871.5438775510202</v>
      </c>
    </row>
    <row r="752" spans="1:4" x14ac:dyDescent="0.25">
      <c r="A752" s="2">
        <f ca="1">IFERROR(__xludf.DUMMYFUNCTION("""COMPUTED_VALUE"""),45488.6458333333)</f>
        <v>45488.645833333299</v>
      </c>
      <c r="B752" s="1">
        <f ca="1">IFERROR(__xludf.DUMMYFUNCTION("""COMPUTED_VALUE"""),4169.2)</f>
        <v>4169.2</v>
      </c>
      <c r="C752" s="3">
        <f t="shared" ca="1" si="22"/>
        <v>-3.5253767372937059E-3</v>
      </c>
      <c r="D752">
        <f t="shared" ca="1" si="21"/>
        <v>3878.0877551020412</v>
      </c>
    </row>
    <row r="753" spans="1:4" x14ac:dyDescent="0.25">
      <c r="A753" s="2">
        <f ca="1">IFERROR(__xludf.DUMMYFUNCTION("""COMPUTED_VALUE"""),45489.6458333333)</f>
        <v>45489.645833333299</v>
      </c>
      <c r="B753" s="1">
        <f ca="1">IFERROR(__xludf.DUMMYFUNCTION("""COMPUTED_VALUE"""),4178.45)</f>
        <v>4178.45</v>
      </c>
      <c r="C753" s="3">
        <f t="shared" ca="1" si="22"/>
        <v>2.2186510601554256E-3</v>
      </c>
      <c r="D753">
        <f t="shared" ca="1" si="21"/>
        <v>3884.7367346938781</v>
      </c>
    </row>
    <row r="754" spans="1:4" x14ac:dyDescent="0.25">
      <c r="A754" s="2">
        <f ca="1">IFERROR(__xludf.DUMMYFUNCTION("""COMPUTED_VALUE"""),45491.6458333333)</f>
        <v>45491.645833333299</v>
      </c>
      <c r="B754" s="1">
        <f ca="1">IFERROR(__xludf.DUMMYFUNCTION("""COMPUTED_VALUE"""),4315.55)</f>
        <v>4315.55</v>
      </c>
      <c r="C754" s="3">
        <f t="shared" ca="1" si="22"/>
        <v>3.2811209898407391E-2</v>
      </c>
      <c r="D754">
        <f t="shared" ca="1" si="21"/>
        <v>3889.9897959183681</v>
      </c>
    </row>
    <row r="755" spans="1:4" x14ac:dyDescent="0.25">
      <c r="A755" s="2">
        <f ca="1">IFERROR(__xludf.DUMMYFUNCTION("""COMPUTED_VALUE"""),45492.6458333333)</f>
        <v>45492.645833333299</v>
      </c>
      <c r="B755" s="1">
        <f ca="1">IFERROR(__xludf.DUMMYFUNCTION("""COMPUTED_VALUE"""),4302.4)</f>
        <v>4302.3999999999996</v>
      </c>
      <c r="C755" s="3">
        <f t="shared" ca="1" si="22"/>
        <v>-3.0471202975288305E-3</v>
      </c>
      <c r="D755">
        <f t="shared" ca="1" si="21"/>
        <v>3896.8591836734699</v>
      </c>
    </row>
    <row r="756" spans="1:4" x14ac:dyDescent="0.25">
      <c r="A756" s="2">
        <f ca="1">IFERROR(__xludf.DUMMYFUNCTION("""COMPUTED_VALUE"""),45495.6458333333)</f>
        <v>45495.645833333299</v>
      </c>
      <c r="B756" s="1">
        <f ca="1">IFERROR(__xludf.DUMMYFUNCTION("""COMPUTED_VALUE"""),4287.35)</f>
        <v>4287.3500000000004</v>
      </c>
      <c r="C756" s="3">
        <f t="shared" ca="1" si="22"/>
        <v>-3.4980476013386189E-3</v>
      </c>
      <c r="D756">
        <f t="shared" ref="D756:D819" ca="1" si="23">AVERAGE(B707:B755)</f>
        <v>3903.5010204081636</v>
      </c>
    </row>
    <row r="757" spans="1:4" x14ac:dyDescent="0.25">
      <c r="A757" s="2">
        <f ca="1">IFERROR(__xludf.DUMMYFUNCTION("""COMPUTED_VALUE"""),45496.6458333333)</f>
        <v>45496.645833333299</v>
      </c>
      <c r="B757" s="1">
        <f ca="1">IFERROR(__xludf.DUMMYFUNCTION("""COMPUTED_VALUE"""),4302.35)</f>
        <v>4302.3500000000004</v>
      </c>
      <c r="C757" s="3">
        <f t="shared" ca="1" si="22"/>
        <v>3.4986646763152059E-3</v>
      </c>
      <c r="D757">
        <f t="shared" ca="1" si="23"/>
        <v>3910.1775510204084</v>
      </c>
    </row>
    <row r="758" spans="1:4" x14ac:dyDescent="0.25">
      <c r="A758" s="2">
        <f ca="1">IFERROR(__xludf.DUMMYFUNCTION("""COMPUTED_VALUE"""),45497.6458333333)</f>
        <v>45497.645833333299</v>
      </c>
      <c r="B758" s="1">
        <f ca="1">IFERROR(__xludf.DUMMYFUNCTION("""COMPUTED_VALUE"""),4306.25)</f>
        <v>4306.25</v>
      </c>
      <c r="C758" s="3">
        <f t="shared" ca="1" si="22"/>
        <v>9.0648134159230088E-4</v>
      </c>
      <c r="D758">
        <f t="shared" ca="1" si="23"/>
        <v>3918.5132653061228</v>
      </c>
    </row>
    <row r="759" spans="1:4" x14ac:dyDescent="0.25">
      <c r="A759" s="2">
        <f ca="1">IFERROR(__xludf.DUMMYFUNCTION("""COMPUTED_VALUE"""),45498.6458333333)</f>
        <v>45498.645833333299</v>
      </c>
      <c r="B759" s="1">
        <f ca="1">IFERROR(__xludf.DUMMYFUNCTION("""COMPUTED_VALUE"""),4322.5)</f>
        <v>4322.5</v>
      </c>
      <c r="C759" s="3">
        <f t="shared" ca="1" si="22"/>
        <v>3.7735849056603774E-3</v>
      </c>
      <c r="D759">
        <f t="shared" ca="1" si="23"/>
        <v>3925.8285714285721</v>
      </c>
    </row>
    <row r="760" spans="1:4" x14ac:dyDescent="0.25">
      <c r="A760" s="2">
        <f ca="1">IFERROR(__xludf.DUMMYFUNCTION("""COMPUTED_VALUE"""),45499.6458333333)</f>
        <v>45499.645833333299</v>
      </c>
      <c r="B760" s="1">
        <f ca="1">IFERROR(__xludf.DUMMYFUNCTION("""COMPUTED_VALUE"""),4387.85)</f>
        <v>4387.8500000000004</v>
      </c>
      <c r="C760" s="3">
        <f t="shared" ca="1" si="22"/>
        <v>1.5118565644881518E-2</v>
      </c>
      <c r="D760">
        <f t="shared" ca="1" si="23"/>
        <v>3934.4265306122452</v>
      </c>
    </row>
    <row r="761" spans="1:4" x14ac:dyDescent="0.25">
      <c r="A761" s="2">
        <f ca="1">IFERROR(__xludf.DUMMYFUNCTION("""COMPUTED_VALUE"""),45502.6458333333)</f>
        <v>45502.645833333299</v>
      </c>
      <c r="B761" s="1">
        <f ca="1">IFERROR(__xludf.DUMMYFUNCTION("""COMPUTED_VALUE"""),4381.1)</f>
        <v>4381.1000000000004</v>
      </c>
      <c r="C761" s="3">
        <f t="shared" ca="1" si="22"/>
        <v>-1.5383388219743152E-3</v>
      </c>
      <c r="D761">
        <f t="shared" ca="1" si="23"/>
        <v>3944.7826530612247</v>
      </c>
    </row>
    <row r="762" spans="1:4" x14ac:dyDescent="0.25">
      <c r="A762" s="2">
        <f ca="1">IFERROR(__xludf.DUMMYFUNCTION("""COMPUTED_VALUE"""),45503.6458333333)</f>
        <v>45503.645833333299</v>
      </c>
      <c r="B762" s="1">
        <f ca="1">IFERROR(__xludf.DUMMYFUNCTION("""COMPUTED_VALUE"""),4365.35)</f>
        <v>4365.3500000000004</v>
      </c>
      <c r="C762" s="3">
        <f t="shared" ca="1" si="22"/>
        <v>-3.5949875602017756E-3</v>
      </c>
      <c r="D762">
        <f t="shared" ca="1" si="23"/>
        <v>3954.5816326530617</v>
      </c>
    </row>
    <row r="763" spans="1:4" x14ac:dyDescent="0.25">
      <c r="A763" s="2">
        <f ca="1">IFERROR(__xludf.DUMMYFUNCTION("""COMPUTED_VALUE"""),45504.6458333333)</f>
        <v>45504.645833333299</v>
      </c>
      <c r="B763" s="1">
        <f ca="1">IFERROR(__xludf.DUMMYFUNCTION("""COMPUTED_VALUE"""),4385.35)</f>
        <v>4385.3500000000004</v>
      </c>
      <c r="C763" s="3">
        <f t="shared" ca="1" si="22"/>
        <v>4.5815341267023257E-3</v>
      </c>
      <c r="D763">
        <f t="shared" ca="1" si="23"/>
        <v>3965.4234693877556</v>
      </c>
    </row>
    <row r="764" spans="1:4" x14ac:dyDescent="0.25">
      <c r="A764" s="2">
        <f ca="1">IFERROR(__xludf.DUMMYFUNCTION("""COMPUTED_VALUE"""),45505.6458333333)</f>
        <v>45505.645833333299</v>
      </c>
      <c r="B764" s="1">
        <f ca="1">IFERROR(__xludf.DUMMYFUNCTION("""COMPUTED_VALUE"""),4397.1)</f>
        <v>4397.1000000000004</v>
      </c>
      <c r="C764" s="3">
        <f t="shared" ca="1" si="22"/>
        <v>2.6793756484659145E-3</v>
      </c>
      <c r="D764">
        <f t="shared" ca="1" si="23"/>
        <v>3976.9571428571435</v>
      </c>
    </row>
    <row r="765" spans="1:4" x14ac:dyDescent="0.25">
      <c r="A765" s="2">
        <f ca="1">IFERROR(__xludf.DUMMYFUNCTION("""COMPUTED_VALUE"""),45506.6458333333)</f>
        <v>45506.645833333299</v>
      </c>
      <c r="B765" s="1">
        <f ca="1">IFERROR(__xludf.DUMMYFUNCTION("""COMPUTED_VALUE"""),4283.05)</f>
        <v>4283.05</v>
      </c>
      <c r="C765" s="3">
        <f t="shared" ca="1" si="22"/>
        <v>-2.5937549748698045E-2</v>
      </c>
      <c r="D765">
        <f t="shared" ca="1" si="23"/>
        <v>3988.4897959183686</v>
      </c>
    </row>
    <row r="766" spans="1:4" x14ac:dyDescent="0.25">
      <c r="A766" s="2">
        <f ca="1">IFERROR(__xludf.DUMMYFUNCTION("""COMPUTED_VALUE"""),45509.6458333333)</f>
        <v>45509.645833333299</v>
      </c>
      <c r="B766" s="1">
        <f ca="1">IFERROR(__xludf.DUMMYFUNCTION("""COMPUTED_VALUE"""),4155.05)</f>
        <v>4155.05</v>
      </c>
      <c r="C766" s="3">
        <f t="shared" ca="1" si="22"/>
        <v>-2.9885245327511935E-2</v>
      </c>
      <c r="D766">
        <f t="shared" ca="1" si="23"/>
        <v>3996.4408163265311</v>
      </c>
    </row>
    <row r="767" spans="1:4" x14ac:dyDescent="0.25">
      <c r="A767" s="2">
        <f ca="1">IFERROR(__xludf.DUMMYFUNCTION("""COMPUTED_VALUE"""),45510.6458333333)</f>
        <v>45510.645833333299</v>
      </c>
      <c r="B767" s="1">
        <f ca="1">IFERROR(__xludf.DUMMYFUNCTION("""COMPUTED_VALUE"""),4171.2)</f>
        <v>4171.2</v>
      </c>
      <c r="C767" s="3">
        <f t="shared" ca="1" si="22"/>
        <v>3.8868365001623654E-3</v>
      </c>
      <c r="D767">
        <f t="shared" ca="1" si="23"/>
        <v>4002.6765306122447</v>
      </c>
    </row>
    <row r="768" spans="1:4" x14ac:dyDescent="0.25">
      <c r="A768" s="2">
        <f ca="1">IFERROR(__xludf.DUMMYFUNCTION("""COMPUTED_VALUE"""),45511.6458333333)</f>
        <v>45511.645833333299</v>
      </c>
      <c r="B768" s="1">
        <f ca="1">IFERROR(__xludf.DUMMYFUNCTION("""COMPUTED_VALUE"""),4200.45)</f>
        <v>4200.45</v>
      </c>
      <c r="C768" s="3">
        <f t="shared" ca="1" si="22"/>
        <v>7.0123705408515541E-3</v>
      </c>
      <c r="D768">
        <f t="shared" ca="1" si="23"/>
        <v>4009.2918367346938</v>
      </c>
    </row>
    <row r="769" spans="1:4" x14ac:dyDescent="0.25">
      <c r="A769" s="2">
        <f ca="1">IFERROR(__xludf.DUMMYFUNCTION("""COMPUTED_VALUE"""),45512.6458333333)</f>
        <v>45512.645833333299</v>
      </c>
      <c r="B769" s="1">
        <f ca="1">IFERROR(__xludf.DUMMYFUNCTION("""COMPUTED_VALUE"""),4172.55)</f>
        <v>4172.55</v>
      </c>
      <c r="C769" s="3">
        <f t="shared" ca="1" si="22"/>
        <v>-6.6421454844122979E-3</v>
      </c>
      <c r="D769">
        <f t="shared" ca="1" si="23"/>
        <v>4016.65</v>
      </c>
    </row>
    <row r="770" spans="1:4" x14ac:dyDescent="0.25">
      <c r="A770" s="2">
        <f ca="1">IFERROR(__xludf.DUMMYFUNCTION("""COMPUTED_VALUE"""),45513.6458333333)</f>
        <v>45513.645833333299</v>
      </c>
      <c r="B770" s="1">
        <f ca="1">IFERROR(__xludf.DUMMYFUNCTION("""COMPUTED_VALUE"""),4228.75)</f>
        <v>4228.75</v>
      </c>
      <c r="C770" s="3">
        <f t="shared" ca="1" si="22"/>
        <v>1.3468981797701601E-2</v>
      </c>
      <c r="D770">
        <f t="shared" ca="1" si="23"/>
        <v>4024.1785714285716</v>
      </c>
    </row>
    <row r="771" spans="1:4" x14ac:dyDescent="0.25">
      <c r="A771" s="2">
        <f ca="1">IFERROR(__xludf.DUMMYFUNCTION("""COMPUTED_VALUE"""),45516.6458333333)</f>
        <v>45516.645833333299</v>
      </c>
      <c r="B771" s="1">
        <f ca="1">IFERROR(__xludf.DUMMYFUNCTION("""COMPUTED_VALUE"""),4195.65)</f>
        <v>4195.6499999999996</v>
      </c>
      <c r="C771" s="3">
        <f t="shared" ca="1" si="22"/>
        <v>-7.8273721548921937E-3</v>
      </c>
      <c r="D771">
        <f t="shared" ca="1" si="23"/>
        <v>4034.2326530612245</v>
      </c>
    </row>
    <row r="772" spans="1:4" x14ac:dyDescent="0.25">
      <c r="A772" s="2">
        <f ca="1">IFERROR(__xludf.DUMMYFUNCTION("""COMPUTED_VALUE"""),45517.6458333333)</f>
        <v>45517.645833333299</v>
      </c>
      <c r="B772" s="1">
        <f ca="1">IFERROR(__xludf.DUMMYFUNCTION("""COMPUTED_VALUE"""),4196.95)</f>
        <v>4196.95</v>
      </c>
      <c r="C772" s="3">
        <f t="shared" ref="C772:C835" ca="1" si="24">(B772-B771)/B771</f>
        <v>3.0984472012684139E-4</v>
      </c>
      <c r="D772">
        <f t="shared" ca="1" si="23"/>
        <v>4044.9408163265302</v>
      </c>
    </row>
    <row r="773" spans="1:4" x14ac:dyDescent="0.25">
      <c r="A773" s="2">
        <f ca="1">IFERROR(__xludf.DUMMYFUNCTION("""COMPUTED_VALUE"""),45518.6458333333)</f>
        <v>45518.645833333299</v>
      </c>
      <c r="B773" s="1">
        <f ca="1">IFERROR(__xludf.DUMMYFUNCTION("""COMPUTED_VALUE"""),4295.25)</f>
        <v>4295.25</v>
      </c>
      <c r="C773" s="3">
        <f t="shared" ca="1" si="24"/>
        <v>2.3421770571486481E-2</v>
      </c>
      <c r="D773">
        <f t="shared" ca="1" si="23"/>
        <v>4055.0244897959178</v>
      </c>
    </row>
    <row r="774" spans="1:4" x14ac:dyDescent="0.25">
      <c r="A774" s="2">
        <f ca="1">IFERROR(__xludf.DUMMYFUNCTION("""COMPUTED_VALUE"""),45520.6458333333)</f>
        <v>45520.645833333299</v>
      </c>
      <c r="B774" s="1">
        <f ca="1">IFERROR(__xludf.DUMMYFUNCTION("""COMPUTED_VALUE"""),4416.05)</f>
        <v>4416.05</v>
      </c>
      <c r="C774" s="3">
        <f t="shared" ca="1" si="24"/>
        <v>2.8124090565159229E-2</v>
      </c>
      <c r="D774">
        <f t="shared" ca="1" si="23"/>
        <v>4066.8663265306127</v>
      </c>
    </row>
    <row r="775" spans="1:4" x14ac:dyDescent="0.25">
      <c r="A775" s="2">
        <f ca="1">IFERROR(__xludf.DUMMYFUNCTION("""COMPUTED_VALUE"""),45523.6458333333)</f>
        <v>45523.645833333299</v>
      </c>
      <c r="B775" s="1">
        <f ca="1">IFERROR(__xludf.DUMMYFUNCTION("""COMPUTED_VALUE"""),4490)</f>
        <v>4490</v>
      </c>
      <c r="C775" s="3">
        <f t="shared" ca="1" si="24"/>
        <v>1.6745734310073441E-2</v>
      </c>
      <c r="D775">
        <f t="shared" ca="1" si="23"/>
        <v>4080.531632653061</v>
      </c>
    </row>
    <row r="776" spans="1:4" x14ac:dyDescent="0.25">
      <c r="A776" s="2">
        <f ca="1">IFERROR(__xludf.DUMMYFUNCTION("""COMPUTED_VALUE"""),45524.6458333333)</f>
        <v>45524.645833333299</v>
      </c>
      <c r="B776" s="1">
        <f ca="1">IFERROR(__xludf.DUMMYFUNCTION("""COMPUTED_VALUE"""),4523.3)</f>
        <v>4523.3</v>
      </c>
      <c r="C776" s="3">
        <f t="shared" ca="1" si="24"/>
        <v>7.4164810690423568E-3</v>
      </c>
      <c r="D776">
        <f t="shared" ca="1" si="23"/>
        <v>4093.9928571428572</v>
      </c>
    </row>
    <row r="777" spans="1:4" x14ac:dyDescent="0.25">
      <c r="A777" s="2">
        <f ca="1">IFERROR(__xludf.DUMMYFUNCTION("""COMPUTED_VALUE"""),45525.6458333333)</f>
        <v>45525.645833333299</v>
      </c>
      <c r="B777" s="1">
        <f ca="1">IFERROR(__xludf.DUMMYFUNCTION("""COMPUTED_VALUE"""),4551.5)</f>
        <v>4551.5</v>
      </c>
      <c r="C777" s="3">
        <f t="shared" ca="1" si="24"/>
        <v>6.2343863993101975E-3</v>
      </c>
      <c r="D777">
        <f t="shared" ca="1" si="23"/>
        <v>4106.8367346938767</v>
      </c>
    </row>
    <row r="778" spans="1:4" x14ac:dyDescent="0.25">
      <c r="A778" s="2">
        <f ca="1">IFERROR(__xludf.DUMMYFUNCTION("""COMPUTED_VALUE"""),45526.6458333333)</f>
        <v>45526.645833333299</v>
      </c>
      <c r="B778" s="1">
        <f ca="1">IFERROR(__xludf.DUMMYFUNCTION("""COMPUTED_VALUE"""),4502)</f>
        <v>4502</v>
      </c>
      <c r="C778" s="3">
        <f t="shared" ca="1" si="24"/>
        <v>-1.0875535537734812E-2</v>
      </c>
      <c r="D778">
        <f t="shared" ca="1" si="23"/>
        <v>4120.9755102040817</v>
      </c>
    </row>
    <row r="779" spans="1:4" x14ac:dyDescent="0.25">
      <c r="A779" s="2">
        <f ca="1">IFERROR(__xludf.DUMMYFUNCTION("""COMPUTED_VALUE"""),45527.6458333333)</f>
        <v>45527.645833333299</v>
      </c>
      <c r="B779" s="1">
        <f ca="1">IFERROR(__xludf.DUMMYFUNCTION("""COMPUTED_VALUE"""),4463.9)</f>
        <v>4463.8999999999996</v>
      </c>
      <c r="C779" s="3">
        <f t="shared" ca="1" si="24"/>
        <v>-8.4629053753887962E-3</v>
      </c>
      <c r="D779">
        <f t="shared" ca="1" si="23"/>
        <v>4134.2387755102036</v>
      </c>
    </row>
    <row r="780" spans="1:4" x14ac:dyDescent="0.25">
      <c r="A780" s="2">
        <f ca="1">IFERROR(__xludf.DUMMYFUNCTION("""COMPUTED_VALUE"""),45530.6458333333)</f>
        <v>45530.645833333299</v>
      </c>
      <c r="B780" s="1">
        <f ca="1">IFERROR(__xludf.DUMMYFUNCTION("""COMPUTED_VALUE"""),4502.45)</f>
        <v>4502.45</v>
      </c>
      <c r="C780" s="3">
        <f t="shared" ca="1" si="24"/>
        <v>8.6359461457470345E-3</v>
      </c>
      <c r="D780">
        <f t="shared" ca="1" si="23"/>
        <v>4147.1418367346932</v>
      </c>
    </row>
    <row r="781" spans="1:4" x14ac:dyDescent="0.25">
      <c r="A781" s="2">
        <f ca="1">IFERROR(__xludf.DUMMYFUNCTION("""COMPUTED_VALUE"""),45531.6458333333)</f>
        <v>45531.645833333299</v>
      </c>
      <c r="B781" s="1">
        <f ca="1">IFERROR(__xludf.DUMMYFUNCTION("""COMPUTED_VALUE"""),4497.15)</f>
        <v>4497.1499999999996</v>
      </c>
      <c r="C781" s="3">
        <f t="shared" ca="1" si="24"/>
        <v>-1.177136892136544E-3</v>
      </c>
      <c r="D781">
        <f t="shared" ca="1" si="23"/>
        <v>4159.8826530612241</v>
      </c>
    </row>
    <row r="782" spans="1:4" x14ac:dyDescent="0.25">
      <c r="A782" s="2">
        <f ca="1">IFERROR(__xludf.DUMMYFUNCTION("""COMPUTED_VALUE"""),45532.6458333333)</f>
        <v>45532.645833333299</v>
      </c>
      <c r="B782" s="1">
        <f ca="1">IFERROR(__xludf.DUMMYFUNCTION("""COMPUTED_VALUE"""),4506.05)</f>
        <v>4506.05</v>
      </c>
      <c r="C782" s="3">
        <f t="shared" ca="1" si="24"/>
        <v>1.9790311641818812E-3</v>
      </c>
      <c r="D782">
        <f t="shared" ca="1" si="23"/>
        <v>4173.4561224489798</v>
      </c>
    </row>
    <row r="783" spans="1:4" x14ac:dyDescent="0.25">
      <c r="A783" s="2">
        <f ca="1">IFERROR(__xludf.DUMMYFUNCTION("""COMPUTED_VALUE"""),45533.6458333333)</f>
        <v>45533.645833333299</v>
      </c>
      <c r="B783" s="1">
        <f ca="1">IFERROR(__xludf.DUMMYFUNCTION("""COMPUTED_VALUE"""),4511.8)</f>
        <v>4511.8</v>
      </c>
      <c r="C783" s="3">
        <f t="shared" ca="1" si="24"/>
        <v>1.2760621830649904E-3</v>
      </c>
      <c r="D783">
        <f t="shared" ca="1" si="23"/>
        <v>4187.5571428571429</v>
      </c>
    </row>
    <row r="784" spans="1:4" x14ac:dyDescent="0.25">
      <c r="A784" s="2">
        <f ca="1">IFERROR(__xludf.DUMMYFUNCTION("""COMPUTED_VALUE"""),45534.6458333333)</f>
        <v>45534.645833333299</v>
      </c>
      <c r="B784" s="1">
        <f ca="1">IFERROR(__xludf.DUMMYFUNCTION("""COMPUTED_VALUE"""),4553.75)</f>
        <v>4553.75</v>
      </c>
      <c r="C784" s="3">
        <f t="shared" ca="1" si="24"/>
        <v>9.2978412163659332E-3</v>
      </c>
      <c r="D784">
        <f t="shared" ca="1" si="23"/>
        <v>4202.0489795918365</v>
      </c>
    </row>
    <row r="785" spans="1:4" x14ac:dyDescent="0.25">
      <c r="A785" s="2">
        <f ca="1">IFERROR(__xludf.DUMMYFUNCTION("""COMPUTED_VALUE"""),45537.6458333333)</f>
        <v>45537.645833333299</v>
      </c>
      <c r="B785" s="1">
        <f ca="1">IFERROR(__xludf.DUMMYFUNCTION("""COMPUTED_VALUE"""),4521.05)</f>
        <v>4521.05</v>
      </c>
      <c r="C785" s="3">
        <f t="shared" ca="1" si="24"/>
        <v>-7.1808948668679257E-3</v>
      </c>
      <c r="D785">
        <f t="shared" ca="1" si="23"/>
        <v>4217.6918367346934</v>
      </c>
    </row>
    <row r="786" spans="1:4" x14ac:dyDescent="0.25">
      <c r="A786" s="2">
        <f ca="1">IFERROR(__xludf.DUMMYFUNCTION("""COMPUTED_VALUE"""),45538.6458333333)</f>
        <v>45538.645833333299</v>
      </c>
      <c r="B786" s="1">
        <f ca="1">IFERROR(__xludf.DUMMYFUNCTION("""COMPUTED_VALUE"""),4512.35)</f>
        <v>4512.3500000000004</v>
      </c>
      <c r="C786" s="3">
        <f t="shared" ca="1" si="24"/>
        <v>-1.9243317370964306E-3</v>
      </c>
      <c r="D786">
        <f t="shared" ca="1" si="23"/>
        <v>4232.1877551020407</v>
      </c>
    </row>
    <row r="787" spans="1:4" x14ac:dyDescent="0.25">
      <c r="A787" s="2">
        <f ca="1">IFERROR(__xludf.DUMMYFUNCTION("""COMPUTED_VALUE"""),45539.6458333333)</f>
        <v>45539.645833333299</v>
      </c>
      <c r="B787" s="1">
        <f ca="1">IFERROR(__xludf.DUMMYFUNCTION("""COMPUTED_VALUE"""),4479.25)</f>
        <v>4479.25</v>
      </c>
      <c r="C787" s="3">
        <f t="shared" ca="1" si="24"/>
        <v>-7.3354238922070233E-3</v>
      </c>
      <c r="D787">
        <f t="shared" ca="1" si="23"/>
        <v>4246.3826530612241</v>
      </c>
    </row>
    <row r="788" spans="1:4" x14ac:dyDescent="0.25">
      <c r="A788" s="2">
        <f ca="1">IFERROR(__xludf.DUMMYFUNCTION("""COMPUTED_VALUE"""),45540.6458333333)</f>
        <v>45540.645833333299</v>
      </c>
      <c r="B788" s="1">
        <f ca="1">IFERROR(__xludf.DUMMYFUNCTION("""COMPUTED_VALUE"""),4475.95)</f>
        <v>4475.95</v>
      </c>
      <c r="C788" s="3">
        <f t="shared" ca="1" si="24"/>
        <v>-7.3673047943298138E-4</v>
      </c>
      <c r="D788">
        <f t="shared" ca="1" si="23"/>
        <v>4259.4602040816326</v>
      </c>
    </row>
    <row r="789" spans="1:4" x14ac:dyDescent="0.25">
      <c r="A789" s="2">
        <f ca="1">IFERROR(__xludf.DUMMYFUNCTION("""COMPUTED_VALUE"""),45541.6458333333)</f>
        <v>45541.645833333299</v>
      </c>
      <c r="B789" s="1">
        <f ca="1">IFERROR(__xludf.DUMMYFUNCTION("""COMPUTED_VALUE"""),4456.75)</f>
        <v>4456.75</v>
      </c>
      <c r="C789" s="3">
        <f t="shared" ca="1" si="24"/>
        <v>-4.2895921536209788E-3</v>
      </c>
      <c r="D789">
        <f t="shared" ca="1" si="23"/>
        <v>4272.1153061224495</v>
      </c>
    </row>
    <row r="790" spans="1:4" x14ac:dyDescent="0.25">
      <c r="A790" s="2">
        <f ca="1">IFERROR(__xludf.DUMMYFUNCTION("""COMPUTED_VALUE"""),45544.6458333333)</f>
        <v>45544.645833333299</v>
      </c>
      <c r="B790" s="1">
        <f ca="1">IFERROR(__xludf.DUMMYFUNCTION("""COMPUTED_VALUE"""),4449.55)</f>
        <v>4449.55</v>
      </c>
      <c r="C790" s="3">
        <f t="shared" ca="1" si="24"/>
        <v>-1.6155270095921507E-3</v>
      </c>
      <c r="D790">
        <f t="shared" ca="1" si="23"/>
        <v>4282.7806122448974</v>
      </c>
    </row>
    <row r="791" spans="1:4" x14ac:dyDescent="0.25">
      <c r="A791" s="2">
        <f ca="1">IFERROR(__xludf.DUMMYFUNCTION("""COMPUTED_VALUE"""),45545.6458333333)</f>
        <v>45545.645833333299</v>
      </c>
      <c r="B791" s="1">
        <f ca="1">IFERROR(__xludf.DUMMYFUNCTION("""COMPUTED_VALUE"""),4507.85)</f>
        <v>4507.8500000000004</v>
      </c>
      <c r="C791" s="3">
        <f t="shared" ca="1" si="24"/>
        <v>1.3102448562214196E-2</v>
      </c>
      <c r="D791">
        <f t="shared" ca="1" si="23"/>
        <v>4293.9112244897951</v>
      </c>
    </row>
    <row r="792" spans="1:4" x14ac:dyDescent="0.25">
      <c r="A792" s="2">
        <f ca="1">IFERROR(__xludf.DUMMYFUNCTION("""COMPUTED_VALUE"""),45546.6458333333)</f>
        <v>45546.645833333299</v>
      </c>
      <c r="B792" s="1">
        <f ca="1">IFERROR(__xludf.DUMMYFUNCTION("""COMPUTED_VALUE"""),4479.35)</f>
        <v>4479.3500000000004</v>
      </c>
      <c r="C792" s="3">
        <f t="shared" ca="1" si="24"/>
        <v>-6.3223044245039207E-3</v>
      </c>
      <c r="D792">
        <f t="shared" ca="1" si="23"/>
        <v>4304.7204081632653</v>
      </c>
    </row>
    <row r="793" spans="1:4" x14ac:dyDescent="0.25">
      <c r="A793" s="2">
        <f ca="1">IFERROR(__xludf.DUMMYFUNCTION("""COMPUTED_VALUE"""),45547.6458333333)</f>
        <v>45547.645833333299</v>
      </c>
      <c r="B793" s="1">
        <f ca="1">IFERROR(__xludf.DUMMYFUNCTION("""COMPUTED_VALUE"""),4517.7)</f>
        <v>4517.7</v>
      </c>
      <c r="C793" s="3">
        <f t="shared" ca="1" si="24"/>
        <v>8.5615100405191484E-3</v>
      </c>
      <c r="D793">
        <f t="shared" ca="1" si="23"/>
        <v>4314.1479591836733</v>
      </c>
    </row>
    <row r="794" spans="1:4" x14ac:dyDescent="0.25">
      <c r="A794" s="2">
        <f ca="1">IFERROR(__xludf.DUMMYFUNCTION("""COMPUTED_VALUE"""),45548.6458333333)</f>
        <v>45548.645833333299</v>
      </c>
      <c r="B794" s="1">
        <f ca="1">IFERROR(__xludf.DUMMYFUNCTION("""COMPUTED_VALUE"""),4522.6)</f>
        <v>4522.6000000000004</v>
      </c>
      <c r="C794" s="3">
        <f t="shared" ca="1" si="24"/>
        <v>1.0846227062444487E-3</v>
      </c>
      <c r="D794">
        <f t="shared" ca="1" si="23"/>
        <v>4325.4224489795924</v>
      </c>
    </row>
    <row r="795" spans="1:4" x14ac:dyDescent="0.25">
      <c r="A795" s="2">
        <f ca="1">IFERROR(__xludf.DUMMYFUNCTION("""COMPUTED_VALUE"""),45551.6458333333)</f>
        <v>45551.645833333299</v>
      </c>
      <c r="B795" s="1">
        <f ca="1">IFERROR(__xludf.DUMMYFUNCTION("""COMPUTED_VALUE"""),4513.25)</f>
        <v>4513.25</v>
      </c>
      <c r="C795" s="3">
        <f t="shared" ca="1" si="24"/>
        <v>-2.0673948613630132E-3</v>
      </c>
      <c r="D795">
        <f t="shared" ca="1" si="23"/>
        <v>4335.6602040816324</v>
      </c>
    </row>
    <row r="796" spans="1:4" x14ac:dyDescent="0.25">
      <c r="A796" s="2">
        <f ca="1">IFERROR(__xludf.DUMMYFUNCTION("""COMPUTED_VALUE"""),45552.6458333333)</f>
        <v>45552.645833333299</v>
      </c>
      <c r="B796" s="1">
        <f ca="1">IFERROR(__xludf.DUMMYFUNCTION("""COMPUTED_VALUE"""),4505.65)</f>
        <v>4505.6499999999996</v>
      </c>
      <c r="C796" s="3">
        <f t="shared" ca="1" si="24"/>
        <v>-1.6839306486457351E-3</v>
      </c>
      <c r="D796">
        <f t="shared" ca="1" si="23"/>
        <v>4345.8938775510205</v>
      </c>
    </row>
    <row r="797" spans="1:4" x14ac:dyDescent="0.25">
      <c r="A797" s="2">
        <f ca="1">IFERROR(__xludf.DUMMYFUNCTION("""COMPUTED_VALUE"""),45553.6458333333)</f>
        <v>45553.645833333299</v>
      </c>
      <c r="B797" s="1">
        <f ca="1">IFERROR(__xludf.DUMMYFUNCTION("""COMPUTED_VALUE"""),4346.15)</f>
        <v>4346.1499999999996</v>
      </c>
      <c r="C797" s="3">
        <f t="shared" ca="1" si="24"/>
        <v>-3.5399997780564407E-2</v>
      </c>
      <c r="D797">
        <f t="shared" ca="1" si="23"/>
        <v>4356.3520408163267</v>
      </c>
    </row>
    <row r="798" spans="1:4" x14ac:dyDescent="0.25">
      <c r="A798" s="2">
        <f ca="1">IFERROR(__xludf.DUMMYFUNCTION("""COMPUTED_VALUE"""),45554.6458333333)</f>
        <v>45554.645833333299</v>
      </c>
      <c r="B798" s="1">
        <f ca="1">IFERROR(__xludf.DUMMYFUNCTION("""COMPUTED_VALUE"""),4296.15)</f>
        <v>4296.1499999999996</v>
      </c>
      <c r="C798" s="3">
        <f t="shared" ca="1" si="24"/>
        <v>-1.1504434959676957E-2</v>
      </c>
      <c r="D798">
        <f t="shared" ca="1" si="23"/>
        <v>4363.712244897959</v>
      </c>
    </row>
    <row r="799" spans="1:4" x14ac:dyDescent="0.25">
      <c r="A799" s="2">
        <f ca="1">IFERROR(__xludf.DUMMYFUNCTION("""COMPUTED_VALUE"""),45555.6458333333)</f>
        <v>45555.645833333299</v>
      </c>
      <c r="B799" s="1">
        <f ca="1">IFERROR(__xludf.DUMMYFUNCTION("""COMPUTED_VALUE"""),4284.9)</f>
        <v>4284.8999999999996</v>
      </c>
      <c r="C799" s="3">
        <f t="shared" ca="1" si="24"/>
        <v>-2.6186236514088197E-3</v>
      </c>
      <c r="D799">
        <f t="shared" ca="1" si="23"/>
        <v>4371.6102040816322</v>
      </c>
    </row>
    <row r="800" spans="1:4" x14ac:dyDescent="0.25">
      <c r="A800" s="2">
        <f ca="1">IFERROR(__xludf.DUMMYFUNCTION("""COMPUTED_VALUE"""),45558.6458333333)</f>
        <v>45558.645833333299</v>
      </c>
      <c r="B800" s="1">
        <f ca="1">IFERROR(__xludf.DUMMYFUNCTION("""COMPUTED_VALUE"""),4268.5)</f>
        <v>4268.5</v>
      </c>
      <c r="C800" s="3">
        <f t="shared" ca="1" si="24"/>
        <v>-3.8273938715021674E-3</v>
      </c>
      <c r="D800">
        <f t="shared" ca="1" si="23"/>
        <v>4378.9816326530599</v>
      </c>
    </row>
    <row r="801" spans="1:4" x14ac:dyDescent="0.25">
      <c r="A801" s="2">
        <f ca="1">IFERROR(__xludf.DUMMYFUNCTION("""COMPUTED_VALUE"""),45559.6458333333)</f>
        <v>45559.645833333299</v>
      </c>
      <c r="B801" s="1">
        <f ca="1">IFERROR(__xludf.DUMMYFUNCTION("""COMPUTED_VALUE"""),4271.3)</f>
        <v>4271.3</v>
      </c>
      <c r="C801" s="3">
        <f t="shared" ca="1" si="24"/>
        <v>6.5596813869044904E-4</v>
      </c>
      <c r="D801">
        <f t="shared" ca="1" si="23"/>
        <v>4380.7071428571426</v>
      </c>
    </row>
    <row r="802" spans="1:4" x14ac:dyDescent="0.25">
      <c r="A802" s="2">
        <f ca="1">IFERROR(__xludf.DUMMYFUNCTION("""COMPUTED_VALUE"""),45560.6458333333)</f>
        <v>45560.645833333299</v>
      </c>
      <c r="B802" s="1">
        <f ca="1">IFERROR(__xludf.DUMMYFUNCTION("""COMPUTED_VALUE"""),4274.75)</f>
        <v>4274.75</v>
      </c>
      <c r="C802" s="3">
        <f t="shared" ca="1" si="24"/>
        <v>8.0771662023267337E-4</v>
      </c>
      <c r="D802">
        <f t="shared" ca="1" si="23"/>
        <v>4382.7908163265301</v>
      </c>
    </row>
    <row r="803" spans="1:4" x14ac:dyDescent="0.25">
      <c r="A803" s="2">
        <f ca="1">IFERROR(__xludf.DUMMYFUNCTION("""COMPUTED_VALUE"""),45561.6458333333)</f>
        <v>45561.645833333299</v>
      </c>
      <c r="B803" s="1">
        <f ca="1">IFERROR(__xludf.DUMMYFUNCTION("""COMPUTED_VALUE"""),4292.5)</f>
        <v>4292.5</v>
      </c>
      <c r="C803" s="3">
        <f t="shared" ca="1" si="24"/>
        <v>4.1522896075793904E-3</v>
      </c>
      <c r="D803">
        <f t="shared" ca="1" si="23"/>
        <v>4384.7561224489791</v>
      </c>
    </row>
    <row r="804" spans="1:4" x14ac:dyDescent="0.25">
      <c r="A804" s="2">
        <f ca="1">IFERROR(__xludf.DUMMYFUNCTION("""COMPUTED_VALUE"""),45562.6458333333)</f>
        <v>45562.645833333299</v>
      </c>
      <c r="B804" s="1">
        <f ca="1">IFERROR(__xludf.DUMMYFUNCTION("""COMPUTED_VALUE"""),4308.7)</f>
        <v>4308.7</v>
      </c>
      <c r="C804" s="3">
        <f t="shared" ca="1" si="24"/>
        <v>3.774024461269614E-3</v>
      </c>
      <c r="D804">
        <f t="shared" ca="1" si="23"/>
        <v>4384.2857142857138</v>
      </c>
    </row>
    <row r="805" spans="1:4" x14ac:dyDescent="0.25">
      <c r="A805" s="2">
        <f ca="1">IFERROR(__xludf.DUMMYFUNCTION("""COMPUTED_VALUE"""),45565.6458333333)</f>
        <v>45565.645833333299</v>
      </c>
      <c r="B805" s="1">
        <f ca="1">IFERROR(__xludf.DUMMYFUNCTION("""COMPUTED_VALUE"""),4268.5)</f>
        <v>4268.5</v>
      </c>
      <c r="C805" s="3">
        <f t="shared" ca="1" si="24"/>
        <v>-9.3299603128553441E-3</v>
      </c>
      <c r="D805">
        <f t="shared" ca="1" si="23"/>
        <v>4384.4142857142851</v>
      </c>
    </row>
    <row r="806" spans="1:4" x14ac:dyDescent="0.25">
      <c r="A806" s="2">
        <f ca="1">IFERROR(__xludf.DUMMYFUNCTION("""COMPUTED_VALUE"""),45566.6458333333)</f>
        <v>45566.645833333299</v>
      </c>
      <c r="B806" s="1">
        <f ca="1">IFERROR(__xludf.DUMMYFUNCTION("""COMPUTED_VALUE"""),4287.9)</f>
        <v>4287.8999999999996</v>
      </c>
      <c r="C806" s="3">
        <f t="shared" ca="1" si="24"/>
        <v>4.5449221037834452E-3</v>
      </c>
      <c r="D806">
        <f t="shared" ca="1" si="23"/>
        <v>4384.0295918367347</v>
      </c>
    </row>
    <row r="807" spans="1:4" x14ac:dyDescent="0.25">
      <c r="A807" s="2">
        <f ca="1">IFERROR(__xludf.DUMMYFUNCTION("""COMPUTED_VALUE"""),45568.6458333333)</f>
        <v>45568.645833333299</v>
      </c>
      <c r="B807" s="1">
        <f ca="1">IFERROR(__xludf.DUMMYFUNCTION("""COMPUTED_VALUE"""),4232.75)</f>
        <v>4232.75</v>
      </c>
      <c r="C807" s="3">
        <f t="shared" ca="1" si="24"/>
        <v>-1.2861773828680622E-2</v>
      </c>
      <c r="D807">
        <f t="shared" ca="1" si="23"/>
        <v>4383.7346938775509</v>
      </c>
    </row>
    <row r="808" spans="1:4" x14ac:dyDescent="0.25">
      <c r="A808" s="2">
        <f ca="1">IFERROR(__xludf.DUMMYFUNCTION("""COMPUTED_VALUE"""),45569.6458333333)</f>
        <v>45569.645833333299</v>
      </c>
      <c r="B808" s="1">
        <f ca="1">IFERROR(__xludf.DUMMYFUNCTION("""COMPUTED_VALUE"""),4252.25)</f>
        <v>4252.25</v>
      </c>
      <c r="C808" s="3">
        <f t="shared" ca="1" si="24"/>
        <v>4.6069340263422123E-3</v>
      </c>
      <c r="D808">
        <f t="shared" ca="1" si="23"/>
        <v>4382.2346938775509</v>
      </c>
    </row>
    <row r="809" spans="1:4" x14ac:dyDescent="0.25">
      <c r="A809" s="2">
        <f ca="1">IFERROR(__xludf.DUMMYFUNCTION("""COMPUTED_VALUE"""),45572.6458333333)</f>
        <v>45572.645833333299</v>
      </c>
      <c r="B809" s="1">
        <f ca="1">IFERROR(__xludf.DUMMYFUNCTION("""COMPUTED_VALUE"""),4272.85)</f>
        <v>4272.8500000000004</v>
      </c>
      <c r="C809" s="3">
        <f t="shared" ca="1" si="24"/>
        <v>4.8444940913634814E-3</v>
      </c>
      <c r="D809">
        <f t="shared" ca="1" si="23"/>
        <v>4380.8010204081629</v>
      </c>
    </row>
    <row r="810" spans="1:4" x14ac:dyDescent="0.25">
      <c r="A810" s="2">
        <f ca="1">IFERROR(__xludf.DUMMYFUNCTION("""COMPUTED_VALUE"""),45573.6458333333)</f>
        <v>45573.645833333299</v>
      </c>
      <c r="B810" s="1">
        <f ca="1">IFERROR(__xludf.DUMMYFUNCTION("""COMPUTED_VALUE"""),4253.25)</f>
        <v>4253.25</v>
      </c>
      <c r="C810" s="3">
        <f t="shared" ca="1" si="24"/>
        <v>-4.5871022853599735E-3</v>
      </c>
      <c r="D810">
        <f t="shared" ca="1" si="23"/>
        <v>4378.4540816326535</v>
      </c>
    </row>
    <row r="811" spans="1:4" x14ac:dyDescent="0.25">
      <c r="A811" s="2">
        <f ca="1">IFERROR(__xludf.DUMMYFUNCTION("""COMPUTED_VALUE"""),45574.6458333333)</f>
        <v>45574.645833333299</v>
      </c>
      <c r="B811" s="1">
        <f ca="1">IFERROR(__xludf.DUMMYFUNCTION("""COMPUTED_VALUE"""),4252.95)</f>
        <v>4252.95</v>
      </c>
      <c r="C811" s="3">
        <f t="shared" ca="1" si="24"/>
        <v>-7.0534297302105893E-5</v>
      </c>
      <c r="D811">
        <f t="shared" ca="1" si="23"/>
        <v>4375.844897959184</v>
      </c>
    </row>
    <row r="812" spans="1:4" x14ac:dyDescent="0.25">
      <c r="A812" s="2">
        <f ca="1">IFERROR(__xludf.DUMMYFUNCTION("""COMPUTED_VALUE"""),45575.6458333333)</f>
        <v>45575.645833333299</v>
      </c>
      <c r="B812" s="1">
        <f ca="1">IFERROR(__xludf.DUMMYFUNCTION("""COMPUTED_VALUE"""),4227.4)</f>
        <v>4227.3999999999996</v>
      </c>
      <c r="C812" s="3">
        <f t="shared" ca="1" si="24"/>
        <v>-6.0075947283650599E-3</v>
      </c>
      <c r="D812">
        <f t="shared" ca="1" si="23"/>
        <v>4373.5510204081638</v>
      </c>
    </row>
    <row r="813" spans="1:4" x14ac:dyDescent="0.25">
      <c r="A813" s="2">
        <f ca="1">IFERROR(__xludf.DUMMYFUNCTION("""COMPUTED_VALUE"""),45576.6458333333)</f>
        <v>45576.645833333299</v>
      </c>
      <c r="B813" s="1">
        <f ca="1">IFERROR(__xludf.DUMMYFUNCTION("""COMPUTED_VALUE"""),4149.2)</f>
        <v>4149.2</v>
      </c>
      <c r="C813" s="3">
        <f t="shared" ca="1" si="24"/>
        <v>-1.8498367791077216E-2</v>
      </c>
      <c r="D813">
        <f t="shared" ca="1" si="23"/>
        <v>4370.3275510204085</v>
      </c>
    </row>
    <row r="814" spans="1:4" x14ac:dyDescent="0.25">
      <c r="A814" s="2">
        <f ca="1">IFERROR(__xludf.DUMMYFUNCTION("""COMPUTED_VALUE"""),45579.6458333333)</f>
        <v>45579.645833333299</v>
      </c>
      <c r="B814" s="1">
        <f ca="1">IFERROR(__xludf.DUMMYFUNCTION("""COMPUTED_VALUE"""),4136.65)</f>
        <v>4136.6499999999996</v>
      </c>
      <c r="C814" s="3">
        <f t="shared" ca="1" si="24"/>
        <v>-3.0246794562807729E-3</v>
      </c>
      <c r="D814">
        <f t="shared" ca="1" si="23"/>
        <v>4365.2683673469392</v>
      </c>
    </row>
    <row r="815" spans="1:4" x14ac:dyDescent="0.25">
      <c r="A815" s="2">
        <f ca="1">IFERROR(__xludf.DUMMYFUNCTION("""COMPUTED_VALUE"""),45580.6458333333)</f>
        <v>45580.645833333299</v>
      </c>
      <c r="B815" s="1">
        <f ca="1">IFERROR(__xludf.DUMMYFUNCTION("""COMPUTED_VALUE"""),4116.8)</f>
        <v>4116.8</v>
      </c>
      <c r="C815" s="3">
        <f t="shared" ca="1" si="24"/>
        <v>-4.7985688902854864E-3</v>
      </c>
      <c r="D815">
        <f t="shared" ca="1" si="23"/>
        <v>4362.2806122448983</v>
      </c>
    </row>
    <row r="816" spans="1:4" x14ac:dyDescent="0.25">
      <c r="A816" s="2">
        <f ca="1">IFERROR(__xludf.DUMMYFUNCTION("""COMPUTED_VALUE"""),45581.6458333333)</f>
        <v>45581.645833333299</v>
      </c>
      <c r="B816" s="1">
        <f ca="1">IFERROR(__xludf.DUMMYFUNCTION("""COMPUTED_VALUE"""),4094.95)</f>
        <v>4094.95</v>
      </c>
      <c r="C816" s="3">
        <f t="shared" ca="1" si="24"/>
        <v>-5.3075204041975231E-3</v>
      </c>
      <c r="D816">
        <f t="shared" ca="1" si="23"/>
        <v>4361.5</v>
      </c>
    </row>
    <row r="817" spans="1:4" x14ac:dyDescent="0.25">
      <c r="A817" s="2">
        <f ca="1">IFERROR(__xludf.DUMMYFUNCTION("""COMPUTED_VALUE"""),45582.6458333333)</f>
        <v>45582.645833333299</v>
      </c>
      <c r="B817" s="1">
        <f ca="1">IFERROR(__xludf.DUMMYFUNCTION("""COMPUTED_VALUE"""),4109)</f>
        <v>4109</v>
      </c>
      <c r="C817" s="3">
        <f t="shared" ca="1" si="24"/>
        <v>3.4310553242408778E-3</v>
      </c>
      <c r="D817">
        <f t="shared" ca="1" si="23"/>
        <v>4359.9438775510207</v>
      </c>
    </row>
    <row r="818" spans="1:4" x14ac:dyDescent="0.25">
      <c r="A818" s="2">
        <f ca="1">IFERROR(__xludf.DUMMYFUNCTION("""COMPUTED_VALUE"""),45583.6458333333)</f>
        <v>45583.645833333299</v>
      </c>
      <c r="B818" s="1">
        <f ca="1">IFERROR(__xludf.DUMMYFUNCTION("""COMPUTED_VALUE"""),4123.05)</f>
        <v>4123.05</v>
      </c>
      <c r="C818" s="3">
        <f t="shared" ca="1" si="24"/>
        <v>3.4193234363592557E-3</v>
      </c>
      <c r="D818">
        <f t="shared" ca="1" si="23"/>
        <v>4358.0775510204085</v>
      </c>
    </row>
    <row r="819" spans="1:4" x14ac:dyDescent="0.25">
      <c r="A819" s="2">
        <f ca="1">IFERROR(__xludf.DUMMYFUNCTION("""COMPUTED_VALUE"""),45586.6458333333)</f>
        <v>45586.645833333299</v>
      </c>
      <c r="B819" s="1">
        <f ca="1">IFERROR(__xludf.DUMMYFUNCTION("""COMPUTED_VALUE"""),4079.85)</f>
        <v>4079.85</v>
      </c>
      <c r="C819" s="3">
        <f t="shared" ca="1" si="24"/>
        <v>-1.0477680357987478E-2</v>
      </c>
      <c r="D819">
        <f t="shared" ca="1" si="23"/>
        <v>4357.0673469387757</v>
      </c>
    </row>
    <row r="820" spans="1:4" x14ac:dyDescent="0.25">
      <c r="A820" s="2">
        <f ca="1">IFERROR(__xludf.DUMMYFUNCTION("""COMPUTED_VALUE"""),45587.6458333333)</f>
        <v>45587.645833333299</v>
      </c>
      <c r="B820" s="1">
        <f ca="1">IFERROR(__xludf.DUMMYFUNCTION("""COMPUTED_VALUE"""),4015.5)</f>
        <v>4015.5</v>
      </c>
      <c r="C820" s="3">
        <f t="shared" ca="1" si="24"/>
        <v>-1.5772638699952182E-2</v>
      </c>
      <c r="D820">
        <f t="shared" ref="D820:D883" ca="1" si="25">AVERAGE(B771:B819)</f>
        <v>4354.028571428571</v>
      </c>
    </row>
    <row r="821" spans="1:4" x14ac:dyDescent="0.25">
      <c r="A821" s="2">
        <f ca="1">IFERROR(__xludf.DUMMYFUNCTION("""COMPUTED_VALUE"""),45588.6458333333)</f>
        <v>45588.645833333299</v>
      </c>
      <c r="B821" s="1">
        <f ca="1">IFERROR(__xludf.DUMMYFUNCTION("""COMPUTED_VALUE"""),4066.25)</f>
        <v>4066.25</v>
      </c>
      <c r="C821" s="3">
        <f t="shared" ca="1" si="24"/>
        <v>1.2638525712862657E-2</v>
      </c>
      <c r="D821">
        <f t="shared" ca="1" si="25"/>
        <v>4350.3520408163267</v>
      </c>
    </row>
    <row r="822" spans="1:4" x14ac:dyDescent="0.25">
      <c r="A822" s="2">
        <f ca="1">IFERROR(__xludf.DUMMYFUNCTION("""COMPUTED_VALUE"""),45589.6458333333)</f>
        <v>45589.645833333299</v>
      </c>
      <c r="B822" s="1">
        <f ca="1">IFERROR(__xludf.DUMMYFUNCTION("""COMPUTED_VALUE"""),4047.9)</f>
        <v>4047.9</v>
      </c>
      <c r="C822" s="3">
        <f t="shared" ca="1" si="24"/>
        <v>-4.5127574546572173E-3</v>
      </c>
      <c r="D822">
        <f t="shared" ca="1" si="25"/>
        <v>4347.6846938775516</v>
      </c>
    </row>
    <row r="823" spans="1:4" x14ac:dyDescent="0.25">
      <c r="A823" s="2">
        <f ca="1">IFERROR(__xludf.DUMMYFUNCTION("""COMPUTED_VALUE"""),45590.6458333333)</f>
        <v>45590.645833333299</v>
      </c>
      <c r="B823" s="1">
        <f ca="1">IFERROR(__xludf.DUMMYFUNCTION("""COMPUTED_VALUE"""),4057.55)</f>
        <v>4057.55</v>
      </c>
      <c r="C823" s="3">
        <f t="shared" ca="1" si="24"/>
        <v>2.3839521727315621E-3</v>
      </c>
      <c r="D823">
        <f t="shared" ca="1" si="25"/>
        <v>4342.6367346938778</v>
      </c>
    </row>
    <row r="824" spans="1:4" x14ac:dyDescent="0.25">
      <c r="A824" s="2">
        <f ca="1">IFERROR(__xludf.DUMMYFUNCTION("""COMPUTED_VALUE"""),45593.6458333333)</f>
        <v>45593.645833333299</v>
      </c>
      <c r="B824" s="1">
        <f ca="1">IFERROR(__xludf.DUMMYFUNCTION("""COMPUTED_VALUE"""),4090.85)</f>
        <v>4090.85</v>
      </c>
      <c r="C824" s="3">
        <f t="shared" ca="1" si="24"/>
        <v>8.2069228968219068E-3</v>
      </c>
      <c r="D824">
        <f t="shared" ca="1" si="25"/>
        <v>4335.3204081632648</v>
      </c>
    </row>
    <row r="825" spans="1:4" x14ac:dyDescent="0.25">
      <c r="A825" s="2">
        <f ca="1">IFERROR(__xludf.DUMMYFUNCTION("""COMPUTED_VALUE"""),45594.6458333333)</f>
        <v>45594.645833333299</v>
      </c>
      <c r="B825" s="1">
        <f ca="1">IFERROR(__xludf.DUMMYFUNCTION("""COMPUTED_VALUE"""),4093.1)</f>
        <v>4093.1</v>
      </c>
      <c r="C825" s="3">
        <f t="shared" ca="1" si="24"/>
        <v>5.5000794455919923E-4</v>
      </c>
      <c r="D825">
        <f t="shared" ca="1" si="25"/>
        <v>4327.1744897959179</v>
      </c>
    </row>
    <row r="826" spans="1:4" x14ac:dyDescent="0.25">
      <c r="A826" s="2">
        <f ca="1">IFERROR(__xludf.DUMMYFUNCTION("""COMPUTED_VALUE"""),45595.6458333333)</f>
        <v>45595.645833333299</v>
      </c>
      <c r="B826" s="1">
        <f ca="1">IFERROR(__xludf.DUMMYFUNCTION("""COMPUTED_VALUE"""),4084.65)</f>
        <v>4084.65</v>
      </c>
      <c r="C826" s="3">
        <f t="shared" ca="1" si="24"/>
        <v>-2.0644499279274435E-3</v>
      </c>
      <c r="D826">
        <f t="shared" ca="1" si="25"/>
        <v>4318.3948979591842</v>
      </c>
    </row>
    <row r="827" spans="1:4" x14ac:dyDescent="0.25">
      <c r="A827" s="2">
        <f ca="1">IFERROR(__xludf.DUMMYFUNCTION("""COMPUTED_VALUE"""),45596.6458333333)</f>
        <v>45596.645833333299</v>
      </c>
      <c r="B827" s="1">
        <f ca="1">IFERROR(__xludf.DUMMYFUNCTION("""COMPUTED_VALUE"""),3968.45)</f>
        <v>3968.45</v>
      </c>
      <c r="C827" s="3">
        <f t="shared" ca="1" si="24"/>
        <v>-2.8447969838297105E-2</v>
      </c>
      <c r="D827">
        <f t="shared" ca="1" si="25"/>
        <v>4308.867346938775</v>
      </c>
    </row>
    <row r="828" spans="1:4" x14ac:dyDescent="0.25">
      <c r="A828" s="2">
        <f ca="1">IFERROR(__xludf.DUMMYFUNCTION("""COMPUTED_VALUE"""),45600.6458333333)</f>
        <v>45600.645833333299</v>
      </c>
      <c r="B828" s="1">
        <f ca="1">IFERROR(__xludf.DUMMYFUNCTION("""COMPUTED_VALUE"""),3964.15)</f>
        <v>3964.15</v>
      </c>
      <c r="C828" s="3">
        <f t="shared" ca="1" si="24"/>
        <v>-1.0835464728041748E-3</v>
      </c>
      <c r="D828">
        <f t="shared" ca="1" si="25"/>
        <v>4297.9785714285708</v>
      </c>
    </row>
    <row r="829" spans="1:4" x14ac:dyDescent="0.25">
      <c r="A829" s="2">
        <f ca="1">IFERROR(__xludf.DUMMYFUNCTION("""COMPUTED_VALUE"""),45601.6458333333)</f>
        <v>45601.645833333299</v>
      </c>
      <c r="B829" s="1">
        <f ca="1">IFERROR(__xludf.DUMMYFUNCTION("""COMPUTED_VALUE"""),3971.35)</f>
        <v>3971.35</v>
      </c>
      <c r="C829" s="3">
        <f t="shared" ca="1" si="24"/>
        <v>1.8162783951161832E-3</v>
      </c>
      <c r="D829">
        <f t="shared" ca="1" si="25"/>
        <v>4287.7795918367337</v>
      </c>
    </row>
    <row r="830" spans="1:4" x14ac:dyDescent="0.25">
      <c r="A830" s="2">
        <f ca="1">IFERROR(__xludf.DUMMYFUNCTION("""COMPUTED_VALUE"""),45602.6458333333)</f>
        <v>45602.645833333299</v>
      </c>
      <c r="B830" s="1">
        <f ca="1">IFERROR(__xludf.DUMMYFUNCTION("""COMPUTED_VALUE"""),4139.65)</f>
        <v>4139.6499999999996</v>
      </c>
      <c r="C830" s="3">
        <f t="shared" ca="1" si="24"/>
        <v>4.2378536266005198E-2</v>
      </c>
      <c r="D830">
        <f t="shared" ca="1" si="25"/>
        <v>4276.9408163265298</v>
      </c>
    </row>
    <row r="831" spans="1:4" x14ac:dyDescent="0.25">
      <c r="A831" s="2">
        <f ca="1">IFERROR(__xludf.DUMMYFUNCTION("""COMPUTED_VALUE"""),45603.6458333333)</f>
        <v>45603.645833333299</v>
      </c>
      <c r="B831" s="1">
        <f ca="1">IFERROR(__xludf.DUMMYFUNCTION("""COMPUTED_VALUE"""),4150.9)</f>
        <v>4150.8999999999996</v>
      </c>
      <c r="C831" s="3">
        <f t="shared" ca="1" si="24"/>
        <v>2.7176210549201022E-3</v>
      </c>
      <c r="D831">
        <f t="shared" ca="1" si="25"/>
        <v>4269.6448979591833</v>
      </c>
    </row>
    <row r="832" spans="1:4" x14ac:dyDescent="0.25">
      <c r="A832" s="2">
        <f ca="1">IFERROR(__xludf.DUMMYFUNCTION("""COMPUTED_VALUE"""),45604.6458333333)</f>
        <v>45604.645833333299</v>
      </c>
      <c r="B832" s="1">
        <f ca="1">IFERROR(__xludf.DUMMYFUNCTION("""COMPUTED_VALUE"""),4147)</f>
        <v>4147</v>
      </c>
      <c r="C832" s="3">
        <f t="shared" ca="1" si="24"/>
        <v>-9.395552771687192E-4</v>
      </c>
      <c r="D832">
        <f t="shared" ca="1" si="25"/>
        <v>4262.3969387755096</v>
      </c>
    </row>
    <row r="833" spans="1:4" x14ac:dyDescent="0.25">
      <c r="A833" s="2">
        <f ca="1">IFERROR(__xludf.DUMMYFUNCTION("""COMPUTED_VALUE"""),45607.6458333333)</f>
        <v>45607.645833333299</v>
      </c>
      <c r="B833" s="1">
        <f ca="1">IFERROR(__xludf.DUMMYFUNCTION("""COMPUTED_VALUE"""),4198.7)</f>
        <v>4198.7</v>
      </c>
      <c r="C833" s="3">
        <f t="shared" ca="1" si="24"/>
        <v>1.2466843501326217E-2</v>
      </c>
      <c r="D833">
        <f t="shared" ca="1" si="25"/>
        <v>4254.9520408163262</v>
      </c>
    </row>
    <row r="834" spans="1:4" x14ac:dyDescent="0.25">
      <c r="A834" s="2">
        <f ca="1">IFERROR(__xludf.DUMMYFUNCTION("""COMPUTED_VALUE"""),45608.6458333333)</f>
        <v>45608.645833333299</v>
      </c>
      <c r="B834" s="1">
        <f ca="1">IFERROR(__xludf.DUMMYFUNCTION("""COMPUTED_VALUE"""),4197.4)</f>
        <v>4197.3999999999996</v>
      </c>
      <c r="C834" s="3">
        <f t="shared" ca="1" si="24"/>
        <v>-3.096196441756215E-4</v>
      </c>
      <c r="D834">
        <f t="shared" ca="1" si="25"/>
        <v>4247.7061224489789</v>
      </c>
    </row>
    <row r="835" spans="1:4" x14ac:dyDescent="0.25">
      <c r="A835" s="2">
        <f ca="1">IFERROR(__xludf.DUMMYFUNCTION("""COMPUTED_VALUE"""),45609.6458333333)</f>
        <v>45609.645833333299</v>
      </c>
      <c r="B835" s="1">
        <f ca="1">IFERROR(__xludf.DUMMYFUNCTION("""COMPUTED_VALUE"""),4150.35)</f>
        <v>4150.3500000000004</v>
      </c>
      <c r="C835" s="3">
        <f t="shared" ca="1" si="24"/>
        <v>-1.1209320055272139E-2</v>
      </c>
      <c r="D835">
        <f t="shared" ca="1" si="25"/>
        <v>4241.1010204081631</v>
      </c>
    </row>
    <row r="836" spans="1:4" x14ac:dyDescent="0.25">
      <c r="A836" s="2">
        <f ca="1">IFERROR(__xludf.DUMMYFUNCTION("""COMPUTED_VALUE"""),45610.6458333333)</f>
        <v>45610.645833333299</v>
      </c>
      <c r="B836" s="1">
        <f ca="1">IFERROR(__xludf.DUMMYFUNCTION("""COMPUTED_VALUE"""),4145.9)</f>
        <v>4145.8999999999996</v>
      </c>
      <c r="C836" s="3">
        <f t="shared" ref="C836:C899" ca="1" si="26">(B836-B835)/B835</f>
        <v>-1.0721987302277464E-3</v>
      </c>
      <c r="D836">
        <f t="shared" ca="1" si="25"/>
        <v>4233.7132653061217</v>
      </c>
    </row>
    <row r="837" spans="1:4" x14ac:dyDescent="0.25">
      <c r="A837" s="2">
        <f ca="1">IFERROR(__xludf.DUMMYFUNCTION("""COMPUTED_VALUE"""),45614.6458333333)</f>
        <v>45614.645833333299</v>
      </c>
      <c r="B837" s="1">
        <f ca="1">IFERROR(__xludf.DUMMYFUNCTION("""COMPUTED_VALUE"""),4019.5)</f>
        <v>4019.5</v>
      </c>
      <c r="C837" s="3">
        <f t="shared" ca="1" si="26"/>
        <v>-3.0487951952531331E-2</v>
      </c>
      <c r="D837">
        <f t="shared" ca="1" si="25"/>
        <v>4226.9102040816324</v>
      </c>
    </row>
    <row r="838" spans="1:4" x14ac:dyDescent="0.25">
      <c r="A838" s="2">
        <f ca="1">IFERROR(__xludf.DUMMYFUNCTION("""COMPUTED_VALUE"""),45615.6458333333)</f>
        <v>45615.645833333299</v>
      </c>
      <c r="B838" s="1">
        <f ca="1">IFERROR(__xludf.DUMMYFUNCTION("""COMPUTED_VALUE"""),4039.55)</f>
        <v>4039.55</v>
      </c>
      <c r="C838" s="3">
        <f t="shared" ca="1" si="26"/>
        <v>4.9881826097773804E-3</v>
      </c>
      <c r="D838">
        <f t="shared" ca="1" si="25"/>
        <v>4217.594897959184</v>
      </c>
    </row>
    <row r="839" spans="1:4" x14ac:dyDescent="0.25">
      <c r="A839" s="2">
        <f ca="1">IFERROR(__xludf.DUMMYFUNCTION("""COMPUTED_VALUE"""),45617.6458333333)</f>
        <v>45617.645833333299</v>
      </c>
      <c r="B839" s="1">
        <f ca="1">IFERROR(__xludf.DUMMYFUNCTION("""COMPUTED_VALUE"""),4072.85)</f>
        <v>4072.85</v>
      </c>
      <c r="C839" s="3">
        <f t="shared" ca="1" si="26"/>
        <v>8.2434924682204015E-3</v>
      </c>
      <c r="D839">
        <f t="shared" ca="1" si="25"/>
        <v>4209.0806122448976</v>
      </c>
    </row>
    <row r="840" spans="1:4" x14ac:dyDescent="0.25">
      <c r="A840" s="2">
        <f ca="1">IFERROR(__xludf.DUMMYFUNCTION("""COMPUTED_VALUE"""),45618.6458333333)</f>
        <v>45618.645833333299</v>
      </c>
      <c r="B840" s="1">
        <f ca="1">IFERROR(__xludf.DUMMYFUNCTION("""COMPUTED_VALUE"""),4244.6)</f>
        <v>4244.6000000000004</v>
      </c>
      <c r="C840" s="3">
        <f t="shared" ca="1" si="26"/>
        <v>4.2169488196226346E-2</v>
      </c>
      <c r="D840">
        <f t="shared" ca="1" si="25"/>
        <v>4201.3928571428569</v>
      </c>
    </row>
    <row r="841" spans="1:4" x14ac:dyDescent="0.25">
      <c r="A841" s="2">
        <f ca="1">IFERROR(__xludf.DUMMYFUNCTION("""COMPUTED_VALUE"""),45621.6458333333)</f>
        <v>45621.645833333299</v>
      </c>
      <c r="B841" s="1">
        <f ca="1">IFERROR(__xludf.DUMMYFUNCTION("""COMPUTED_VALUE"""),4315.1)</f>
        <v>4315.1000000000004</v>
      </c>
      <c r="C841" s="3">
        <f t="shared" ca="1" si="26"/>
        <v>1.6609338924751447E-2</v>
      </c>
      <c r="D841">
        <f t="shared" ca="1" si="25"/>
        <v>4196.0204081632655</v>
      </c>
    </row>
    <row r="842" spans="1:4" x14ac:dyDescent="0.25">
      <c r="A842" s="2">
        <f ca="1">IFERROR(__xludf.DUMMYFUNCTION("""COMPUTED_VALUE"""),45622.6458333333)</f>
        <v>45622.645833333299</v>
      </c>
      <c r="B842" s="1">
        <f ca="1">IFERROR(__xludf.DUMMYFUNCTION("""COMPUTED_VALUE"""),4352.7)</f>
        <v>4352.7</v>
      </c>
      <c r="C842" s="3">
        <f t="shared" ca="1" si="26"/>
        <v>8.7135871706332298E-3</v>
      </c>
      <c r="D842">
        <f t="shared" ca="1" si="25"/>
        <v>4192.6683673469388</v>
      </c>
    </row>
    <row r="843" spans="1:4" x14ac:dyDescent="0.25">
      <c r="A843" s="2">
        <f ca="1">IFERROR(__xludf.DUMMYFUNCTION("""COMPUTED_VALUE"""),45623.6458333333)</f>
        <v>45623.645833333299</v>
      </c>
      <c r="B843" s="1">
        <f ca="1">IFERROR(__xludf.DUMMYFUNCTION("""COMPUTED_VALUE"""),4332.55)</f>
        <v>4332.55</v>
      </c>
      <c r="C843" s="3">
        <f t="shared" ca="1" si="26"/>
        <v>-4.6293105428813468E-3</v>
      </c>
      <c r="D843">
        <f t="shared" ca="1" si="25"/>
        <v>4189.3010204081638</v>
      </c>
    </row>
    <row r="844" spans="1:4" x14ac:dyDescent="0.25">
      <c r="A844" s="2">
        <f ca="1">IFERROR(__xludf.DUMMYFUNCTION("""COMPUTED_VALUE"""),45624.6458333333)</f>
        <v>45624.645833333299</v>
      </c>
      <c r="B844" s="1">
        <f ca="1">IFERROR(__xludf.DUMMYFUNCTION("""COMPUTED_VALUE"""),4244.9)</f>
        <v>4244.8999999999996</v>
      </c>
      <c r="C844" s="3">
        <f t="shared" ca="1" si="26"/>
        <v>-2.0230580143333728E-2</v>
      </c>
      <c r="D844">
        <f t="shared" ca="1" si="25"/>
        <v>4185.4224489795924</v>
      </c>
    </row>
    <row r="845" spans="1:4" x14ac:dyDescent="0.25">
      <c r="A845" s="2">
        <f ca="1">IFERROR(__xludf.DUMMYFUNCTION("""COMPUTED_VALUE"""),45625.6458333333)</f>
        <v>45625.645833333299</v>
      </c>
      <c r="B845" s="1">
        <f ca="1">IFERROR(__xludf.DUMMYFUNCTION("""COMPUTED_VALUE"""),4270.85)</f>
        <v>4270.8500000000004</v>
      </c>
      <c r="C845" s="3">
        <f t="shared" ca="1" si="26"/>
        <v>6.1132182147991074E-3</v>
      </c>
      <c r="D845">
        <f t="shared" ca="1" si="25"/>
        <v>4179.9459183673462</v>
      </c>
    </row>
    <row r="846" spans="1:4" x14ac:dyDescent="0.25">
      <c r="A846" s="2">
        <f ca="1">IFERROR(__xludf.DUMMYFUNCTION("""COMPUTED_VALUE"""),45628.6458333333)</f>
        <v>45628.645833333299</v>
      </c>
      <c r="B846" s="1">
        <f ca="1">IFERROR(__xludf.DUMMYFUNCTION("""COMPUTED_VALUE"""),4276.65)</f>
        <v>4276.6499999999996</v>
      </c>
      <c r="C846" s="3">
        <f t="shared" ca="1" si="26"/>
        <v>1.358043480805758E-3</v>
      </c>
      <c r="D846">
        <f t="shared" ca="1" si="25"/>
        <v>4175.1540816326524</v>
      </c>
    </row>
    <row r="847" spans="1:4" x14ac:dyDescent="0.25">
      <c r="A847" s="2">
        <f ca="1">IFERROR(__xludf.DUMMYFUNCTION("""COMPUTED_VALUE"""),45629.6458333333)</f>
        <v>45629.645833333299</v>
      </c>
      <c r="B847" s="1">
        <f ca="1">IFERROR(__xludf.DUMMYFUNCTION("""COMPUTED_VALUE"""),4302.75)</f>
        <v>4302.75</v>
      </c>
      <c r="C847" s="3">
        <f t="shared" ca="1" si="26"/>
        <v>6.1029076496791571E-3</v>
      </c>
      <c r="D847">
        <f t="shared" ca="1" si="25"/>
        <v>4173.7357142857145</v>
      </c>
    </row>
    <row r="848" spans="1:4" x14ac:dyDescent="0.25">
      <c r="A848" s="2">
        <f ca="1">IFERROR(__xludf.DUMMYFUNCTION("""COMPUTED_VALUE"""),45630.6458333333)</f>
        <v>45630.645833333299</v>
      </c>
      <c r="B848" s="1">
        <f ca="1">IFERROR(__xludf.DUMMYFUNCTION("""COMPUTED_VALUE"""),4354.4)</f>
        <v>4354.3999999999996</v>
      </c>
      <c r="C848" s="3">
        <f t="shared" ca="1" si="26"/>
        <v>1.2003950961594245E-2</v>
      </c>
      <c r="D848">
        <f t="shared" ca="1" si="25"/>
        <v>4173.870408163265</v>
      </c>
    </row>
    <row r="849" spans="1:4" x14ac:dyDescent="0.25">
      <c r="A849" s="2">
        <f ca="1">IFERROR(__xludf.DUMMYFUNCTION("""COMPUTED_VALUE"""),45631.6458333333)</f>
        <v>45631.645833333299</v>
      </c>
      <c r="B849" s="1">
        <f ca="1">IFERROR(__xludf.DUMMYFUNCTION("""COMPUTED_VALUE"""),4464.05)</f>
        <v>4464.05</v>
      </c>
      <c r="C849" s="3">
        <f t="shared" ca="1" si="26"/>
        <v>2.5181425684365367E-2</v>
      </c>
      <c r="D849">
        <f t="shared" ca="1" si="25"/>
        <v>4175.2887755102038</v>
      </c>
    </row>
    <row r="850" spans="1:4" x14ac:dyDescent="0.25">
      <c r="A850" s="2">
        <f ca="1">IFERROR(__xludf.DUMMYFUNCTION("""COMPUTED_VALUE"""),45632.6458333333)</f>
        <v>45632.645833333299</v>
      </c>
      <c r="B850" s="1">
        <f ca="1">IFERROR(__xludf.DUMMYFUNCTION("""COMPUTED_VALUE"""),4445.5)</f>
        <v>4445.5</v>
      </c>
      <c r="C850" s="3">
        <f t="shared" ca="1" si="26"/>
        <v>-4.1554194061446852E-3</v>
      </c>
      <c r="D850">
        <f t="shared" ca="1" si="25"/>
        <v>4179.2795918367347</v>
      </c>
    </row>
    <row r="851" spans="1:4" x14ac:dyDescent="0.25">
      <c r="A851" s="2">
        <f ca="1">IFERROR(__xludf.DUMMYFUNCTION("""COMPUTED_VALUE"""),45635.6458333333)</f>
        <v>45635.645833333299</v>
      </c>
      <c r="B851" s="1">
        <f ca="1">IFERROR(__xludf.DUMMYFUNCTION("""COMPUTED_VALUE"""),4452.15)</f>
        <v>4452.1499999999996</v>
      </c>
      <c r="C851" s="3">
        <f t="shared" ca="1" si="26"/>
        <v>1.4958947250027299E-3</v>
      </c>
      <c r="D851">
        <f t="shared" ca="1" si="25"/>
        <v>4182.8346938775503</v>
      </c>
    </row>
    <row r="852" spans="1:4" x14ac:dyDescent="0.25">
      <c r="A852" s="2">
        <f ca="1">IFERROR(__xludf.DUMMYFUNCTION("""COMPUTED_VALUE"""),45636.6458333333)</f>
        <v>45636.645833333299</v>
      </c>
      <c r="B852" s="1">
        <f ca="1">IFERROR(__xludf.DUMMYFUNCTION("""COMPUTED_VALUE"""),4432.55)</f>
        <v>4432.55</v>
      </c>
      <c r="C852" s="3">
        <f t="shared" ca="1" si="26"/>
        <v>-4.4023673955278812E-3</v>
      </c>
      <c r="D852">
        <f t="shared" ca="1" si="25"/>
        <v>4186.4551020408153</v>
      </c>
    </row>
    <row r="853" spans="1:4" x14ac:dyDescent="0.25">
      <c r="A853" s="2">
        <f ca="1">IFERROR(__xludf.DUMMYFUNCTION("""COMPUTED_VALUE"""),45637.6458333333)</f>
        <v>45637.645833333299</v>
      </c>
      <c r="B853" s="1">
        <f ca="1">IFERROR(__xludf.DUMMYFUNCTION("""COMPUTED_VALUE"""),4427.45)</f>
        <v>4427.45</v>
      </c>
      <c r="C853" s="3">
        <f t="shared" ca="1" si="26"/>
        <v>-1.1505792376849361E-3</v>
      </c>
      <c r="D853">
        <f t="shared" ca="1" si="25"/>
        <v>4189.3132653061211</v>
      </c>
    </row>
    <row r="854" spans="1:4" x14ac:dyDescent="0.25">
      <c r="A854" s="2">
        <f ca="1">IFERROR(__xludf.DUMMYFUNCTION("""COMPUTED_VALUE"""),45638.6458333333)</f>
        <v>45638.645833333299</v>
      </c>
      <c r="B854" s="1">
        <f ca="1">IFERROR(__xludf.DUMMYFUNCTION("""COMPUTED_VALUE"""),4454.95)</f>
        <v>4454.95</v>
      </c>
      <c r="C854" s="3">
        <f t="shared" ca="1" si="26"/>
        <v>6.21125026821308E-3</v>
      </c>
      <c r="D854">
        <f t="shared" ca="1" si="25"/>
        <v>4191.7367346938772</v>
      </c>
    </row>
    <row r="855" spans="1:4" x14ac:dyDescent="0.25">
      <c r="A855" s="2">
        <f ca="1">IFERROR(__xludf.DUMMYFUNCTION("""COMPUTED_VALUE"""),45639.6458333333)</f>
        <v>45639.645833333299</v>
      </c>
      <c r="B855" s="1">
        <f ca="1">IFERROR(__xludf.DUMMYFUNCTION("""COMPUTED_VALUE"""),4473.9)</f>
        <v>4473.8999999999996</v>
      </c>
      <c r="C855" s="3">
        <f t="shared" ca="1" si="26"/>
        <v>4.2536953276691809E-3</v>
      </c>
      <c r="D855">
        <f t="shared" ca="1" si="25"/>
        <v>4195.5418367346938</v>
      </c>
    </row>
    <row r="856" spans="1:4" x14ac:dyDescent="0.25">
      <c r="A856" s="2">
        <f ca="1">IFERROR(__xludf.DUMMYFUNCTION("""COMPUTED_VALUE"""),45642.6458333333)</f>
        <v>45642.645833333299</v>
      </c>
      <c r="B856" s="1">
        <f ca="1">IFERROR(__xludf.DUMMYFUNCTION("""COMPUTED_VALUE"""),4415.2)</f>
        <v>4415.2</v>
      </c>
      <c r="C856" s="3">
        <f t="shared" ca="1" si="26"/>
        <v>-1.3120543597308796E-2</v>
      </c>
      <c r="D856">
        <f t="shared" ca="1" si="25"/>
        <v>4199.3377551020403</v>
      </c>
    </row>
    <row r="857" spans="1:4" x14ac:dyDescent="0.25">
      <c r="A857" s="2">
        <f ca="1">IFERROR(__xludf.DUMMYFUNCTION("""COMPUTED_VALUE"""),45643.6458333333)</f>
        <v>45643.645833333299</v>
      </c>
      <c r="B857" s="1">
        <f ca="1">IFERROR(__xludf.DUMMYFUNCTION("""COMPUTED_VALUE"""),4328.5)</f>
        <v>4328.5</v>
      </c>
      <c r="C857" s="3">
        <f t="shared" ca="1" si="26"/>
        <v>-1.9636709548831271E-2</v>
      </c>
      <c r="D857">
        <f t="shared" ca="1" si="25"/>
        <v>4203.0612244897957</v>
      </c>
    </row>
    <row r="858" spans="1:4" x14ac:dyDescent="0.25">
      <c r="A858" s="2">
        <f ca="1">IFERROR(__xludf.DUMMYFUNCTION("""COMPUTED_VALUE"""),45644.6458333333)</f>
        <v>45644.645833333299</v>
      </c>
      <c r="B858" s="1">
        <f ca="1">IFERROR(__xludf.DUMMYFUNCTION("""COMPUTED_VALUE"""),4347.85)</f>
        <v>4347.8500000000004</v>
      </c>
      <c r="C858" s="3">
        <f t="shared" ca="1" si="26"/>
        <v>4.470370798198074E-3</v>
      </c>
      <c r="D858">
        <f t="shared" ca="1" si="25"/>
        <v>4204.617346938775</v>
      </c>
    </row>
    <row r="859" spans="1:4" x14ac:dyDescent="0.25">
      <c r="A859" s="2">
        <f ca="1">IFERROR(__xludf.DUMMYFUNCTION("""COMPUTED_VALUE"""),45645.6458333333)</f>
        <v>45645.645833333299</v>
      </c>
      <c r="B859" s="1">
        <f ca="1">IFERROR(__xludf.DUMMYFUNCTION("""COMPUTED_VALUE"""),4271.9)</f>
        <v>4271.8999999999996</v>
      </c>
      <c r="C859" s="3">
        <f t="shared" ca="1" si="26"/>
        <v>-1.7468403923778585E-2</v>
      </c>
      <c r="D859">
        <f t="shared" ca="1" si="25"/>
        <v>4206.1479591836733</v>
      </c>
    </row>
    <row r="860" spans="1:4" x14ac:dyDescent="0.25">
      <c r="A860" s="2">
        <f ca="1">IFERROR(__xludf.DUMMYFUNCTION("""COMPUTED_VALUE"""),45646.6458333333)</f>
        <v>45646.645833333299</v>
      </c>
      <c r="B860" s="1">
        <f ca="1">IFERROR(__xludf.DUMMYFUNCTION("""COMPUTED_VALUE"""),4170.3)</f>
        <v>4170.3</v>
      </c>
      <c r="C860" s="3">
        <f t="shared" ca="1" si="26"/>
        <v>-2.3783328261429214E-2</v>
      </c>
      <c r="D860">
        <f t="shared" ca="1" si="25"/>
        <v>4206.528571428571</v>
      </c>
    </row>
    <row r="861" spans="1:4" x14ac:dyDescent="0.25">
      <c r="A861" s="2">
        <f ca="1">IFERROR(__xludf.DUMMYFUNCTION("""COMPUTED_VALUE"""),45649.6458333333)</f>
        <v>45649.645833333299</v>
      </c>
      <c r="B861" s="1">
        <f ca="1">IFERROR(__xludf.DUMMYFUNCTION("""COMPUTED_VALUE"""),4158.3)</f>
        <v>4158.3</v>
      </c>
      <c r="C861" s="3">
        <f t="shared" ca="1" si="26"/>
        <v>-2.8774908279979856E-3</v>
      </c>
      <c r="D861">
        <f t="shared" ca="1" si="25"/>
        <v>4204.8418367346931</v>
      </c>
    </row>
    <row r="862" spans="1:4" x14ac:dyDescent="0.25">
      <c r="A862" s="2">
        <f ca="1">IFERROR(__xludf.DUMMYFUNCTION("""COMPUTED_VALUE"""),45650.6458333333)</f>
        <v>45650.645833333299</v>
      </c>
      <c r="B862" s="1">
        <f ca="1">IFERROR(__xludf.DUMMYFUNCTION("""COMPUTED_VALUE"""),4179.5)</f>
        <v>4179.5</v>
      </c>
      <c r="C862" s="3">
        <f t="shared" ca="1" si="26"/>
        <v>5.0982372604188768E-3</v>
      </c>
      <c r="D862">
        <f t="shared" ca="1" si="25"/>
        <v>4203.4316326530607</v>
      </c>
    </row>
    <row r="863" spans="1:4" x14ac:dyDescent="0.25">
      <c r="A863" s="2">
        <f ca="1">IFERROR(__xludf.DUMMYFUNCTION("""COMPUTED_VALUE"""),45652.6458333333)</f>
        <v>45652.645833333299</v>
      </c>
      <c r="B863" s="1">
        <f ca="1">IFERROR(__xludf.DUMMYFUNCTION("""COMPUTED_VALUE"""),4169.1)</f>
        <v>4169.1000000000004</v>
      </c>
      <c r="C863" s="3">
        <f t="shared" ca="1" si="26"/>
        <v>-2.4883359253498353E-3</v>
      </c>
      <c r="D863">
        <f t="shared" ca="1" si="25"/>
        <v>4204.0499999999993</v>
      </c>
    </row>
    <row r="864" spans="1:4" x14ac:dyDescent="0.25">
      <c r="A864" s="2">
        <f ca="1">IFERROR(__xludf.DUMMYFUNCTION("""COMPUTED_VALUE"""),45653.6458333333)</f>
        <v>45653.645833333299</v>
      </c>
      <c r="B864" s="1">
        <f ca="1">IFERROR(__xludf.DUMMYFUNCTION("""COMPUTED_VALUE"""),4164.85)</f>
        <v>4164.8500000000004</v>
      </c>
      <c r="C864" s="3">
        <f t="shared" ca="1" si="26"/>
        <v>-1.0194046676740781E-3</v>
      </c>
      <c r="D864">
        <f t="shared" ca="1" si="25"/>
        <v>4204.712244897959</v>
      </c>
    </row>
    <row r="865" spans="1:4" x14ac:dyDescent="0.25">
      <c r="A865" s="2">
        <f ca="1">IFERROR(__xludf.DUMMYFUNCTION("""COMPUTED_VALUE"""),45656.6458333333)</f>
        <v>45656.645833333299</v>
      </c>
      <c r="B865" s="1">
        <f ca="1">IFERROR(__xludf.DUMMYFUNCTION("""COMPUTED_VALUE"""),4158.8)</f>
        <v>4158.8</v>
      </c>
      <c r="C865" s="3">
        <f t="shared" ca="1" si="26"/>
        <v>-1.4526333481398325E-3</v>
      </c>
      <c r="D865">
        <f t="shared" ca="1" si="25"/>
        <v>4205.6928571428571</v>
      </c>
    </row>
    <row r="866" spans="1:4" x14ac:dyDescent="0.25">
      <c r="A866" s="2">
        <f ca="1">IFERROR(__xludf.DUMMYFUNCTION("""COMPUTED_VALUE"""),45657.6458333333)</f>
        <v>45657.645833333299</v>
      </c>
      <c r="B866" s="1">
        <f ca="1">IFERROR(__xludf.DUMMYFUNCTION("""COMPUTED_VALUE"""),4094.8)</f>
        <v>4094.8</v>
      </c>
      <c r="C866" s="3">
        <f t="shared" ca="1" si="26"/>
        <v>-1.5389054534962008E-2</v>
      </c>
      <c r="D866">
        <f t="shared" ca="1" si="25"/>
        <v>4206.9959183673463</v>
      </c>
    </row>
    <row r="867" spans="1:4" x14ac:dyDescent="0.25">
      <c r="A867" s="2">
        <f ca="1">IFERROR(__xludf.DUMMYFUNCTION("""COMPUTED_VALUE"""),45658.6458333333)</f>
        <v>45658.645833333299</v>
      </c>
      <c r="B867" s="1">
        <f ca="1">IFERROR(__xludf.DUMMYFUNCTION("""COMPUTED_VALUE"""),4112.45)</f>
        <v>4112.45</v>
      </c>
      <c r="C867" s="3">
        <f t="shared" ca="1" si="26"/>
        <v>4.3103448275861175E-3</v>
      </c>
      <c r="D867">
        <f t="shared" ca="1" si="25"/>
        <v>4206.7061224489789</v>
      </c>
    </row>
    <row r="868" spans="1:4" x14ac:dyDescent="0.25">
      <c r="A868" s="2">
        <f ca="1">IFERROR(__xludf.DUMMYFUNCTION("""COMPUTED_VALUE"""),45659.6458333333)</f>
        <v>45659.645833333299</v>
      </c>
      <c r="B868" s="1">
        <f ca="1">IFERROR(__xludf.DUMMYFUNCTION("""COMPUTED_VALUE"""),4175.75)</f>
        <v>4175.75</v>
      </c>
      <c r="C868" s="3">
        <f t="shared" ca="1" si="26"/>
        <v>1.5392284404673658E-2</v>
      </c>
      <c r="D868">
        <f t="shared" ca="1" si="25"/>
        <v>4206.4897959183672</v>
      </c>
    </row>
    <row r="869" spans="1:4" x14ac:dyDescent="0.25">
      <c r="A869" s="2">
        <f ca="1">IFERROR(__xludf.DUMMYFUNCTION("""COMPUTED_VALUE"""),45660.6458333333)</f>
        <v>45660.645833333299</v>
      </c>
      <c r="B869" s="1">
        <f ca="1">IFERROR(__xludf.DUMMYFUNCTION("""COMPUTED_VALUE"""),4099.9)</f>
        <v>4099.8999999999996</v>
      </c>
      <c r="C869" s="3">
        <f t="shared" ca="1" si="26"/>
        <v>-1.8164401604502271E-2</v>
      </c>
      <c r="D869">
        <f t="shared" ca="1" si="25"/>
        <v>4208.4469387755098</v>
      </c>
    </row>
    <row r="870" spans="1:4" x14ac:dyDescent="0.25">
      <c r="A870" s="2">
        <f ca="1">IFERROR(__xludf.DUMMYFUNCTION("""COMPUTED_VALUE"""),45663.6458333333)</f>
        <v>45663.645833333299</v>
      </c>
      <c r="B870" s="1">
        <f ca="1">IFERROR(__xludf.DUMMYFUNCTION("""COMPUTED_VALUE"""),4095)</f>
        <v>4095</v>
      </c>
      <c r="C870" s="3">
        <f t="shared" ca="1" si="26"/>
        <v>-1.1951511012462833E-3</v>
      </c>
      <c r="D870">
        <f t="shared" ca="1" si="25"/>
        <v>4210.1693877551024</v>
      </c>
    </row>
    <row r="871" spans="1:4" x14ac:dyDescent="0.25">
      <c r="A871" s="2">
        <f ca="1">IFERROR(__xludf.DUMMYFUNCTION("""COMPUTED_VALUE"""),45664.6458333333)</f>
        <v>45664.645833333299</v>
      </c>
      <c r="B871" s="1">
        <f ca="1">IFERROR(__xludf.DUMMYFUNCTION("""COMPUTED_VALUE"""),4028.3)</f>
        <v>4028.3</v>
      </c>
      <c r="C871" s="3">
        <f t="shared" ca="1" si="26"/>
        <v>-1.6288156288156243E-2</v>
      </c>
      <c r="D871">
        <f t="shared" ca="1" si="25"/>
        <v>4210.7561224489791</v>
      </c>
    </row>
    <row r="872" spans="1:4" x14ac:dyDescent="0.25">
      <c r="A872" s="2">
        <f ca="1">IFERROR(__xludf.DUMMYFUNCTION("""COMPUTED_VALUE"""),45665.6458333333)</f>
        <v>45665.645833333299</v>
      </c>
      <c r="B872" s="1">
        <f ca="1">IFERROR(__xludf.DUMMYFUNCTION("""COMPUTED_VALUE"""),4108.4)</f>
        <v>4108.3999999999996</v>
      </c>
      <c r="C872" s="3">
        <f t="shared" ca="1" si="26"/>
        <v>1.9884318446987428E-2</v>
      </c>
      <c r="D872">
        <f t="shared" ca="1" si="25"/>
        <v>4210.3561224489795</v>
      </c>
    </row>
    <row r="873" spans="1:4" x14ac:dyDescent="0.25">
      <c r="A873" s="2">
        <f ca="1">IFERROR(__xludf.DUMMYFUNCTION("""COMPUTED_VALUE"""),45666.6458333333)</f>
        <v>45666.645833333299</v>
      </c>
      <c r="B873" s="1">
        <f ca="1">IFERROR(__xludf.DUMMYFUNCTION("""COMPUTED_VALUE"""),4038.85)</f>
        <v>4038.85</v>
      </c>
      <c r="C873" s="3">
        <f t="shared" ca="1" si="26"/>
        <v>-1.6928731379612438E-2</v>
      </c>
      <c r="D873">
        <f t="shared" ca="1" si="25"/>
        <v>4211.3938775510196</v>
      </c>
    </row>
    <row r="874" spans="1:4" x14ac:dyDescent="0.25">
      <c r="A874" s="2">
        <f ca="1">IFERROR(__xludf.DUMMYFUNCTION("""COMPUTED_VALUE"""),45667.6458333333)</f>
        <v>45667.645833333299</v>
      </c>
      <c r="B874" s="1">
        <f ca="1">IFERROR(__xludf.DUMMYFUNCTION("""COMPUTED_VALUE"""),4265.65)</f>
        <v>4265.6499999999996</v>
      </c>
      <c r="C874" s="3">
        <f t="shared" ca="1" si="26"/>
        <v>5.615459846243355E-2</v>
      </c>
      <c r="D874">
        <f t="shared" ca="1" si="25"/>
        <v>4210.3326530612239</v>
      </c>
    </row>
    <row r="875" spans="1:4" x14ac:dyDescent="0.25">
      <c r="A875" s="2">
        <f ca="1">IFERROR(__xludf.DUMMYFUNCTION("""COMPUTED_VALUE"""),45670.6458333333)</f>
        <v>45670.645833333299</v>
      </c>
      <c r="B875" s="1">
        <f ca="1">IFERROR(__xludf.DUMMYFUNCTION("""COMPUTED_VALUE"""),4291.1)</f>
        <v>4291.1000000000004</v>
      </c>
      <c r="C875" s="3">
        <f t="shared" ca="1" si="26"/>
        <v>5.9662653991773189E-3</v>
      </c>
      <c r="D875">
        <f t="shared" ca="1" si="25"/>
        <v>4213.8540816326522</v>
      </c>
    </row>
    <row r="876" spans="1:4" x14ac:dyDescent="0.25">
      <c r="A876" s="2">
        <f ca="1">IFERROR(__xludf.DUMMYFUNCTION("""COMPUTED_VALUE"""),45671.6458333333)</f>
        <v>45671.645833333299</v>
      </c>
      <c r="B876" s="1">
        <f ca="1">IFERROR(__xludf.DUMMYFUNCTION("""COMPUTED_VALUE"""),4233.05)</f>
        <v>4233.05</v>
      </c>
      <c r="C876" s="3">
        <f t="shared" ca="1" si="26"/>
        <v>-1.3527999813567658E-2</v>
      </c>
      <c r="D876">
        <f t="shared" ca="1" si="25"/>
        <v>4218.0673469387739</v>
      </c>
    </row>
    <row r="877" spans="1:4" x14ac:dyDescent="0.25">
      <c r="A877" s="2">
        <f ca="1">IFERROR(__xludf.DUMMYFUNCTION("""COMPUTED_VALUE"""),45672.6458333333)</f>
        <v>45672.645833333299</v>
      </c>
      <c r="B877" s="1">
        <f ca="1">IFERROR(__xludf.DUMMYFUNCTION("""COMPUTED_VALUE"""),4249.6)</f>
        <v>4249.6000000000004</v>
      </c>
      <c r="C877" s="3">
        <f t="shared" ca="1" si="26"/>
        <v>3.909710492434576E-3</v>
      </c>
      <c r="D877">
        <f t="shared" ca="1" si="25"/>
        <v>4223.4673469387735</v>
      </c>
    </row>
    <row r="878" spans="1:4" x14ac:dyDescent="0.25">
      <c r="A878" s="2">
        <f ca="1">IFERROR(__xludf.DUMMYFUNCTION("""COMPUTED_VALUE"""),45673.6458333333)</f>
        <v>45673.645833333299</v>
      </c>
      <c r="B878" s="1">
        <f ca="1">IFERROR(__xludf.DUMMYFUNCTION("""COMPUTED_VALUE"""),4206.3)</f>
        <v>4206.3</v>
      </c>
      <c r="C878" s="3">
        <f t="shared" ca="1" si="26"/>
        <v>-1.0189194277108475E-2</v>
      </c>
      <c r="D878">
        <f t="shared" ca="1" si="25"/>
        <v>4229.2928571428565</v>
      </c>
    </row>
    <row r="879" spans="1:4" x14ac:dyDescent="0.25">
      <c r="A879" s="2">
        <f ca="1">IFERROR(__xludf.DUMMYFUNCTION("""COMPUTED_VALUE"""),45674.6458333333)</f>
        <v>45674.645833333299</v>
      </c>
      <c r="B879" s="1">
        <f ca="1">IFERROR(__xludf.DUMMYFUNCTION("""COMPUTED_VALUE"""),4124.3)</f>
        <v>4124.3</v>
      </c>
      <c r="C879" s="3">
        <f t="shared" ca="1" si="26"/>
        <v>-1.949456767230107E-2</v>
      </c>
      <c r="D879">
        <f t="shared" ca="1" si="25"/>
        <v>4234.0877551020394</v>
      </c>
    </row>
    <row r="880" spans="1:4" x14ac:dyDescent="0.25">
      <c r="A880" s="2">
        <f ca="1">IFERROR(__xludf.DUMMYFUNCTION("""COMPUTED_VALUE"""),45677.6458333333)</f>
        <v>45677.645833333299</v>
      </c>
      <c r="B880" s="1">
        <f ca="1">IFERROR(__xludf.DUMMYFUNCTION("""COMPUTED_VALUE"""),4077.8)</f>
        <v>4077.8</v>
      </c>
      <c r="C880" s="3">
        <f t="shared" ca="1" si="26"/>
        <v>-1.1274640545062192E-2</v>
      </c>
      <c r="D880">
        <f t="shared" ca="1" si="25"/>
        <v>4233.7744897959165</v>
      </c>
    </row>
    <row r="881" spans="1:4" x14ac:dyDescent="0.25">
      <c r="A881" s="2">
        <f ca="1">IFERROR(__xludf.DUMMYFUNCTION("""COMPUTED_VALUE"""),45678.6458333333)</f>
        <v>45678.645833333299</v>
      </c>
      <c r="B881" s="1">
        <f ca="1">IFERROR(__xludf.DUMMYFUNCTION("""COMPUTED_VALUE"""),4035.85)</f>
        <v>4035.85</v>
      </c>
      <c r="C881" s="3">
        <f t="shared" ca="1" si="26"/>
        <v>-1.0287409877875391E-2</v>
      </c>
      <c r="D881">
        <f t="shared" ca="1" si="25"/>
        <v>4232.2826530612228</v>
      </c>
    </row>
    <row r="882" spans="1:4" x14ac:dyDescent="0.25">
      <c r="A882" s="2">
        <f ca="1">IFERROR(__xludf.DUMMYFUNCTION("""COMPUTED_VALUE"""),45679.6458333333)</f>
        <v>45679.645833333299</v>
      </c>
      <c r="B882" s="1">
        <f ca="1">IFERROR(__xludf.DUMMYFUNCTION("""COMPUTED_VALUE"""),4156.6)</f>
        <v>4156.6000000000004</v>
      </c>
      <c r="C882" s="3">
        <f t="shared" ca="1" si="26"/>
        <v>2.9919347844939843E-2</v>
      </c>
      <c r="D882">
        <f t="shared" ca="1" si="25"/>
        <v>4230.0142857142846</v>
      </c>
    </row>
    <row r="883" spans="1:4" x14ac:dyDescent="0.25">
      <c r="A883" s="2">
        <f ca="1">IFERROR(__xludf.DUMMYFUNCTION("""COMPUTED_VALUE"""),45680.6458333333)</f>
        <v>45680.645833333299</v>
      </c>
      <c r="B883" s="1">
        <f ca="1">IFERROR(__xludf.DUMMYFUNCTION("""COMPUTED_VALUE"""),4145.45)</f>
        <v>4145.45</v>
      </c>
      <c r="C883" s="3">
        <f t="shared" ca="1" si="26"/>
        <v>-2.6824808737912105E-3</v>
      </c>
      <c r="D883">
        <f t="shared" ca="1" si="25"/>
        <v>4229.1551020408151</v>
      </c>
    </row>
    <row r="884" spans="1:4" x14ac:dyDescent="0.25">
      <c r="A884" s="2">
        <f ca="1">IFERROR(__xludf.DUMMYFUNCTION("""COMPUTED_VALUE"""),45681.6458333333)</f>
        <v>45681.645833333299</v>
      </c>
      <c r="B884" s="1">
        <f ca="1">IFERROR(__xludf.DUMMYFUNCTION("""COMPUTED_VALUE"""),4152.35)</f>
        <v>4152.3500000000004</v>
      </c>
      <c r="C884" s="3">
        <f t="shared" ca="1" si="26"/>
        <v>1.6644755092934532E-3</v>
      </c>
      <c r="D884">
        <f t="shared" ref="D884:D947" ca="1" si="27">AVERAGE(B835:B883)</f>
        <v>4228.0948979591831</v>
      </c>
    </row>
    <row r="885" spans="1:4" x14ac:dyDescent="0.25">
      <c r="A885" s="2">
        <f ca="1">IFERROR(__xludf.DUMMYFUNCTION("""COMPUTED_VALUE"""),45684.6458333333)</f>
        <v>45684.645833333299</v>
      </c>
      <c r="B885" s="1">
        <f ca="1">IFERROR(__xludf.DUMMYFUNCTION("""COMPUTED_VALUE"""),4065.15)</f>
        <v>4065.15</v>
      </c>
      <c r="C885" s="3">
        <f t="shared" ca="1" si="26"/>
        <v>-2.1000156537864165E-2</v>
      </c>
      <c r="D885">
        <f t="shared" ca="1" si="27"/>
        <v>4228.1357142857141</v>
      </c>
    </row>
    <row r="886" spans="1:4" x14ac:dyDescent="0.25">
      <c r="A886" s="2">
        <f ca="1">IFERROR(__xludf.DUMMYFUNCTION("""COMPUTED_VALUE"""),45685.6458333333)</f>
        <v>45685.645833333299</v>
      </c>
      <c r="B886" s="1">
        <f ca="1">IFERROR(__xludf.DUMMYFUNCTION("""COMPUTED_VALUE"""),4040.3)</f>
        <v>4040.3</v>
      </c>
      <c r="C886" s="3">
        <f t="shared" ca="1" si="26"/>
        <v>-6.112935562033359E-3</v>
      </c>
      <c r="D886">
        <f t="shared" ca="1" si="27"/>
        <v>4226.4877551020409</v>
      </c>
    </row>
    <row r="887" spans="1:4" x14ac:dyDescent="0.25">
      <c r="A887" s="2">
        <f ca="1">IFERROR(__xludf.DUMMYFUNCTION("""COMPUTED_VALUE"""),45686.6458333333)</f>
        <v>45686.645833333299</v>
      </c>
      <c r="B887" s="1">
        <f ca="1">IFERROR(__xludf.DUMMYFUNCTION("""COMPUTED_VALUE"""),4099.8)</f>
        <v>4099.8</v>
      </c>
      <c r="C887" s="3">
        <f t="shared" ca="1" si="26"/>
        <v>1.4726629210702174E-2</v>
      </c>
      <c r="D887">
        <f t="shared" ca="1" si="27"/>
        <v>4226.9122448979579</v>
      </c>
    </row>
    <row r="888" spans="1:4" x14ac:dyDescent="0.25">
      <c r="A888" s="2">
        <f ca="1">IFERROR(__xludf.DUMMYFUNCTION("""COMPUTED_VALUE"""),45687.6458333333)</f>
        <v>45687.645833333299</v>
      </c>
      <c r="B888" s="1">
        <f ca="1">IFERROR(__xludf.DUMMYFUNCTION("""COMPUTED_VALUE"""),4100.05)</f>
        <v>4100.05</v>
      </c>
      <c r="C888" s="3">
        <f t="shared" ca="1" si="26"/>
        <v>6.0978584321186398E-5</v>
      </c>
      <c r="D888">
        <f t="shared" ca="1" si="27"/>
        <v>4228.1418367346932</v>
      </c>
    </row>
    <row r="889" spans="1:4" x14ac:dyDescent="0.25">
      <c r="A889" s="2">
        <f ca="1">IFERROR(__xludf.DUMMYFUNCTION("""COMPUTED_VALUE"""),45688.6458333333)</f>
        <v>45688.645833333299</v>
      </c>
      <c r="B889" s="1">
        <f ca="1">IFERROR(__xludf.DUMMYFUNCTION("""COMPUTED_VALUE"""),4112.4)</f>
        <v>4112.3999999999996</v>
      </c>
      <c r="C889" s="3">
        <f t="shared" ca="1" si="26"/>
        <v>3.0121583883122045E-3</v>
      </c>
      <c r="D889">
        <f t="shared" ca="1" si="27"/>
        <v>4228.6969387755089</v>
      </c>
    </row>
    <row r="890" spans="1:4" x14ac:dyDescent="0.25">
      <c r="A890" s="2">
        <f ca="1">IFERROR(__xludf.DUMMYFUNCTION("""COMPUTED_VALUE"""),45691.6458333333)</f>
        <v>45691.645833333299</v>
      </c>
      <c r="B890" s="1">
        <f ca="1">IFERROR(__xludf.DUMMYFUNCTION("""COMPUTED_VALUE"""),4068.65)</f>
        <v>4068.65</v>
      </c>
      <c r="C890" s="3">
        <f t="shared" ca="1" si="26"/>
        <v>-1.0638556560645742E-2</v>
      </c>
      <c r="D890">
        <f t="shared" ca="1" si="27"/>
        <v>4225.9989795918355</v>
      </c>
    </row>
    <row r="891" spans="1:4" x14ac:dyDescent="0.25">
      <c r="A891" s="2">
        <f ca="1">IFERROR(__xludf.DUMMYFUNCTION("""COMPUTED_VALUE"""),45692.6458333333)</f>
        <v>45692.645833333299</v>
      </c>
      <c r="B891" s="1">
        <f ca="1">IFERROR(__xludf.DUMMYFUNCTION("""COMPUTED_VALUE"""),4107.05)</f>
        <v>4107.05</v>
      </c>
      <c r="C891" s="3">
        <f t="shared" ca="1" si="26"/>
        <v>9.4380199820579529E-3</v>
      </c>
      <c r="D891">
        <f t="shared" ca="1" si="27"/>
        <v>4220.9693877551017</v>
      </c>
    </row>
    <row r="892" spans="1:4" x14ac:dyDescent="0.25">
      <c r="A892" s="2">
        <f ca="1">IFERROR(__xludf.DUMMYFUNCTION("""COMPUTED_VALUE"""),45693.6458333333)</f>
        <v>45693.645833333299</v>
      </c>
      <c r="B892" s="1">
        <f ca="1">IFERROR(__xludf.DUMMYFUNCTION("""COMPUTED_VALUE"""),4091.1)</f>
        <v>4091.1</v>
      </c>
      <c r="C892" s="3">
        <f t="shared" ca="1" si="26"/>
        <v>-3.8835660632328003E-3</v>
      </c>
      <c r="D892">
        <f t="shared" ca="1" si="27"/>
        <v>4215.956122448978</v>
      </c>
    </row>
    <row r="893" spans="1:4" x14ac:dyDescent="0.25">
      <c r="A893" s="2">
        <f ca="1">IFERROR(__xludf.DUMMYFUNCTION("""COMPUTED_VALUE"""),45694.6458333333)</f>
        <v>45694.645833333299</v>
      </c>
      <c r="B893" s="1">
        <f ca="1">IFERROR(__xludf.DUMMYFUNCTION("""COMPUTED_VALUE"""),4082.75)</f>
        <v>4082.75</v>
      </c>
      <c r="C893" s="3">
        <f t="shared" ca="1" si="26"/>
        <v>-2.0410158637041162E-3</v>
      </c>
      <c r="D893">
        <f t="shared" ca="1" si="27"/>
        <v>4211.0285714285701</v>
      </c>
    </row>
    <row r="894" spans="1:4" x14ac:dyDescent="0.25">
      <c r="A894" s="2">
        <f ca="1">IFERROR(__xludf.DUMMYFUNCTION("""COMPUTED_VALUE"""),45695.6458333333)</f>
        <v>45695.645833333299</v>
      </c>
      <c r="B894" s="1">
        <f ca="1">IFERROR(__xludf.DUMMYFUNCTION("""COMPUTED_VALUE"""),4029.4)</f>
        <v>4029.4</v>
      </c>
      <c r="C894" s="3">
        <f t="shared" ca="1" si="26"/>
        <v>-1.3067172861429161E-2</v>
      </c>
      <c r="D894">
        <f t="shared" ca="1" si="27"/>
        <v>4207.7193877551008</v>
      </c>
    </row>
    <row r="895" spans="1:4" x14ac:dyDescent="0.25">
      <c r="A895" s="2">
        <f ca="1">IFERROR(__xludf.DUMMYFUNCTION("""COMPUTED_VALUE"""),45698.6458333333)</f>
        <v>45698.645833333299</v>
      </c>
      <c r="B895" s="1">
        <f ca="1">IFERROR(__xludf.DUMMYFUNCTION("""COMPUTED_VALUE"""),4036.95)</f>
        <v>4036.95</v>
      </c>
      <c r="C895" s="3">
        <f t="shared" ca="1" si="26"/>
        <v>1.8737280984761323E-3</v>
      </c>
      <c r="D895">
        <f t="shared" ca="1" si="27"/>
        <v>4202.7918367346929</v>
      </c>
    </row>
    <row r="896" spans="1:4" x14ac:dyDescent="0.25">
      <c r="A896" s="2">
        <f ca="1">IFERROR(__xludf.DUMMYFUNCTION("""COMPUTED_VALUE"""),45699.6458333333)</f>
        <v>45699.645833333299</v>
      </c>
      <c r="B896" s="1">
        <f ca="1">IFERROR(__xludf.DUMMYFUNCTION("""COMPUTED_VALUE"""),3963.55)</f>
        <v>3963.55</v>
      </c>
      <c r="C896" s="3">
        <f t="shared" ca="1" si="26"/>
        <v>-1.8182043374329541E-2</v>
      </c>
      <c r="D896">
        <f t="shared" ca="1" si="27"/>
        <v>4197.8999999999987</v>
      </c>
    </row>
    <row r="897" spans="1:4" x14ac:dyDescent="0.25">
      <c r="A897" s="2">
        <f ca="1">IFERROR(__xludf.DUMMYFUNCTION("""COMPUTED_VALUE"""),45700.6458333333)</f>
        <v>45700.645833333299</v>
      </c>
      <c r="B897" s="1">
        <f ca="1">IFERROR(__xludf.DUMMYFUNCTION("""COMPUTED_VALUE"""),3950.15)</f>
        <v>3950.15</v>
      </c>
      <c r="C897" s="3">
        <f t="shared" ca="1" si="26"/>
        <v>-3.3808076093401348E-3</v>
      </c>
      <c r="D897">
        <f t="shared" ca="1" si="27"/>
        <v>4190.9775510204072</v>
      </c>
    </row>
    <row r="898" spans="1:4" x14ac:dyDescent="0.25">
      <c r="A898" s="2">
        <f ca="1">IFERROR(__xludf.DUMMYFUNCTION("""COMPUTED_VALUE"""),45701.6458333333)</f>
        <v>45701.645833333299</v>
      </c>
      <c r="B898" s="1">
        <f ca="1">IFERROR(__xludf.DUMMYFUNCTION("""COMPUTED_VALUE"""),3910.15)</f>
        <v>3910.15</v>
      </c>
      <c r="C898" s="3">
        <f t="shared" ca="1" si="26"/>
        <v>-1.0126197739326355E-2</v>
      </c>
      <c r="D898">
        <f t="shared" ca="1" si="27"/>
        <v>4182.7275510204072</v>
      </c>
    </row>
    <row r="899" spans="1:4" x14ac:dyDescent="0.25">
      <c r="A899" s="2">
        <f ca="1">IFERROR(__xludf.DUMMYFUNCTION("""COMPUTED_VALUE"""),45702.6458333333)</f>
        <v>45702.645833333299</v>
      </c>
      <c r="B899" s="1">
        <f ca="1">IFERROR(__xludf.DUMMYFUNCTION("""COMPUTED_VALUE"""),3934.85)</f>
        <v>3934.85</v>
      </c>
      <c r="C899" s="3">
        <f t="shared" ca="1" si="26"/>
        <v>6.3168932138152802E-3</v>
      </c>
      <c r="D899">
        <f t="shared" ca="1" si="27"/>
        <v>4171.4234693877543</v>
      </c>
    </row>
    <row r="900" spans="1:4" x14ac:dyDescent="0.25">
      <c r="A900" s="2">
        <f ca="1">IFERROR(__xludf.DUMMYFUNCTION("""COMPUTED_VALUE"""),45705.6458333333)</f>
        <v>45705.645833333299</v>
      </c>
      <c r="B900" s="1">
        <f ca="1">IFERROR(__xludf.DUMMYFUNCTION("""COMPUTED_VALUE"""),3904.5)</f>
        <v>3904.5</v>
      </c>
      <c r="C900" s="3">
        <f t="shared" ref="C900:C963" ca="1" si="28">(B900-B899)/B899</f>
        <v>-7.7131275652184729E-3</v>
      </c>
      <c r="D900">
        <f t="shared" ca="1" si="27"/>
        <v>4161.0020408163264</v>
      </c>
    </row>
    <row r="901" spans="1:4" x14ac:dyDescent="0.25">
      <c r="A901" s="2">
        <f ca="1">IFERROR(__xludf.DUMMYFUNCTION("""COMPUTED_VALUE"""),45706.6458333333)</f>
        <v>45706.645833333299</v>
      </c>
      <c r="B901" s="1">
        <f ca="1">IFERROR(__xludf.DUMMYFUNCTION("""COMPUTED_VALUE"""),3873.2)</f>
        <v>3873.2</v>
      </c>
      <c r="C901" s="3">
        <f t="shared" ca="1" si="28"/>
        <v>-8.0163913433218548E-3</v>
      </c>
      <c r="D901">
        <f t="shared" ca="1" si="27"/>
        <v>4149.8255102040812</v>
      </c>
    </row>
    <row r="902" spans="1:4" x14ac:dyDescent="0.25">
      <c r="A902" s="2">
        <f ca="1">IFERROR(__xludf.DUMMYFUNCTION("""COMPUTED_VALUE"""),45707.6458333333)</f>
        <v>45707.645833333299</v>
      </c>
      <c r="B902" s="1">
        <f ca="1">IFERROR(__xludf.DUMMYFUNCTION("""COMPUTED_VALUE"""),3784.1)</f>
        <v>3784.1</v>
      </c>
      <c r="C902" s="3">
        <f t="shared" ca="1" si="28"/>
        <v>-2.3004234224930267E-2</v>
      </c>
      <c r="D902">
        <f t="shared" ca="1" si="27"/>
        <v>4138.4102040816324</v>
      </c>
    </row>
    <row r="903" spans="1:4" x14ac:dyDescent="0.25">
      <c r="A903" s="2">
        <f ca="1">IFERROR(__xludf.DUMMYFUNCTION("""COMPUTED_VALUE"""),45708.6458333333)</f>
        <v>45708.645833333299</v>
      </c>
      <c r="B903" s="1">
        <f ca="1">IFERROR(__xludf.DUMMYFUNCTION("""COMPUTED_VALUE"""),3779.4)</f>
        <v>3779.4</v>
      </c>
      <c r="C903" s="3">
        <f t="shared" ca="1" si="28"/>
        <v>-1.2420390581643769E-3</v>
      </c>
      <c r="D903">
        <f t="shared" ca="1" si="27"/>
        <v>4125.2806122448983</v>
      </c>
    </row>
    <row r="904" spans="1:4" x14ac:dyDescent="0.25">
      <c r="A904" s="2">
        <f ca="1">IFERROR(__xludf.DUMMYFUNCTION("""COMPUTED_VALUE"""),45709.6458333333)</f>
        <v>45709.645833333299</v>
      </c>
      <c r="B904" s="1">
        <f ca="1">IFERROR(__xludf.DUMMYFUNCTION("""COMPUTED_VALUE"""),3786)</f>
        <v>3786</v>
      </c>
      <c r="C904" s="3">
        <f t="shared" ca="1" si="28"/>
        <v>1.7463089379266309E-3</v>
      </c>
      <c r="D904">
        <f t="shared" ca="1" si="27"/>
        <v>4111.49387755102</v>
      </c>
    </row>
    <row r="905" spans="1:4" x14ac:dyDescent="0.25">
      <c r="A905" s="2">
        <f ca="1">IFERROR(__xludf.DUMMYFUNCTION("""COMPUTED_VALUE"""),45712.6458333333)</f>
        <v>45712.645833333299</v>
      </c>
      <c r="B905" s="1">
        <f ca="1">IFERROR(__xludf.DUMMYFUNCTION("""COMPUTED_VALUE"""),3675.6)</f>
        <v>3675.6</v>
      </c>
      <c r="C905" s="3">
        <f t="shared" ca="1" si="28"/>
        <v>-2.9160063391442181E-2</v>
      </c>
      <c r="D905">
        <f t="shared" ca="1" si="27"/>
        <v>4097.4551020408162</v>
      </c>
    </row>
    <row r="906" spans="1:4" x14ac:dyDescent="0.25">
      <c r="A906" s="2">
        <f ca="1">IFERROR(__xludf.DUMMYFUNCTION("""COMPUTED_VALUE"""),45713.6458333333)</f>
        <v>45713.645833333299</v>
      </c>
      <c r="B906" s="1">
        <f ca="1">IFERROR(__xludf.DUMMYFUNCTION("""COMPUTED_VALUE"""),3629.55)</f>
        <v>3629.55</v>
      </c>
      <c r="C906" s="3">
        <f t="shared" ca="1" si="28"/>
        <v>-1.2528566764609785E-2</v>
      </c>
      <c r="D906">
        <f t="shared" ca="1" si="27"/>
        <v>4082.3612244897963</v>
      </c>
    </row>
    <row r="907" spans="1:4" x14ac:dyDescent="0.25">
      <c r="A907" s="2">
        <f ca="1">IFERROR(__xludf.DUMMYFUNCTION("""COMPUTED_VALUE"""),45715.6458333333)</f>
        <v>45715.645833333299</v>
      </c>
      <c r="B907" s="1">
        <f ca="1">IFERROR(__xludf.DUMMYFUNCTION("""COMPUTED_VALUE"""),3612.55)</f>
        <v>3612.55</v>
      </c>
      <c r="C907" s="3">
        <f t="shared" ca="1" si="28"/>
        <v>-4.683776225702911E-3</v>
      </c>
      <c r="D907">
        <f t="shared" ca="1" si="27"/>
        <v>4068.0969387755108</v>
      </c>
    </row>
    <row r="908" spans="1:4" x14ac:dyDescent="0.25">
      <c r="A908" s="2">
        <f ca="1">IFERROR(__xludf.DUMMYFUNCTION("""COMPUTED_VALUE"""),45716.6458333333)</f>
        <v>45716.645833333299</v>
      </c>
      <c r="B908" s="1">
        <f ca="1">IFERROR(__xludf.DUMMYFUNCTION("""COMPUTED_VALUE"""),3483.25)</f>
        <v>3483.25</v>
      </c>
      <c r="C908" s="3">
        <f t="shared" ca="1" si="28"/>
        <v>-3.5791892153741865E-2</v>
      </c>
      <c r="D908">
        <f t="shared" ca="1" si="27"/>
        <v>4053.0908163265308</v>
      </c>
    </row>
    <row r="909" spans="1:4" x14ac:dyDescent="0.25">
      <c r="A909" s="2">
        <f ca="1">IFERROR(__xludf.DUMMYFUNCTION("""COMPUTED_VALUE"""),45719.6458333333)</f>
        <v>45719.645833333299</v>
      </c>
      <c r="B909" s="1">
        <f ca="1">IFERROR(__xludf.DUMMYFUNCTION("""COMPUTED_VALUE"""),3493.05)</f>
        <v>3493.05</v>
      </c>
      <c r="C909" s="3">
        <f t="shared" ca="1" si="28"/>
        <v>2.8134644369483047E-3</v>
      </c>
      <c r="D909">
        <f t="shared" ca="1" si="27"/>
        <v>4036.9959183673473</v>
      </c>
    </row>
    <row r="910" spans="1:4" x14ac:dyDescent="0.25">
      <c r="A910" s="2">
        <f ca="1">IFERROR(__xludf.DUMMYFUNCTION("""COMPUTED_VALUE"""),45720.6458333333)</f>
        <v>45720.645833333299</v>
      </c>
      <c r="B910" s="1">
        <f ca="1">IFERROR(__xludf.DUMMYFUNCTION("""COMPUTED_VALUE"""),3532.05)</f>
        <v>3532.05</v>
      </c>
      <c r="C910" s="3">
        <f t="shared" ca="1" si="28"/>
        <v>1.1165027697857172E-2</v>
      </c>
      <c r="D910">
        <f t="shared" ca="1" si="27"/>
        <v>4023.1744897959179</v>
      </c>
    </row>
    <row r="911" spans="1:4" x14ac:dyDescent="0.25">
      <c r="A911" s="2">
        <f ca="1">IFERROR(__xludf.DUMMYFUNCTION("""COMPUTED_VALUE"""),45721.6458333333)</f>
        <v>45721.645833333299</v>
      </c>
      <c r="B911" s="1">
        <f ca="1">IFERROR(__xludf.DUMMYFUNCTION("""COMPUTED_VALUE"""),3547.05)</f>
        <v>3547.05</v>
      </c>
      <c r="C911" s="3">
        <f t="shared" ca="1" si="28"/>
        <v>4.2468254979402898E-3</v>
      </c>
      <c r="D911">
        <f t="shared" ca="1" si="27"/>
        <v>4010.3938775510201</v>
      </c>
    </row>
    <row r="912" spans="1:4" x14ac:dyDescent="0.25">
      <c r="A912" s="2">
        <f ca="1">IFERROR(__xludf.DUMMYFUNCTION("""COMPUTED_VALUE"""),45722.6458333333)</f>
        <v>45722.645833333299</v>
      </c>
      <c r="B912" s="1">
        <f ca="1">IFERROR(__xludf.DUMMYFUNCTION("""COMPUTED_VALUE"""),3601.6)</f>
        <v>3601.6</v>
      </c>
      <c r="C912" s="3">
        <f t="shared" ca="1" si="28"/>
        <v>1.5378976896294026E-2</v>
      </c>
      <c r="D912">
        <f t="shared" ca="1" si="27"/>
        <v>3997.4867346938772</v>
      </c>
    </row>
    <row r="913" spans="1:4" x14ac:dyDescent="0.25">
      <c r="A913" s="2">
        <f ca="1">IFERROR(__xludf.DUMMYFUNCTION("""COMPUTED_VALUE"""),45723.6458333333)</f>
        <v>45723.645833333299</v>
      </c>
      <c r="B913" s="1">
        <f ca="1">IFERROR(__xludf.DUMMYFUNCTION("""COMPUTED_VALUE"""),3611.2)</f>
        <v>3611.2</v>
      </c>
      <c r="C913" s="3">
        <f t="shared" ca="1" si="28"/>
        <v>2.6654820079964206E-3</v>
      </c>
      <c r="D913">
        <f t="shared" ca="1" si="27"/>
        <v>3985.905102040816</v>
      </c>
    </row>
    <row r="914" spans="1:4" x14ac:dyDescent="0.25">
      <c r="A914" s="2">
        <f ca="1">IFERROR(__xludf.DUMMYFUNCTION("""COMPUTED_VALUE"""),45726.6458333333)</f>
        <v>45726.645833333299</v>
      </c>
      <c r="B914" s="1">
        <f ca="1">IFERROR(__xludf.DUMMYFUNCTION("""COMPUTED_VALUE"""),3589.65)</f>
        <v>3589.65</v>
      </c>
      <c r="C914" s="3">
        <f t="shared" ca="1" si="28"/>
        <v>-5.9675454142666508E-3</v>
      </c>
      <c r="D914">
        <f t="shared" ca="1" si="27"/>
        <v>3974.606122448979</v>
      </c>
    </row>
    <row r="915" spans="1:4" x14ac:dyDescent="0.25">
      <c r="A915" s="2">
        <f ca="1">IFERROR(__xludf.DUMMYFUNCTION("""COMPUTED_VALUE"""),45727.6458333333)</f>
        <v>45727.645833333299</v>
      </c>
      <c r="B915" s="1">
        <f ca="1">IFERROR(__xludf.DUMMYFUNCTION("""COMPUTED_VALUE"""),3575.3)</f>
        <v>3575.3</v>
      </c>
      <c r="C915" s="3">
        <f t="shared" ca="1" si="28"/>
        <v>-3.9976042232529379E-3</v>
      </c>
      <c r="D915">
        <f t="shared" ca="1" si="27"/>
        <v>3962.9908163265304</v>
      </c>
    </row>
    <row r="916" spans="1:4" x14ac:dyDescent="0.25">
      <c r="A916" s="2">
        <f ca="1">IFERROR(__xludf.DUMMYFUNCTION("""COMPUTED_VALUE"""),45728.6458333333)</f>
        <v>45728.645833333299</v>
      </c>
      <c r="B916" s="1">
        <f ca="1">IFERROR(__xludf.DUMMYFUNCTION("""COMPUTED_VALUE"""),3506.2)</f>
        <v>3506.2</v>
      </c>
      <c r="C916" s="3">
        <f t="shared" ca="1" si="28"/>
        <v>-1.9327049478365551E-2</v>
      </c>
      <c r="D916">
        <f t="shared" ca="1" si="27"/>
        <v>3952.3887755102032</v>
      </c>
    </row>
    <row r="917" spans="1:4" x14ac:dyDescent="0.25">
      <c r="A917" s="2">
        <f ca="1">IFERROR(__xludf.DUMMYFUNCTION("""COMPUTED_VALUE"""),45729.6458333333)</f>
        <v>45729.645833333299</v>
      </c>
      <c r="B917" s="1">
        <f ca="1">IFERROR(__xludf.DUMMYFUNCTION("""COMPUTED_VALUE"""),3511.05)</f>
        <v>3511.05</v>
      </c>
      <c r="C917" s="3">
        <f t="shared" ca="1" si="28"/>
        <v>1.3832639324625989E-3</v>
      </c>
      <c r="D917">
        <f t="shared" ca="1" si="27"/>
        <v>3940.0163265306114</v>
      </c>
    </row>
    <row r="918" spans="1:4" x14ac:dyDescent="0.25">
      <c r="A918" s="2">
        <f ca="1">IFERROR(__xludf.DUMMYFUNCTION("""COMPUTED_VALUE"""),45733.6458333333)</f>
        <v>45733.645833333299</v>
      </c>
      <c r="B918" s="1">
        <f ca="1">IFERROR(__xludf.DUMMYFUNCTION("""COMPUTED_VALUE"""),3497.7)</f>
        <v>3497.7</v>
      </c>
      <c r="C918" s="3">
        <f t="shared" ca="1" si="28"/>
        <v>-3.8022813688213964E-3</v>
      </c>
      <c r="D918">
        <f t="shared" ca="1" si="27"/>
        <v>3926.4510204081621</v>
      </c>
    </row>
    <row r="919" spans="1:4" x14ac:dyDescent="0.25">
      <c r="A919" s="2">
        <f ca="1">IFERROR(__xludf.DUMMYFUNCTION("""COMPUTED_VALUE"""),45734.6458333333)</f>
        <v>45734.645833333299</v>
      </c>
      <c r="B919" s="1">
        <f ca="1">IFERROR(__xludf.DUMMYFUNCTION("""COMPUTED_VALUE"""),3552.45)</f>
        <v>3552.45</v>
      </c>
      <c r="C919" s="3">
        <f t="shared" ca="1" si="28"/>
        <v>1.5653143494296251E-2</v>
      </c>
      <c r="D919">
        <f t="shared" ca="1" si="27"/>
        <v>3914.1612244897947</v>
      </c>
    </row>
    <row r="920" spans="1:4" x14ac:dyDescent="0.25">
      <c r="A920" s="2">
        <f ca="1">IFERROR(__xludf.DUMMYFUNCTION("""COMPUTED_VALUE"""),45735.6458333333)</f>
        <v>45735.645833333299</v>
      </c>
      <c r="B920" s="1">
        <f ca="1">IFERROR(__xludf.DUMMYFUNCTION("""COMPUTED_VALUE"""),3497.1)</f>
        <v>3497.1</v>
      </c>
      <c r="C920" s="3">
        <f t="shared" ca="1" si="28"/>
        <v>-1.5580796351813512E-2</v>
      </c>
      <c r="D920">
        <f t="shared" ca="1" si="27"/>
        <v>3903.0887755102035</v>
      </c>
    </row>
    <row r="921" spans="1:4" x14ac:dyDescent="0.25">
      <c r="A921" s="2">
        <f ca="1">IFERROR(__xludf.DUMMYFUNCTION("""COMPUTED_VALUE"""),45736.6458333333)</f>
        <v>45736.645833333299</v>
      </c>
      <c r="B921" s="1">
        <f ca="1">IFERROR(__xludf.DUMMYFUNCTION("""COMPUTED_VALUE"""),3563.15)</f>
        <v>3563.15</v>
      </c>
      <c r="C921" s="3">
        <f t="shared" ca="1" si="28"/>
        <v>1.8887077864516367E-2</v>
      </c>
      <c r="D921">
        <f t="shared" ca="1" si="27"/>
        <v>3892.2479591836727</v>
      </c>
    </row>
    <row r="922" spans="1:4" x14ac:dyDescent="0.25">
      <c r="A922" s="2">
        <f ca="1">IFERROR(__xludf.DUMMYFUNCTION("""COMPUTED_VALUE"""),45737.6458333333)</f>
        <v>45737.645833333299</v>
      </c>
      <c r="B922" s="1">
        <f ca="1">IFERROR(__xludf.DUMMYFUNCTION("""COMPUTED_VALUE"""),3578.1)</f>
        <v>3578.1</v>
      </c>
      <c r="C922" s="3">
        <f t="shared" ca="1" si="28"/>
        <v>4.1957256921543624E-3</v>
      </c>
      <c r="D922">
        <f t="shared" ca="1" si="27"/>
        <v>3881.1204081632641</v>
      </c>
    </row>
    <row r="923" spans="1:4" x14ac:dyDescent="0.25">
      <c r="A923" s="2">
        <f ca="1">IFERROR(__xludf.DUMMYFUNCTION("""COMPUTED_VALUE"""),45740.6458333333)</f>
        <v>45740.645833333299</v>
      </c>
      <c r="B923" s="1">
        <f ca="1">IFERROR(__xludf.DUMMYFUNCTION("""COMPUTED_VALUE"""),3628.95)</f>
        <v>3628.95</v>
      </c>
      <c r="C923" s="3">
        <f t="shared" ca="1" si="28"/>
        <v>1.4211453005785168E-2</v>
      </c>
      <c r="D923">
        <f t="shared" ca="1" si="27"/>
        <v>3871.7173469387749</v>
      </c>
    </row>
    <row r="924" spans="1:4" x14ac:dyDescent="0.25">
      <c r="A924" s="2">
        <f ca="1">IFERROR(__xludf.DUMMYFUNCTION("""COMPUTED_VALUE"""),45741.6458333333)</f>
        <v>45741.645833333299</v>
      </c>
      <c r="B924" s="1">
        <f ca="1">IFERROR(__xludf.DUMMYFUNCTION("""COMPUTED_VALUE"""),3657.75)</f>
        <v>3657.75</v>
      </c>
      <c r="C924" s="3">
        <f t="shared" ca="1" si="28"/>
        <v>7.9361798867441501E-3</v>
      </c>
      <c r="D924">
        <f t="shared" ca="1" si="27"/>
        <v>3858.7234693877554</v>
      </c>
    </row>
    <row r="925" spans="1:4" x14ac:dyDescent="0.25">
      <c r="A925" s="2">
        <f ca="1">IFERROR(__xludf.DUMMYFUNCTION("""COMPUTED_VALUE"""),45742.6458333333)</f>
        <v>45742.645833333299</v>
      </c>
      <c r="B925" s="1">
        <f ca="1">IFERROR(__xludf.DUMMYFUNCTION("""COMPUTED_VALUE"""),3635.8)</f>
        <v>3635.8</v>
      </c>
      <c r="C925" s="3">
        <f t="shared" ca="1" si="28"/>
        <v>-6.0009568723941821E-3</v>
      </c>
      <c r="D925">
        <f t="shared" ca="1" si="27"/>
        <v>3845.7979591836738</v>
      </c>
    </row>
    <row r="926" spans="1:4" x14ac:dyDescent="0.25">
      <c r="A926" s="2">
        <f ca="1">IFERROR(__xludf.DUMMYFUNCTION("""COMPUTED_VALUE"""),45743.6458333333)</f>
        <v>45743.645833333299</v>
      </c>
      <c r="B926" s="1">
        <f ca="1">IFERROR(__xludf.DUMMYFUNCTION("""COMPUTED_VALUE"""),3651.2)</f>
        <v>3651.2</v>
      </c>
      <c r="C926" s="3">
        <f t="shared" ca="1" si="28"/>
        <v>4.2356565267615475E-3</v>
      </c>
      <c r="D926">
        <f t="shared" ca="1" si="27"/>
        <v>3833.6091836734699</v>
      </c>
    </row>
    <row r="927" spans="1:4" x14ac:dyDescent="0.25">
      <c r="A927" s="2">
        <f ca="1">IFERROR(__xludf.DUMMYFUNCTION("""COMPUTED_VALUE"""),45744.6458333333)</f>
        <v>45744.645833333299</v>
      </c>
      <c r="B927" s="1">
        <f ca="1">IFERROR(__xludf.DUMMYFUNCTION("""COMPUTED_VALUE"""),3606.15)</f>
        <v>3606.15</v>
      </c>
      <c r="C927" s="3">
        <f t="shared" ca="1" si="28"/>
        <v>-1.2338409290096332E-2</v>
      </c>
      <c r="D927">
        <f t="shared" ca="1" si="27"/>
        <v>3821.3969387755114</v>
      </c>
    </row>
    <row r="928" spans="1:4" x14ac:dyDescent="0.25">
      <c r="A928" s="2">
        <f ca="1">IFERROR(__xludf.DUMMYFUNCTION("""COMPUTED_VALUE"""),45748.6458333333)</f>
        <v>45748.645833333299</v>
      </c>
      <c r="B928" s="1">
        <f ca="1">IFERROR(__xludf.DUMMYFUNCTION("""COMPUTED_VALUE"""),3550.8)</f>
        <v>3550.8</v>
      </c>
      <c r="C928" s="3">
        <f t="shared" ca="1" si="28"/>
        <v>-1.5348779168919736E-2</v>
      </c>
      <c r="D928">
        <f t="shared" ca="1" si="27"/>
        <v>3809.1489795918383</v>
      </c>
    </row>
    <row r="929" spans="1:4" x14ac:dyDescent="0.25">
      <c r="A929" s="2">
        <f ca="1">IFERROR(__xludf.DUMMYFUNCTION("""COMPUTED_VALUE"""),45749.6458333333)</f>
        <v>45749.645833333299</v>
      </c>
      <c r="B929" s="1">
        <f ca="1">IFERROR(__xludf.DUMMYFUNCTION("""COMPUTED_VALUE"""),3543.95)</f>
        <v>3543.95</v>
      </c>
      <c r="C929" s="3">
        <f t="shared" ca="1" si="28"/>
        <v>-1.9291427283993363E-3</v>
      </c>
      <c r="D929">
        <f t="shared" ca="1" si="27"/>
        <v>3797.4448979591848</v>
      </c>
    </row>
    <row r="930" spans="1:4" x14ac:dyDescent="0.25">
      <c r="A930" s="2">
        <f ca="1">IFERROR(__xludf.DUMMYFUNCTION("""COMPUTED_VALUE"""),45750.6458333333)</f>
        <v>45750.645833333299</v>
      </c>
      <c r="B930" s="1">
        <f ca="1">IFERROR(__xludf.DUMMYFUNCTION("""COMPUTED_VALUE"""),3403.15)</f>
        <v>3403.15</v>
      </c>
      <c r="C930" s="3">
        <f t="shared" ca="1" si="28"/>
        <v>-3.9729680159144382E-2</v>
      </c>
      <c r="D930">
        <f t="shared" ca="1" si="27"/>
        <v>3786.5500000000006</v>
      </c>
    </row>
    <row r="931" spans="1:4" x14ac:dyDescent="0.25">
      <c r="A931" s="2">
        <f ca="1">IFERROR(__xludf.DUMMYFUNCTION("""COMPUTED_VALUE"""),45751.6458333333)</f>
        <v>45751.645833333299</v>
      </c>
      <c r="B931" s="1">
        <f ca="1">IFERROR(__xludf.DUMMYFUNCTION("""COMPUTED_VALUE"""),3299.4)</f>
        <v>3299.4</v>
      </c>
      <c r="C931" s="3">
        <f t="shared" ca="1" si="28"/>
        <v>-3.0486461072829582E-2</v>
      </c>
      <c r="D931">
        <f t="shared" ca="1" si="27"/>
        <v>3773.6377551020419</v>
      </c>
    </row>
    <row r="932" spans="1:4" x14ac:dyDescent="0.25">
      <c r="A932" s="2">
        <f ca="1">IFERROR(__xludf.DUMMYFUNCTION("""COMPUTED_VALUE"""),45754.6458333333)</f>
        <v>45754.645833333299</v>
      </c>
      <c r="B932" s="1">
        <f ca="1">IFERROR(__xludf.DUMMYFUNCTION("""COMPUTED_VALUE"""),3274.05)</f>
        <v>3274.05</v>
      </c>
      <c r="C932" s="3">
        <f t="shared" ca="1" si="28"/>
        <v>-7.6832151300236127E-3</v>
      </c>
      <c r="D932">
        <f t="shared" ca="1" si="27"/>
        <v>3756.1438775510214</v>
      </c>
    </row>
    <row r="933" spans="1:4" x14ac:dyDescent="0.25">
      <c r="A933" s="2">
        <f ca="1">IFERROR(__xludf.DUMMYFUNCTION("""COMPUTED_VALUE"""),45755.6458333333)</f>
        <v>45755.645833333299</v>
      </c>
      <c r="B933" s="1">
        <f ca="1">IFERROR(__xludf.DUMMYFUNCTION("""COMPUTED_VALUE"""),3292.95)</f>
        <v>3292.95</v>
      </c>
      <c r="C933" s="3">
        <f t="shared" ca="1" si="28"/>
        <v>5.772666880469032E-3</v>
      </c>
      <c r="D933">
        <f t="shared" ca="1" si="27"/>
        <v>3738.3602040816331</v>
      </c>
    </row>
    <row r="934" spans="1:4" x14ac:dyDescent="0.25">
      <c r="A934" s="2">
        <f ca="1">IFERROR(__xludf.DUMMYFUNCTION("""COMPUTED_VALUE"""),45756.6458333333)</f>
        <v>45756.645833333299</v>
      </c>
      <c r="B934" s="1">
        <f ca="1">IFERROR(__xludf.DUMMYFUNCTION("""COMPUTED_VALUE"""),3246.6)</f>
        <v>3246.6</v>
      </c>
      <c r="C934" s="3">
        <f t="shared" ca="1" si="28"/>
        <v>-1.4075524985195619E-2</v>
      </c>
      <c r="D934">
        <f t="shared" ca="1" si="27"/>
        <v>3720.8214285714294</v>
      </c>
    </row>
    <row r="935" spans="1:4" x14ac:dyDescent="0.25">
      <c r="A935" s="2">
        <f ca="1">IFERROR(__xludf.DUMMYFUNCTION("""COMPUTED_VALUE"""),45758.6458333333)</f>
        <v>45758.645833333299</v>
      </c>
      <c r="B935" s="1">
        <f ca="1">IFERROR(__xludf.DUMMYFUNCTION("""COMPUTED_VALUE"""),3231.5)</f>
        <v>3231.5</v>
      </c>
      <c r="C935" s="3">
        <f t="shared" ca="1" si="28"/>
        <v>-4.6510195281216993E-3</v>
      </c>
      <c r="D935">
        <f t="shared" ca="1" si="27"/>
        <v>3704.1163265306127</v>
      </c>
    </row>
    <row r="936" spans="1:4" x14ac:dyDescent="0.25">
      <c r="A936" s="2">
        <f ca="1">IFERROR(__xludf.DUMMYFUNCTION("""COMPUTED_VALUE"""),45762.6458333333)</f>
        <v>45762.645833333299</v>
      </c>
      <c r="B936" s="1">
        <f ca="1">IFERROR(__xludf.DUMMYFUNCTION("""COMPUTED_VALUE"""),3248.2)</f>
        <v>3248.2</v>
      </c>
      <c r="C936" s="3">
        <f t="shared" ca="1" si="28"/>
        <v>5.1678786941048481E-3</v>
      </c>
      <c r="D936">
        <f t="shared" ca="1" si="27"/>
        <v>3687.6102040816331</v>
      </c>
    </row>
    <row r="937" spans="1:4" x14ac:dyDescent="0.25">
      <c r="A937" s="2">
        <f ca="1">IFERROR(__xludf.DUMMYFUNCTION("""COMPUTED_VALUE"""),45763.6458333333)</f>
        <v>45763.645833333299</v>
      </c>
      <c r="B937" s="1">
        <f ca="1">IFERROR(__xludf.DUMMYFUNCTION("""COMPUTED_VALUE"""),3273.8)</f>
        <v>3273.8</v>
      </c>
      <c r="C937" s="3">
        <f t="shared" ca="1" si="28"/>
        <v>7.8812880980236328E-3</v>
      </c>
      <c r="D937">
        <f t="shared" ca="1" si="27"/>
        <v>3670.2306122448981</v>
      </c>
    </row>
    <row r="938" spans="1:4" x14ac:dyDescent="0.25">
      <c r="A938" s="2">
        <f ca="1">IFERROR(__xludf.DUMMYFUNCTION("""COMPUTED_VALUE"""),45764.6458333333)</f>
        <v>45764.645833333299</v>
      </c>
      <c r="B938" s="1">
        <f ca="1">IFERROR(__xludf.DUMMYFUNCTION("""COMPUTED_VALUE"""),3298.9)</f>
        <v>3298.9</v>
      </c>
      <c r="C938" s="3">
        <f t="shared" ca="1" si="28"/>
        <v>7.6669313947094839E-3</v>
      </c>
      <c r="D938">
        <f t="shared" ca="1" si="27"/>
        <v>3653.3683673469391</v>
      </c>
    </row>
    <row r="939" spans="1:4" x14ac:dyDescent="0.25">
      <c r="A939" s="2">
        <f ca="1">IFERROR(__xludf.DUMMYFUNCTION("""COMPUTED_VALUE"""),45768.6458333333)</f>
        <v>45768.645833333299</v>
      </c>
      <c r="B939" s="1">
        <f ca="1">IFERROR(__xludf.DUMMYFUNCTION("""COMPUTED_VALUE"""),3321.6)</f>
        <v>3321.6</v>
      </c>
      <c r="C939" s="3">
        <f t="shared" ca="1" si="28"/>
        <v>6.8810815726453719E-3</v>
      </c>
      <c r="D939">
        <f t="shared" ca="1" si="27"/>
        <v>3636.7663265306119</v>
      </c>
    </row>
    <row r="940" spans="1:4" x14ac:dyDescent="0.25">
      <c r="A940" s="2">
        <f ca="1">IFERROR(__xludf.DUMMYFUNCTION("""COMPUTED_VALUE"""),45769.6458333333)</f>
        <v>45769.645833333299</v>
      </c>
      <c r="B940" s="1">
        <f ca="1">IFERROR(__xludf.DUMMYFUNCTION("""COMPUTED_VALUE"""),3314.4)</f>
        <v>3314.4</v>
      </c>
      <c r="C940" s="3">
        <f t="shared" ca="1" si="28"/>
        <v>-2.1676300578034133E-3</v>
      </c>
      <c r="D940">
        <f t="shared" ca="1" si="27"/>
        <v>3621.5204081632655</v>
      </c>
    </row>
    <row r="941" spans="1:4" x14ac:dyDescent="0.25">
      <c r="A941" s="2">
        <f ca="1">IFERROR(__xludf.DUMMYFUNCTION("""COMPUTED_VALUE"""),45770.6458333333)</f>
        <v>45770.645833333299</v>
      </c>
      <c r="B941" s="1">
        <f ca="1">IFERROR(__xludf.DUMMYFUNCTION("""COMPUTED_VALUE"""),3413)</f>
        <v>3413</v>
      </c>
      <c r="C941" s="3">
        <f t="shared" ca="1" si="28"/>
        <v>2.9748974173304341E-2</v>
      </c>
      <c r="D941">
        <f t="shared" ca="1" si="27"/>
        <v>3605.3438775510203</v>
      </c>
    </row>
    <row r="942" spans="1:4" x14ac:dyDescent="0.25">
      <c r="A942" s="2">
        <f ca="1">IFERROR(__xludf.DUMMYFUNCTION("""COMPUTED_VALUE"""),45771.6458333333)</f>
        <v>45771.645833333299</v>
      </c>
      <c r="B942" s="1">
        <f ca="1">IFERROR(__xludf.DUMMYFUNCTION("""COMPUTED_VALUE"""),3401.6)</f>
        <v>3401.6</v>
      </c>
      <c r="C942" s="3">
        <f t="shared" ca="1" si="28"/>
        <v>-3.3401699384705804E-3</v>
      </c>
      <c r="D942">
        <f t="shared" ca="1" si="27"/>
        <v>3591.5051020408164</v>
      </c>
    </row>
    <row r="943" spans="1:4" x14ac:dyDescent="0.25">
      <c r="A943" s="2">
        <f ca="1">IFERROR(__xludf.DUMMYFUNCTION("""COMPUTED_VALUE"""),45772.6458333333)</f>
        <v>45772.645833333299</v>
      </c>
      <c r="B943" s="1">
        <f ca="1">IFERROR(__xludf.DUMMYFUNCTION("""COMPUTED_VALUE"""),3448)</f>
        <v>3448</v>
      </c>
      <c r="C943" s="3">
        <f t="shared" ca="1" si="28"/>
        <v>1.364063969896522E-2</v>
      </c>
      <c r="D943">
        <f t="shared" ca="1" si="27"/>
        <v>3577.6040816326531</v>
      </c>
    </row>
    <row r="944" spans="1:4" x14ac:dyDescent="0.25">
      <c r="A944" s="2">
        <f ca="1">IFERROR(__xludf.DUMMYFUNCTION("""COMPUTED_VALUE"""),45775.6458333333)</f>
        <v>45775.645833333299</v>
      </c>
      <c r="B944" s="1">
        <f ca="1">IFERROR(__xludf.DUMMYFUNCTION("""COMPUTED_VALUE"""),3443.5)</f>
        <v>3443.5</v>
      </c>
      <c r="C944" s="3">
        <f t="shared" ca="1" si="28"/>
        <v>-1.3051044083526682E-3</v>
      </c>
      <c r="D944">
        <f t="shared" ca="1" si="27"/>
        <v>3565.7387755102045</v>
      </c>
    </row>
    <row r="945" spans="1:4" x14ac:dyDescent="0.25">
      <c r="A945" s="2">
        <f ca="1">IFERROR(__xludf.DUMMYFUNCTION("""COMPUTED_VALUE"""),45776.6458333333)</f>
        <v>45776.645833333299</v>
      </c>
      <c r="B945" s="1">
        <f ca="1">IFERROR(__xludf.DUMMYFUNCTION("""COMPUTED_VALUE"""),3472.5)</f>
        <v>3472.5</v>
      </c>
      <c r="C945" s="3">
        <f t="shared" ca="1" si="28"/>
        <v>8.4216640046464349E-3</v>
      </c>
      <c r="D945">
        <f t="shared" ca="1" si="27"/>
        <v>3553.6275510204082</v>
      </c>
    </row>
    <row r="946" spans="1:4" x14ac:dyDescent="0.25">
      <c r="A946" s="2">
        <f ca="1">IFERROR(__xludf.DUMMYFUNCTION("""COMPUTED_VALUE"""),45777.6458333333)</f>
        <v>45777.645833333299</v>
      </c>
      <c r="B946" s="1">
        <f ca="1">IFERROR(__xludf.DUMMYFUNCTION("""COMPUTED_VALUE"""),3453.7)</f>
        <v>3453.7</v>
      </c>
      <c r="C946" s="3">
        <f t="shared" ca="1" si="28"/>
        <v>-5.4139668826494406E-3</v>
      </c>
      <c r="D946">
        <f t="shared" ca="1" si="27"/>
        <v>3543.6061224489799</v>
      </c>
    </row>
    <row r="947" spans="1:4" x14ac:dyDescent="0.25">
      <c r="A947" s="2">
        <f ca="1">IFERROR(__xludf.DUMMYFUNCTION("""COMPUTED_VALUE"""),45779.6458333333)</f>
        <v>45779.645833333299</v>
      </c>
      <c r="B947" s="1">
        <f ca="1">IFERROR(__xludf.DUMMYFUNCTION("""COMPUTED_VALUE"""),3444.7)</f>
        <v>3444.7</v>
      </c>
      <c r="C947" s="3">
        <f t="shared" ca="1" si="28"/>
        <v>-2.6059009178562124E-3</v>
      </c>
      <c r="D947">
        <f t="shared" ca="1" si="27"/>
        <v>3533.4744897959185</v>
      </c>
    </row>
    <row r="948" spans="1:4" x14ac:dyDescent="0.25">
      <c r="A948" s="2">
        <f ca="1">IFERROR(__xludf.DUMMYFUNCTION("""COMPUTED_VALUE"""),45782.6458333333)</f>
        <v>45782.645833333299</v>
      </c>
      <c r="B948" s="1">
        <f ca="1">IFERROR(__xludf.DUMMYFUNCTION("""COMPUTED_VALUE"""),3454.3)</f>
        <v>3454.3</v>
      </c>
      <c r="C948" s="3">
        <f t="shared" ca="1" si="28"/>
        <v>2.7868900049352234E-3</v>
      </c>
      <c r="D948">
        <f t="shared" ref="D948:D1011" ca="1" si="29">AVERAGE(B899:B947)</f>
        <v>3523.9755102040822</v>
      </c>
    </row>
    <row r="949" spans="1:4" x14ac:dyDescent="0.25">
      <c r="A949" s="2">
        <f ca="1">IFERROR(__xludf.DUMMYFUNCTION("""COMPUTED_VALUE"""),45783.6458333333)</f>
        <v>45783.645833333299</v>
      </c>
      <c r="B949" s="1">
        <f ca="1">IFERROR(__xludf.DUMMYFUNCTION("""COMPUTED_VALUE"""),3460)</f>
        <v>3460</v>
      </c>
      <c r="C949" s="3">
        <f t="shared" ca="1" si="28"/>
        <v>1.6501172451726307E-3</v>
      </c>
      <c r="D949">
        <f t="shared" ca="1" si="29"/>
        <v>3514.1683673469388</v>
      </c>
    </row>
    <row r="950" spans="1:4" x14ac:dyDescent="0.25">
      <c r="A950" s="2">
        <f ca="1">IFERROR(__xludf.DUMMYFUNCTION("""COMPUTED_VALUE"""),45784.6458333333)</f>
        <v>45784.645833333299</v>
      </c>
      <c r="B950" s="1">
        <f ca="1">IFERROR(__xludf.DUMMYFUNCTION("""COMPUTED_VALUE"""),3445.1)</f>
        <v>3445.1</v>
      </c>
      <c r="C950" s="3">
        <f t="shared" ca="1" si="28"/>
        <v>-4.3063583815029166E-3</v>
      </c>
      <c r="D950">
        <f t="shared" ca="1" si="29"/>
        <v>3505.0969387755104</v>
      </c>
    </row>
    <row r="951" spans="1:4" x14ac:dyDescent="0.25">
      <c r="A951" s="2">
        <f ca="1">IFERROR(__xludf.DUMMYFUNCTION("""COMPUTED_VALUE"""),45785.6458333333)</f>
        <v>45785.645833333299</v>
      </c>
      <c r="B951" s="1">
        <f ca="1">IFERROR(__xludf.DUMMYFUNCTION("""COMPUTED_VALUE"""),3448.9)</f>
        <v>3448.9</v>
      </c>
      <c r="C951" s="3">
        <f t="shared" ca="1" si="28"/>
        <v>1.1030158776233439E-3</v>
      </c>
      <c r="D951">
        <f t="shared" ca="1" si="29"/>
        <v>3496.3602040816327</v>
      </c>
    </row>
    <row r="952" spans="1:4" x14ac:dyDescent="0.25">
      <c r="A952" s="2">
        <f ca="1">IFERROR(__xludf.DUMMYFUNCTION("""COMPUTED_VALUE"""),45786.6458333333)</f>
        <v>45786.645833333299</v>
      </c>
      <c r="B952" s="1">
        <f ca="1">IFERROR(__xludf.DUMMYFUNCTION("""COMPUTED_VALUE"""),3440.3)</f>
        <v>3440.3</v>
      </c>
      <c r="C952" s="3">
        <f t="shared" ca="1" si="28"/>
        <v>-2.4935486676911215E-3</v>
      </c>
      <c r="D952">
        <f t="shared" ca="1" si="29"/>
        <v>3489.5193877551023</v>
      </c>
    </row>
    <row r="953" spans="1:4" x14ac:dyDescent="0.25">
      <c r="A953" s="2">
        <f ca="1">IFERROR(__xludf.DUMMYFUNCTION("""COMPUTED_VALUE"""),45789.6458333333)</f>
        <v>45789.645833333299</v>
      </c>
      <c r="B953" s="1">
        <f ca="1">IFERROR(__xludf.DUMMYFUNCTION("""COMPUTED_VALUE"""),3620.4)</f>
        <v>3620.4</v>
      </c>
      <c r="C953" s="3">
        <f t="shared" ca="1" si="28"/>
        <v>5.235008574833587E-2</v>
      </c>
      <c r="D953">
        <f t="shared" ca="1" si="29"/>
        <v>3482.5989795918363</v>
      </c>
    </row>
    <row r="954" spans="1:4" x14ac:dyDescent="0.25">
      <c r="A954" s="2">
        <f ca="1">IFERROR(__xludf.DUMMYFUNCTION("""COMPUTED_VALUE"""),45790.6458333333)</f>
        <v>45790.645833333299</v>
      </c>
      <c r="B954" s="1">
        <f ca="1">IFERROR(__xludf.DUMMYFUNCTION("""COMPUTED_VALUE"""),3515)</f>
        <v>3515</v>
      </c>
      <c r="C954" s="3">
        <f t="shared" ca="1" si="28"/>
        <v>-2.9112805214893407E-2</v>
      </c>
      <c r="D954">
        <f t="shared" ca="1" si="29"/>
        <v>3479.2193877551013</v>
      </c>
    </row>
    <row r="955" spans="1:4" x14ac:dyDescent="0.25">
      <c r="A955" s="2">
        <f ca="1">IFERROR(__xludf.DUMMYFUNCTION("""COMPUTED_VALUE"""),45791.6458333333)</f>
        <v>45791.645833333299</v>
      </c>
      <c r="B955" s="1">
        <f ca="1">IFERROR(__xludf.DUMMYFUNCTION("""COMPUTED_VALUE"""),3548.7)</f>
        <v>3548.7</v>
      </c>
      <c r="C955" s="3">
        <f t="shared" ca="1" si="28"/>
        <v>9.5874822190611143E-3</v>
      </c>
      <c r="D955">
        <f t="shared" ca="1" si="29"/>
        <v>3475.941836734693</v>
      </c>
    </row>
    <row r="956" spans="1:4" x14ac:dyDescent="0.25">
      <c r="A956" s="2">
        <f ca="1">IFERROR(__xludf.DUMMYFUNCTION("""COMPUTED_VALUE"""),45792.6458333333)</f>
        <v>45792.645833333299</v>
      </c>
      <c r="B956" s="1">
        <f ca="1">IFERROR(__xludf.DUMMYFUNCTION("""COMPUTED_VALUE"""),3579.9)</f>
        <v>3579.9</v>
      </c>
      <c r="C956" s="3">
        <f t="shared" ca="1" si="28"/>
        <v>8.7919519824161737E-3</v>
      </c>
      <c r="D956">
        <f t="shared" ca="1" si="29"/>
        <v>3474.2918367346938</v>
      </c>
    </row>
    <row r="957" spans="1:4" x14ac:dyDescent="0.25">
      <c r="A957" s="2">
        <f ca="1">IFERROR(__xludf.DUMMYFUNCTION("""COMPUTED_VALUE"""),45793.6458333333)</f>
        <v>45793.645833333299</v>
      </c>
      <c r="B957" s="1">
        <f ca="1">IFERROR(__xludf.DUMMYFUNCTION("""COMPUTED_VALUE"""),3561.3)</f>
        <v>3561.3</v>
      </c>
      <c r="C957" s="3">
        <f t="shared" ca="1" si="28"/>
        <v>-5.1956758568674844E-3</v>
      </c>
      <c r="D957">
        <f t="shared" ca="1" si="29"/>
        <v>3473.6255102040809</v>
      </c>
    </row>
    <row r="958" spans="1:4" x14ac:dyDescent="0.25">
      <c r="A958" s="2">
        <f ca="1">IFERROR(__xludf.DUMMYFUNCTION("""COMPUTED_VALUE"""),45796.6458333333)</f>
        <v>45796.645833333299</v>
      </c>
      <c r="B958" s="1">
        <f ca="1">IFERROR(__xludf.DUMMYFUNCTION("""COMPUTED_VALUE"""),3518.8)</f>
        <v>3518.8</v>
      </c>
      <c r="C958" s="3">
        <f t="shared" ca="1" si="28"/>
        <v>-1.1933844382669249E-2</v>
      </c>
      <c r="D958">
        <f t="shared" ca="1" si="29"/>
        <v>3475.2183673469376</v>
      </c>
    </row>
    <row r="959" spans="1:4" x14ac:dyDescent="0.25">
      <c r="A959" s="2">
        <f ca="1">IFERROR(__xludf.DUMMYFUNCTION("""COMPUTED_VALUE"""),45797.6458333333)</f>
        <v>45797.645833333299</v>
      </c>
      <c r="B959" s="1">
        <f ca="1">IFERROR(__xludf.DUMMYFUNCTION("""COMPUTED_VALUE"""),3498.3)</f>
        <v>3498.3</v>
      </c>
      <c r="C959" s="3">
        <f t="shared" ca="1" si="28"/>
        <v>-5.8258497214959638E-3</v>
      </c>
      <c r="D959">
        <f t="shared" ca="1" si="29"/>
        <v>3475.7438775510195</v>
      </c>
    </row>
    <row r="960" spans="1:4" x14ac:dyDescent="0.25">
      <c r="A960" s="2">
        <f ca="1">IFERROR(__xludf.DUMMYFUNCTION("""COMPUTED_VALUE"""),45798.6458333333)</f>
        <v>45798.645833333299</v>
      </c>
      <c r="B960" s="1">
        <f ca="1">IFERROR(__xludf.DUMMYFUNCTION("""COMPUTED_VALUE"""),3525.8)</f>
        <v>3525.8</v>
      </c>
      <c r="C960" s="3">
        <f t="shared" ca="1" si="28"/>
        <v>7.8609610382185634E-3</v>
      </c>
      <c r="D960">
        <f t="shared" ca="1" si="29"/>
        <v>3475.0551020408152</v>
      </c>
    </row>
    <row r="961" spans="1:4" x14ac:dyDescent="0.25">
      <c r="A961" s="2">
        <f ca="1">IFERROR(__xludf.DUMMYFUNCTION("""COMPUTED_VALUE"""),45799.6458333333)</f>
        <v>45799.645833333299</v>
      </c>
      <c r="B961" s="1">
        <f ca="1">IFERROR(__xludf.DUMMYFUNCTION("""COMPUTED_VALUE"""),3477)</f>
        <v>3477</v>
      </c>
      <c r="C961" s="3">
        <f t="shared" ca="1" si="28"/>
        <v>-1.384083044982704E-2</v>
      </c>
      <c r="D961">
        <f t="shared" ca="1" si="29"/>
        <v>3474.6214285714277</v>
      </c>
    </row>
    <row r="962" spans="1:4" x14ac:dyDescent="0.25">
      <c r="A962" s="2">
        <f ca="1">IFERROR(__xludf.DUMMYFUNCTION("""COMPUTED_VALUE"""),45800.6458333333)</f>
        <v>45800.645833333299</v>
      </c>
      <c r="B962" s="1">
        <f ca="1">IFERROR(__xludf.DUMMYFUNCTION("""COMPUTED_VALUE"""),3514.6)</f>
        <v>3514.6</v>
      </c>
      <c r="C962" s="3">
        <f t="shared" ca="1" si="28"/>
        <v>1.0813920046016655E-2</v>
      </c>
      <c r="D962">
        <f t="shared" ca="1" si="29"/>
        <v>3472.0785714285703</v>
      </c>
    </row>
    <row r="963" spans="1:4" x14ac:dyDescent="0.25">
      <c r="A963" s="2">
        <f ca="1">IFERROR(__xludf.DUMMYFUNCTION("""COMPUTED_VALUE"""),45803.6458333333)</f>
        <v>45803.645833333299</v>
      </c>
      <c r="B963" s="1">
        <f ca="1">IFERROR(__xludf.DUMMYFUNCTION("""COMPUTED_VALUE"""),3537.3)</f>
        <v>3537.3</v>
      </c>
      <c r="C963" s="3">
        <f t="shared" ca="1" si="28"/>
        <v>6.4587719797417273E-3</v>
      </c>
      <c r="D963">
        <f t="shared" ca="1" si="29"/>
        <v>3470.1071428571422</v>
      </c>
    </row>
    <row r="964" spans="1:4" x14ac:dyDescent="0.25">
      <c r="A964" s="2">
        <f ca="1">IFERROR(__xludf.DUMMYFUNCTION("""COMPUTED_VALUE"""),45804.6458333333)</f>
        <v>45804.645833333299</v>
      </c>
      <c r="B964" s="1">
        <f ca="1">IFERROR(__xludf.DUMMYFUNCTION("""COMPUTED_VALUE"""),3498.7)</f>
        <v>3498.7</v>
      </c>
      <c r="C964" s="3">
        <f t="shared" ref="C964:C1027" ca="1" si="30">(B964-B963)/B963</f>
        <v>-1.0912277725949273E-2</v>
      </c>
      <c r="D964">
        <f t="shared" ca="1" si="29"/>
        <v>3469.0387755102033</v>
      </c>
    </row>
    <row r="965" spans="1:4" x14ac:dyDescent="0.25">
      <c r="A965" s="2">
        <f ca="1">IFERROR(__xludf.DUMMYFUNCTION("""COMPUTED_VALUE"""),45805.6458333333)</f>
        <v>45805.645833333299</v>
      </c>
      <c r="B965" s="1">
        <f ca="1">IFERROR(__xludf.DUMMYFUNCTION("""COMPUTED_VALUE"""),3497.7)</f>
        <v>3497.7</v>
      </c>
      <c r="C965" s="3">
        <f t="shared" ca="1" si="30"/>
        <v>-2.8582044759482096E-4</v>
      </c>
      <c r="D965">
        <f t="shared" ca="1" si="29"/>
        <v>3467.4755102040808</v>
      </c>
    </row>
    <row r="966" spans="1:4" x14ac:dyDescent="0.25">
      <c r="A966" s="2">
        <f ca="1">IFERROR(__xludf.DUMMYFUNCTION("""COMPUTED_VALUE"""),45806.6458333333)</f>
        <v>45806.645833333299</v>
      </c>
      <c r="B966" s="1">
        <f ca="1">IFERROR(__xludf.DUMMYFUNCTION("""COMPUTED_VALUE"""),3498.1)</f>
        <v>3498.1</v>
      </c>
      <c r="C966" s="3">
        <f t="shared" ca="1" si="30"/>
        <v>1.1436086571177944E-4</v>
      </c>
      <c r="D966">
        <f t="shared" ca="1" si="29"/>
        <v>3467.3020408163261</v>
      </c>
    </row>
    <row r="967" spans="1:4" x14ac:dyDescent="0.25">
      <c r="A967" s="2">
        <f ca="1">IFERROR(__xludf.DUMMYFUNCTION("""COMPUTED_VALUE"""),45807.6458333333)</f>
        <v>45807.645833333299</v>
      </c>
      <c r="B967" s="1">
        <f ca="1">IFERROR(__xludf.DUMMYFUNCTION("""COMPUTED_VALUE"""),3463.4)</f>
        <v>3463.4</v>
      </c>
      <c r="C967" s="3">
        <f t="shared" ca="1" si="30"/>
        <v>-9.9196706783682056E-3</v>
      </c>
      <c r="D967">
        <f t="shared" ca="1" si="29"/>
        <v>3467.0377551020401</v>
      </c>
    </row>
    <row r="968" spans="1:4" x14ac:dyDescent="0.25">
      <c r="A968" s="2">
        <f ca="1">IFERROR(__xludf.DUMMYFUNCTION("""COMPUTED_VALUE"""),45810.6458333333)</f>
        <v>45810.645833333299</v>
      </c>
      <c r="B968" s="1">
        <f ca="1">IFERROR(__xludf.DUMMYFUNCTION("""COMPUTED_VALUE"""),3449.8)</f>
        <v>3449.8</v>
      </c>
      <c r="C968" s="3">
        <f t="shared" ca="1" si="30"/>
        <v>-3.9267771553964052E-3</v>
      </c>
      <c r="D968">
        <f t="shared" ca="1" si="29"/>
        <v>3466.3377551020399</v>
      </c>
    </row>
    <row r="969" spans="1:4" x14ac:dyDescent="0.25">
      <c r="A969" s="2">
        <f ca="1">IFERROR(__xludf.DUMMYFUNCTION("""COMPUTED_VALUE"""),45811.6458333333)</f>
        <v>45811.645833333299</v>
      </c>
      <c r="B969" s="1">
        <f ca="1">IFERROR(__xludf.DUMMYFUNCTION("""COMPUTED_VALUE"""),3405.2)</f>
        <v>3405.2</v>
      </c>
      <c r="C969" s="3">
        <f t="shared" ca="1" si="30"/>
        <v>-1.2928285697721711E-2</v>
      </c>
      <c r="D969">
        <f t="shared" ca="1" si="29"/>
        <v>3464.2428571428563</v>
      </c>
    </row>
    <row r="970" spans="1:4" x14ac:dyDescent="0.25">
      <c r="A970" s="2">
        <f ca="1">IFERROR(__xludf.DUMMYFUNCTION("""COMPUTED_VALUE"""),45812.6458333333)</f>
        <v>45812.645833333299</v>
      </c>
      <c r="B970" s="1">
        <f ca="1">IFERROR(__xludf.DUMMYFUNCTION("""COMPUTED_VALUE"""),3380.9)</f>
        <v>3380.9</v>
      </c>
      <c r="C970" s="3">
        <f t="shared" ca="1" si="30"/>
        <v>-7.1361447198401646E-3</v>
      </c>
      <c r="D970">
        <f t="shared" ca="1" si="29"/>
        <v>3462.367346938775</v>
      </c>
    </row>
    <row r="971" spans="1:4" x14ac:dyDescent="0.25">
      <c r="A971" s="2">
        <f ca="1">IFERROR(__xludf.DUMMYFUNCTION("""COMPUTED_VALUE"""),45813.6458333333)</f>
        <v>45813.645833333299</v>
      </c>
      <c r="B971" s="1">
        <f ca="1">IFERROR(__xludf.DUMMYFUNCTION("""COMPUTED_VALUE"""),3371.1)</f>
        <v>3371.1</v>
      </c>
      <c r="C971" s="3">
        <f t="shared" ca="1" si="30"/>
        <v>-2.8986364577479906E-3</v>
      </c>
      <c r="D971">
        <f t="shared" ca="1" si="29"/>
        <v>3458.6479591836733</v>
      </c>
    </row>
    <row r="972" spans="1:4" x14ac:dyDescent="0.25">
      <c r="A972" s="2">
        <f ca="1">IFERROR(__xludf.DUMMYFUNCTION("""COMPUTED_VALUE"""),45814.6458333333)</f>
        <v>45814.645833333299</v>
      </c>
      <c r="B972" s="1">
        <f ca="1">IFERROR(__xludf.DUMMYFUNCTION("""COMPUTED_VALUE"""),3384.2)</f>
        <v>3384.2</v>
      </c>
      <c r="C972" s="3">
        <f t="shared" ca="1" si="30"/>
        <v>3.8859719379430776E-3</v>
      </c>
      <c r="D972">
        <f t="shared" ca="1" si="29"/>
        <v>3454.4234693877552</v>
      </c>
    </row>
    <row r="973" spans="1:4" x14ac:dyDescent="0.25">
      <c r="A973" s="2">
        <f ca="1">IFERROR(__xludf.DUMMYFUNCTION("""COMPUTED_VALUE"""),45817.6458333333)</f>
        <v>45817.645833333299</v>
      </c>
      <c r="B973" s="1">
        <f ca="1">IFERROR(__xludf.DUMMYFUNCTION("""COMPUTED_VALUE"""),3421.9)</f>
        <v>3421.9</v>
      </c>
      <c r="C973" s="3">
        <f t="shared" ca="1" si="30"/>
        <v>1.1140003545889805E-2</v>
      </c>
      <c r="D973">
        <f t="shared" ca="1" si="29"/>
        <v>3449.428571428572</v>
      </c>
    </row>
    <row r="974" spans="1:4" x14ac:dyDescent="0.25">
      <c r="A974" s="2">
        <f ca="1">IFERROR(__xludf.DUMMYFUNCTION("""COMPUTED_VALUE"""),45818.6458333333)</f>
        <v>45818.645833333299</v>
      </c>
      <c r="B974" s="1">
        <f ca="1">IFERROR(__xludf.DUMMYFUNCTION("""COMPUTED_VALUE"""),3462.9)</f>
        <v>3462.9</v>
      </c>
      <c r="C974" s="3">
        <f t="shared" ca="1" si="30"/>
        <v>1.1981647622665769E-2</v>
      </c>
      <c r="D974">
        <f t="shared" ca="1" si="29"/>
        <v>3444.6153061224495</v>
      </c>
    </row>
    <row r="975" spans="1:4" x14ac:dyDescent="0.25">
      <c r="A975" s="2">
        <f ca="1">IFERROR(__xludf.DUMMYFUNCTION("""COMPUTED_VALUE"""),45819.6458333333)</f>
        <v>45819.645833333299</v>
      </c>
      <c r="B975" s="1">
        <f ca="1">IFERROR(__xludf.DUMMYFUNCTION("""COMPUTED_VALUE"""),3471.9)</f>
        <v>3471.9</v>
      </c>
      <c r="C975" s="3">
        <f t="shared" ca="1" si="30"/>
        <v>2.5989777354240664E-3</v>
      </c>
      <c r="D975">
        <f t="shared" ca="1" si="29"/>
        <v>3441.086734693878</v>
      </c>
    </row>
    <row r="976" spans="1:4" x14ac:dyDescent="0.25">
      <c r="A976" s="2">
        <f ca="1">IFERROR(__xludf.DUMMYFUNCTION("""COMPUTED_VALUE"""),45820.6458333333)</f>
        <v>45820.645833333299</v>
      </c>
      <c r="B976" s="1">
        <f ca="1">IFERROR(__xludf.DUMMYFUNCTION("""COMPUTED_VALUE"""),3434.2)</f>
        <v>3434.2</v>
      </c>
      <c r="C976" s="3">
        <f t="shared" ca="1" si="30"/>
        <v>-1.0858607678792671E-2</v>
      </c>
      <c r="D976">
        <f t="shared" ca="1" si="29"/>
        <v>3437.4275510204084</v>
      </c>
    </row>
    <row r="977" spans="1:4" x14ac:dyDescent="0.25">
      <c r="A977" s="2">
        <f ca="1">IFERROR(__xludf.DUMMYFUNCTION("""COMPUTED_VALUE"""),45821.6458333333)</f>
        <v>45821.645833333299</v>
      </c>
      <c r="B977" s="1">
        <f ca="1">IFERROR(__xludf.DUMMYFUNCTION("""COMPUTED_VALUE"""),3445.7)</f>
        <v>3445.7</v>
      </c>
      <c r="C977" s="3">
        <f t="shared" ca="1" si="30"/>
        <v>3.3486692679517796E-3</v>
      </c>
      <c r="D977">
        <f t="shared" ca="1" si="29"/>
        <v>3433.9183673469388</v>
      </c>
    </row>
    <row r="978" spans="1:4" x14ac:dyDescent="0.25">
      <c r="A978" s="2">
        <f ca="1">IFERROR(__xludf.DUMMYFUNCTION("""COMPUTED_VALUE"""),45824.6458333333)</f>
        <v>45824.645833333299</v>
      </c>
      <c r="B978" s="1">
        <f ca="1">IFERROR(__xludf.DUMMYFUNCTION("""COMPUTED_VALUE"""),3496.3)</f>
        <v>3496.3</v>
      </c>
      <c r="C978" s="3">
        <f t="shared" ca="1" si="30"/>
        <v>1.4684969672345349E-2</v>
      </c>
      <c r="D978">
        <f t="shared" ca="1" si="29"/>
        <v>3431.7734693877555</v>
      </c>
    </row>
    <row r="979" spans="1:4" x14ac:dyDescent="0.25">
      <c r="A979" s="2">
        <f ca="1">IFERROR(__xludf.DUMMYFUNCTION("""COMPUTED_VALUE"""),45825.6458333333)</f>
        <v>45825.645833333299</v>
      </c>
      <c r="B979" s="1">
        <f ca="1">IFERROR(__xludf.DUMMYFUNCTION("""COMPUTED_VALUE"""),3515.3)</f>
        <v>3515.3</v>
      </c>
      <c r="C979" s="3">
        <f t="shared" ca="1" si="30"/>
        <v>5.4343162772073333E-3</v>
      </c>
      <c r="D979">
        <f t="shared" ca="1" si="29"/>
        <v>3430.8010204081638</v>
      </c>
    </row>
    <row r="980" spans="1:4" x14ac:dyDescent="0.25">
      <c r="A980" s="2">
        <f ca="1">IFERROR(__xludf.DUMMYFUNCTION("""COMPUTED_VALUE"""),45826.6458333333)</f>
        <v>45826.645833333299</v>
      </c>
      <c r="B980" s="1">
        <f ca="1">IFERROR(__xludf.DUMMYFUNCTION("""COMPUTED_VALUE"""),3451.4)</f>
        <v>3451.4</v>
      </c>
      <c r="C980" s="3">
        <f t="shared" ca="1" si="30"/>
        <v>-1.8177680425568256E-2</v>
      </c>
      <c r="D980">
        <f t="shared" ca="1" si="29"/>
        <v>3433.0897959183671</v>
      </c>
    </row>
    <row r="981" spans="1:4" x14ac:dyDescent="0.25">
      <c r="A981" s="2">
        <f ca="1">IFERROR(__xludf.DUMMYFUNCTION("""COMPUTED_VALUE"""),45827.6458333333)</f>
        <v>45827.645833333299</v>
      </c>
      <c r="B981" s="1">
        <f ca="1">IFERROR(__xludf.DUMMYFUNCTION("""COMPUTED_VALUE"""),3424)</f>
        <v>3424</v>
      </c>
      <c r="C981" s="3">
        <f t="shared" ca="1" si="30"/>
        <v>-7.9388074404589705E-3</v>
      </c>
      <c r="D981">
        <f t="shared" ca="1" si="29"/>
        <v>3436.1918367346939</v>
      </c>
    </row>
    <row r="982" spans="1:4" x14ac:dyDescent="0.25">
      <c r="A982" s="2">
        <f ca="1">IFERROR(__xludf.DUMMYFUNCTION("""COMPUTED_VALUE"""),45828.6458333333)</f>
        <v>45828.645833333299</v>
      </c>
      <c r="B982" s="1">
        <f ca="1">IFERROR(__xludf.DUMMYFUNCTION("""COMPUTED_VALUE"""),3435.7)</f>
        <v>3435.7</v>
      </c>
      <c r="C982" s="3">
        <f t="shared" ca="1" si="30"/>
        <v>3.417056074766302E-3</v>
      </c>
      <c r="D982">
        <f t="shared" ca="1" si="29"/>
        <v>3439.2520408163259</v>
      </c>
    </row>
    <row r="983" spans="1:4" x14ac:dyDescent="0.25">
      <c r="A983" s="2">
        <f ca="1">IFERROR(__xludf.DUMMYFUNCTION("""COMPUTED_VALUE"""),45831.6458333333)</f>
        <v>45831.645833333299</v>
      </c>
      <c r="B983" s="1">
        <f ca="1">IFERROR(__xludf.DUMMYFUNCTION("""COMPUTED_VALUE"""),3393.6)</f>
        <v>3393.6</v>
      </c>
      <c r="C983" s="3">
        <f t="shared" ca="1" si="30"/>
        <v>-1.2253689204528892E-2</v>
      </c>
      <c r="D983">
        <f t="shared" ca="1" si="29"/>
        <v>3442.1653061224492</v>
      </c>
    </row>
    <row r="984" spans="1:4" x14ac:dyDescent="0.25">
      <c r="A984" s="2">
        <f ca="1">IFERROR(__xludf.DUMMYFUNCTION("""COMPUTED_VALUE"""),45832.6458333333)</f>
        <v>45832.645833333299</v>
      </c>
      <c r="B984" s="1">
        <f ca="1">IFERROR(__xludf.DUMMYFUNCTION("""COMPUTED_VALUE"""),3390.4)</f>
        <v>3390.4</v>
      </c>
      <c r="C984" s="3">
        <f t="shared" ca="1" si="30"/>
        <v>-9.4295143800088939E-4</v>
      </c>
      <c r="D984">
        <f t="shared" ca="1" si="29"/>
        <v>3445.1653061224492</v>
      </c>
    </row>
    <row r="985" spans="1:4" x14ac:dyDescent="0.25">
      <c r="A985" s="2">
        <f ca="1">IFERROR(__xludf.DUMMYFUNCTION("""COMPUTED_VALUE"""),45833.6458333333)</f>
        <v>45833.645833333299</v>
      </c>
      <c r="B985" s="1">
        <f ca="1">IFERROR(__xludf.DUMMYFUNCTION("""COMPUTED_VALUE"""),3444.8)</f>
        <v>3444.8</v>
      </c>
      <c r="C985" s="3">
        <f t="shared" ca="1" si="30"/>
        <v>1.6045304388862699E-2</v>
      </c>
      <c r="D985">
        <f t="shared" ca="1" si="29"/>
        <v>3448.408163265306</v>
      </c>
    </row>
    <row r="986" spans="1:4" x14ac:dyDescent="0.25">
      <c r="A986" s="2">
        <f ca="1">IFERROR(__xludf.DUMMYFUNCTION("""COMPUTED_VALUE"""),45834.6458333333)</f>
        <v>45834.645833333299</v>
      </c>
      <c r="B986" s="1">
        <f ca="1">IFERROR(__xludf.DUMMYFUNCTION("""COMPUTED_VALUE"""),3441.8)</f>
        <v>3441.8</v>
      </c>
      <c r="C986" s="3">
        <f t="shared" ca="1" si="30"/>
        <v>-8.7087784486762653E-4</v>
      </c>
      <c r="D986">
        <f t="shared" ca="1" si="29"/>
        <v>3452.4204081632656</v>
      </c>
    </row>
    <row r="987" spans="1:4" x14ac:dyDescent="0.25">
      <c r="A987" s="2">
        <f ca="1">IFERROR(__xludf.DUMMYFUNCTION("""COMPUTED_VALUE"""),45835.6458333333)</f>
        <v>45835.645833333299</v>
      </c>
      <c r="B987" s="1">
        <f ca="1">IFERROR(__xludf.DUMMYFUNCTION("""COMPUTED_VALUE"""),3441.1)</f>
        <v>3441.1</v>
      </c>
      <c r="C987" s="3">
        <f t="shared" ca="1" si="30"/>
        <v>-2.0338195130462921E-4</v>
      </c>
      <c r="D987">
        <f t="shared" ca="1" si="29"/>
        <v>3455.8489795918363</v>
      </c>
    </row>
    <row r="988" spans="1:4" x14ac:dyDescent="0.25">
      <c r="A988" s="2">
        <f ca="1">IFERROR(__xludf.DUMMYFUNCTION("""COMPUTED_VALUE"""),45838.6458333333)</f>
        <v>45838.645833333299</v>
      </c>
      <c r="B988" s="1">
        <f ca="1">IFERROR(__xludf.DUMMYFUNCTION("""COMPUTED_VALUE"""),3462)</f>
        <v>3462</v>
      </c>
      <c r="C988" s="3">
        <f t="shared" ca="1" si="30"/>
        <v>6.0736392432652617E-3</v>
      </c>
      <c r="D988">
        <f t="shared" ca="1" si="29"/>
        <v>3458.7510204081632</v>
      </c>
    </row>
    <row r="989" spans="1:4" x14ac:dyDescent="0.25">
      <c r="A989" s="2">
        <f ca="1">IFERROR(__xludf.DUMMYFUNCTION("""COMPUTED_VALUE"""),45839.6458333333)</f>
        <v>45839.645833333299</v>
      </c>
      <c r="B989" s="1">
        <f ca="1">IFERROR(__xludf.DUMMYFUNCTION("""COMPUTED_VALUE"""),3429.7)</f>
        <v>3429.7</v>
      </c>
      <c r="C989" s="3">
        <f t="shared" ca="1" si="30"/>
        <v>-9.3298671288273207E-3</v>
      </c>
      <c r="D989">
        <f t="shared" ca="1" si="29"/>
        <v>3461.6163265306113</v>
      </c>
    </row>
    <row r="990" spans="1:4" x14ac:dyDescent="0.25">
      <c r="A990" s="2">
        <f ca="1">IFERROR(__xludf.DUMMYFUNCTION("""COMPUTED_VALUE"""),45840.6458333333)</f>
        <v>45840.645833333299</v>
      </c>
      <c r="B990" s="1">
        <f ca="1">IFERROR(__xludf.DUMMYFUNCTION("""COMPUTED_VALUE"""),3423.3)</f>
        <v>3423.3</v>
      </c>
      <c r="C990" s="3">
        <f t="shared" ca="1" si="30"/>
        <v>-1.8660524244101923E-3</v>
      </c>
      <c r="D990">
        <f t="shared" ca="1" si="29"/>
        <v>3463.9693877551013</v>
      </c>
    </row>
    <row r="991" spans="1:4" x14ac:dyDescent="0.25">
      <c r="A991" s="2">
        <f ca="1">IFERROR(__xludf.DUMMYFUNCTION("""COMPUTED_VALUE"""),45841.6458333333)</f>
        <v>45841.645833333299</v>
      </c>
      <c r="B991" s="1">
        <f ca="1">IFERROR(__xludf.DUMMYFUNCTION("""COMPUTED_VALUE"""),3400.8)</f>
        <v>3400.8</v>
      </c>
      <c r="C991" s="3">
        <f t="shared" ca="1" si="30"/>
        <v>-6.5726053807729379E-3</v>
      </c>
      <c r="D991">
        <f t="shared" ca="1" si="29"/>
        <v>3464.1795918367338</v>
      </c>
    </row>
    <row r="992" spans="1:4" x14ac:dyDescent="0.25">
      <c r="A992" s="2">
        <f ca="1">IFERROR(__xludf.DUMMYFUNCTION("""COMPUTED_VALUE"""),45842.6458333333)</f>
        <v>45842.645833333299</v>
      </c>
      <c r="B992" s="1">
        <f ca="1">IFERROR(__xludf.DUMMYFUNCTION("""COMPUTED_VALUE"""),3419.8)</f>
        <v>3419.8</v>
      </c>
      <c r="C992" s="3">
        <f t="shared" ca="1" si="30"/>
        <v>5.5869207245354035E-3</v>
      </c>
      <c r="D992">
        <f t="shared" ca="1" si="29"/>
        <v>3464.163265306122</v>
      </c>
    </row>
    <row r="993" spans="1:4" x14ac:dyDescent="0.25">
      <c r="A993" s="2">
        <f ca="1">IFERROR(__xludf.DUMMYFUNCTION("""COMPUTED_VALUE"""),45845.6458333333)</f>
        <v>45845.645833333299</v>
      </c>
      <c r="B993" s="1">
        <f ca="1">IFERROR(__xludf.DUMMYFUNCTION("""COMPUTED_VALUE"""),3411.7)</f>
        <v>3411.7</v>
      </c>
      <c r="C993" s="3">
        <f t="shared" ca="1" si="30"/>
        <v>-2.3685595648869416E-3</v>
      </c>
      <c r="D993">
        <f t="shared" ca="1" si="29"/>
        <v>3463.5877551020399</v>
      </c>
    </row>
    <row r="994" spans="1:4" x14ac:dyDescent="0.25">
      <c r="A994" s="2">
        <f ca="1">IFERROR(__xludf.DUMMYFUNCTION("""COMPUTED_VALUE"""),45846.6458333333)</f>
        <v>45846.645833333299</v>
      </c>
      <c r="B994" s="1">
        <f ca="1">IFERROR(__xludf.DUMMYFUNCTION("""COMPUTED_VALUE"""),3406.2)</f>
        <v>3406.2</v>
      </c>
      <c r="C994" s="3">
        <f t="shared" ca="1" si="30"/>
        <v>-1.6120995398188588E-3</v>
      </c>
      <c r="D994">
        <f t="shared" ca="1" si="29"/>
        <v>3462.938775510203</v>
      </c>
    </row>
    <row r="995" spans="1:4" x14ac:dyDescent="0.25">
      <c r="A995" s="2">
        <f ca="1">IFERROR(__xludf.DUMMYFUNCTION("""COMPUTED_VALUE"""),45847.6458333333)</f>
        <v>45847.645833333299</v>
      </c>
      <c r="B995" s="1">
        <f ca="1">IFERROR(__xludf.DUMMYFUNCTION("""COMPUTED_VALUE"""),3383.8)</f>
        <v>3383.8</v>
      </c>
      <c r="C995" s="3">
        <f t="shared" ca="1" si="30"/>
        <v>-6.5762433210027711E-3</v>
      </c>
      <c r="D995">
        <f t="shared" ca="1" si="29"/>
        <v>3461.5857142857135</v>
      </c>
    </row>
    <row r="996" spans="1:4" x14ac:dyDescent="0.25">
      <c r="A996" s="2">
        <f ca="1">IFERROR(__xludf.DUMMYFUNCTION("""COMPUTED_VALUE"""),45848.6458333333)</f>
        <v>45848.645833333299</v>
      </c>
      <c r="B996" s="1">
        <f ca="1">IFERROR(__xludf.DUMMYFUNCTION("""COMPUTED_VALUE"""),3382)</f>
        <v>3382</v>
      </c>
      <c r="C996" s="3">
        <f t="shared" ca="1" si="30"/>
        <v>-5.3194633252561668E-4</v>
      </c>
      <c r="D996">
        <f t="shared" ca="1" si="29"/>
        <v>3460.1591836734688</v>
      </c>
    </row>
    <row r="997" spans="1:4" x14ac:dyDescent="0.25">
      <c r="A997" s="2">
        <f ca="1">IFERROR(__xludf.DUMMYFUNCTION("""COMPUTED_VALUE"""),45849.6458333333)</f>
        <v>45849.645833333299</v>
      </c>
      <c r="B997" s="1">
        <f ca="1">IFERROR(__xludf.DUMMYFUNCTION("""COMPUTED_VALUE"""),3266)</f>
        <v>3266</v>
      </c>
      <c r="C997" s="3">
        <f t="shared" ca="1" si="30"/>
        <v>-3.4299231224127737E-2</v>
      </c>
      <c r="D997">
        <f t="shared" ca="1" si="29"/>
        <v>3458.8795918367337</v>
      </c>
    </row>
    <row r="998" spans="1:4" x14ac:dyDescent="0.25">
      <c r="A998" s="2">
        <f ca="1">IFERROR(__xludf.DUMMYFUNCTION("""COMPUTED_VALUE"""),45852.6458333333)</f>
        <v>45852.645833333299</v>
      </c>
      <c r="B998" s="1">
        <f ca="1">IFERROR(__xludf.DUMMYFUNCTION("""COMPUTED_VALUE"""),3222.7)</f>
        <v>3222.7</v>
      </c>
      <c r="C998" s="3">
        <f t="shared" ca="1" si="30"/>
        <v>-1.3257807715860435E-2</v>
      </c>
      <c r="D998">
        <f t="shared" ca="1" si="29"/>
        <v>3455.0367346938765</v>
      </c>
    </row>
    <row r="999" spans="1:4" x14ac:dyDescent="0.25">
      <c r="A999" s="2">
        <f ca="1">IFERROR(__xludf.DUMMYFUNCTION("""COMPUTED_VALUE"""),45853.6458333333)</f>
        <v>45853.645833333299</v>
      </c>
      <c r="B999" s="1">
        <f ca="1">IFERROR(__xludf.DUMMYFUNCTION("""COMPUTED_VALUE"""),3252.3)</f>
        <v>3252.3</v>
      </c>
      <c r="C999" s="3">
        <f t="shared" ca="1" si="30"/>
        <v>9.1848450057406411E-3</v>
      </c>
      <c r="D999">
        <f t="shared" ca="1" si="29"/>
        <v>3450.1938775510198</v>
      </c>
    </row>
    <row r="1000" spans="1:4" x14ac:dyDescent="0.25">
      <c r="A1000" s="2">
        <f ca="1">IFERROR(__xludf.DUMMYFUNCTION("""COMPUTED_VALUE"""),45854.6458333333)</f>
        <v>45854.645833333299</v>
      </c>
      <c r="B1000" s="1">
        <f ca="1">IFERROR(__xludf.DUMMYFUNCTION("""COMPUTED_VALUE"""),3233.1)</f>
        <v>3233.1</v>
      </c>
      <c r="C1000" s="3">
        <f t="shared" ca="1" si="30"/>
        <v>-5.9035144359377281E-3</v>
      </c>
      <c r="D1000">
        <f t="shared" ca="1" si="29"/>
        <v>3446.2591836734682</v>
      </c>
    </row>
    <row r="1001" spans="1:4" x14ac:dyDescent="0.25">
      <c r="A1001" s="2">
        <f ca="1">IFERROR(__xludf.DUMMYFUNCTION("""COMPUTED_VALUE"""),45855.6458333333)</f>
        <v>45855.645833333299</v>
      </c>
      <c r="B1001" s="1">
        <f ca="1">IFERROR(__xludf.DUMMYFUNCTION("""COMPUTED_VALUE"""),3209.2)</f>
        <v>3209.2</v>
      </c>
      <c r="C1001" s="3">
        <f t="shared" ca="1" si="30"/>
        <v>-7.3922860412607375E-3</v>
      </c>
      <c r="D1001">
        <f t="shared" ca="1" si="29"/>
        <v>3441.8551020408158</v>
      </c>
    </row>
    <row r="1002" spans="1:4" x14ac:dyDescent="0.25">
      <c r="A1002" s="2">
        <f ca="1">IFERROR(__xludf.DUMMYFUNCTION("""COMPUTED_VALUE"""),45856.6458333333)</f>
        <v>45856.645833333299</v>
      </c>
      <c r="B1002" s="1">
        <f ca="1">IFERROR(__xludf.DUMMYFUNCTION("""COMPUTED_VALUE"""),3189.9)</f>
        <v>3189.9</v>
      </c>
      <c r="C1002" s="3">
        <f t="shared" ca="1" si="30"/>
        <v>-6.0139598653869281E-3</v>
      </c>
      <c r="D1002">
        <f t="shared" ca="1" si="29"/>
        <v>3437.1387755102037</v>
      </c>
    </row>
    <row r="1003" spans="1:4" x14ac:dyDescent="0.25">
      <c r="A1003" s="2">
        <f ca="1">IFERROR(__xludf.DUMMYFUNCTION("""COMPUTED_VALUE"""),45859.6458333333)</f>
        <v>45859.645833333299</v>
      </c>
      <c r="B1003" s="1">
        <f ca="1">IFERROR(__xludf.DUMMYFUNCTION("""COMPUTED_VALUE"""),3158.2)</f>
        <v>3158.2</v>
      </c>
      <c r="C1003" s="3">
        <f t="shared" ca="1" si="30"/>
        <v>-9.9376155992351705E-3</v>
      </c>
      <c r="D1003">
        <f t="shared" ca="1" si="29"/>
        <v>3428.3530612244895</v>
      </c>
    </row>
    <row r="1004" spans="1:4" x14ac:dyDescent="0.25">
      <c r="A1004" s="2">
        <f ca="1">IFERROR(__xludf.DUMMYFUNCTION("""COMPUTED_VALUE"""),45860.6458333333)</f>
        <v>45860.645833333299</v>
      </c>
      <c r="B1004" s="1">
        <f ca="1">IFERROR(__xludf.DUMMYFUNCTION("""COMPUTED_VALUE"""),3159.6)</f>
        <v>3159.6</v>
      </c>
      <c r="C1004" s="3">
        <f t="shared" ca="1" si="30"/>
        <v>4.4329048192010988E-4</v>
      </c>
      <c r="D1004">
        <f t="shared" ca="1" si="29"/>
        <v>3421.0714285714284</v>
      </c>
    </row>
    <row r="1005" spans="1:4" x14ac:dyDescent="0.25">
      <c r="A1005" s="2">
        <f ca="1">IFERROR(__xludf.DUMMYFUNCTION("""COMPUTED_VALUE"""),45861.6458333333)</f>
        <v>45861.645833333299</v>
      </c>
      <c r="B1005" s="1">
        <f ca="1">IFERROR(__xludf.DUMMYFUNCTION("""COMPUTED_VALUE"""),3179.1)</f>
        <v>3179.1</v>
      </c>
      <c r="C1005" s="3">
        <f t="shared" ca="1" si="30"/>
        <v>6.171667299658185E-3</v>
      </c>
      <c r="D1005">
        <f t="shared" ca="1" si="29"/>
        <v>3413.1306122448987</v>
      </c>
    </row>
    <row r="1006" spans="1:4" x14ac:dyDescent="0.25">
      <c r="A1006" s="2">
        <f ca="1">IFERROR(__xludf.DUMMYFUNCTION("""COMPUTED_VALUE"""),45862.6458333333)</f>
        <v>45862.645833333299</v>
      </c>
      <c r="B1006" s="1">
        <f ca="1">IFERROR(__xludf.DUMMYFUNCTION("""COMPUTED_VALUE"""),3148)</f>
        <v>3148</v>
      </c>
      <c r="C1006" s="3">
        <f t="shared" ca="1" si="30"/>
        <v>-9.7826428863514552E-3</v>
      </c>
      <c r="D1006">
        <f t="shared" ca="1" si="29"/>
        <v>3404.9510204081639</v>
      </c>
    </row>
    <row r="1007" spans="1:4" x14ac:dyDescent="0.25">
      <c r="A1007" s="2">
        <f ca="1">IFERROR(__xludf.DUMMYFUNCTION("""COMPUTED_VALUE"""),45863.6458333333)</f>
        <v>45863.645833333299</v>
      </c>
      <c r="B1007" s="1">
        <f ca="1">IFERROR(__xludf.DUMMYFUNCTION("""COMPUTED_VALUE"""),3135.8)</f>
        <v>3135.8</v>
      </c>
      <c r="C1007" s="3">
        <f t="shared" ca="1" si="30"/>
        <v>-3.8754764930113779E-3</v>
      </c>
      <c r="D1007">
        <f t="shared" ca="1" si="29"/>
        <v>3396.5163265306132</v>
      </c>
    </row>
    <row r="1008" spans="1:4" x14ac:dyDescent="0.25">
      <c r="A1008" s="2">
        <f ca="1">IFERROR(__xludf.DUMMYFUNCTION("""COMPUTED_VALUE"""),45866.6458333333)</f>
        <v>45866.645833333299</v>
      </c>
      <c r="B1008" s="1">
        <f ca="1">IFERROR(__xludf.DUMMYFUNCTION("""COMPUTED_VALUE"""),3079.3)</f>
        <v>3079.3</v>
      </c>
      <c r="C1008" s="3">
        <f t="shared" ca="1" si="30"/>
        <v>-1.8017730722622614E-2</v>
      </c>
      <c r="D1008">
        <f t="shared" ca="1" si="29"/>
        <v>3388.7000000000007</v>
      </c>
    </row>
    <row r="1009" spans="1:4" x14ac:dyDescent="0.25">
      <c r="A1009" s="2">
        <f ca="1">IFERROR(__xludf.DUMMYFUNCTION("""COMPUTED_VALUE"""),45867.6458333333)</f>
        <v>45867.645833333299</v>
      </c>
      <c r="B1009" s="1">
        <f ca="1">IFERROR(__xludf.DUMMYFUNCTION("""COMPUTED_VALUE"""),3056)</f>
        <v>3056</v>
      </c>
      <c r="C1009" s="3">
        <f t="shared" ca="1" si="30"/>
        <v>-7.5666547591985781E-3</v>
      </c>
      <c r="D1009">
        <f t="shared" ca="1" si="29"/>
        <v>3380.1489795918369</v>
      </c>
    </row>
    <row r="1010" spans="1:4" x14ac:dyDescent="0.25">
      <c r="A1010" s="2">
        <f ca="1">IFERROR(__xludf.DUMMYFUNCTION("""COMPUTED_VALUE"""),45868.6458333333)</f>
        <v>45868.645833333299</v>
      </c>
      <c r="B1010" s="1">
        <f ca="1">IFERROR(__xludf.DUMMYFUNCTION("""COMPUTED_VALUE"""),3053.6)</f>
        <v>3053.6</v>
      </c>
      <c r="C1010" s="3">
        <f t="shared" ca="1" si="30"/>
        <v>-7.8534031413615539E-4</v>
      </c>
      <c r="D1010">
        <f t="shared" ca="1" si="29"/>
        <v>3370.5612244897961</v>
      </c>
    </row>
    <row r="1011" spans="1:4" x14ac:dyDescent="0.25">
      <c r="A1011" s="2">
        <f ca="1">IFERROR(__xludf.DUMMYFUNCTION("""COMPUTED_VALUE"""),45869.6458333333)</f>
        <v>45869.645833333299</v>
      </c>
      <c r="B1011" s="1">
        <f ca="1">IFERROR(__xludf.DUMMYFUNCTION("""COMPUTED_VALUE"""),3036.8)</f>
        <v>3036.8</v>
      </c>
      <c r="C1011" s="3">
        <f t="shared" ca="1" si="30"/>
        <v>-5.5017029080428768E-3</v>
      </c>
      <c r="D1011">
        <f t="shared" ca="1" si="29"/>
        <v>3361.9204081632661</v>
      </c>
    </row>
    <row r="1012" spans="1:4" x14ac:dyDescent="0.25">
      <c r="A1012" s="2">
        <f ca="1">IFERROR(__xludf.DUMMYFUNCTION("""COMPUTED_VALUE"""),45870.6458333333)</f>
        <v>45870.645833333299</v>
      </c>
      <c r="B1012" s="1">
        <f ca="1">IFERROR(__xludf.DUMMYFUNCTION("""COMPUTED_VALUE"""),3003)</f>
        <v>3003</v>
      </c>
      <c r="C1012" s="3">
        <f t="shared" ca="1" si="30"/>
        <v>-1.113013698630143E-2</v>
      </c>
      <c r="D1012">
        <f t="shared" ref="D1012:D1075" ca="1" si="31">AVERAGE(B963:B1011)</f>
        <v>3352.1693877551024</v>
      </c>
    </row>
    <row r="1013" spans="1:4" x14ac:dyDescent="0.25">
      <c r="A1013" s="2">
        <f ca="1">IFERROR(__xludf.DUMMYFUNCTION("""COMPUTED_VALUE"""),45873.6458333333)</f>
        <v>45873.645833333299</v>
      </c>
      <c r="B1013" s="1">
        <f ca="1">IFERROR(__xludf.DUMMYFUNCTION("""COMPUTED_VALUE"""),3074.4)</f>
        <v>3074.4</v>
      </c>
      <c r="C1013" s="3">
        <f t="shared" ca="1" si="30"/>
        <v>2.3776223776223807E-2</v>
      </c>
      <c r="D1013">
        <f t="shared" ca="1" si="31"/>
        <v>3341.2653061224491</v>
      </c>
    </row>
    <row r="1014" spans="1:4" x14ac:dyDescent="0.25">
      <c r="A1014" s="2">
        <f ca="1">IFERROR(__xludf.DUMMYFUNCTION("""COMPUTED_VALUE"""),45874.6458333333)</f>
        <v>45874.645833333299</v>
      </c>
      <c r="B1014" s="1">
        <f ca="1">IFERROR(__xludf.DUMMYFUNCTION("""COMPUTED_VALUE"""),3063.9)</f>
        <v>3063.9</v>
      </c>
      <c r="C1014" s="3">
        <f t="shared" ca="1" si="30"/>
        <v>-3.4153005464480873E-3</v>
      </c>
      <c r="D1014">
        <f t="shared" ca="1" si="31"/>
        <v>3332.606122448979</v>
      </c>
    </row>
    <row r="1015" spans="1:4" x14ac:dyDescent="0.25">
      <c r="A1015" s="2">
        <f ca="1">IFERROR(__xludf.DUMMYFUNCTION("""COMPUTED_VALUE"""),45875.6458333333)</f>
        <v>45875.645833333299</v>
      </c>
      <c r="B1015" s="1">
        <f ca="1">IFERROR(__xludf.DUMMYFUNCTION("""COMPUTED_VALUE"""),3032.3)</f>
        <v>3032.3</v>
      </c>
      <c r="C1015" s="3">
        <f t="shared" ca="1" si="30"/>
        <v>-1.0313652534351613E-2</v>
      </c>
      <c r="D1015">
        <f t="shared" ca="1" si="31"/>
        <v>3323.7530612244891</v>
      </c>
    </row>
    <row r="1016" spans="1:4" x14ac:dyDescent="0.25">
      <c r="A1016" s="2">
        <f ca="1">IFERROR(__xludf.DUMMYFUNCTION("""COMPUTED_VALUE"""),45876.6458333333)</f>
        <v>45876.645833333299</v>
      </c>
      <c r="B1016" s="1">
        <f ca="1">IFERROR(__xludf.DUMMYFUNCTION("""COMPUTED_VALUE"""),3047)</f>
        <v>3047</v>
      </c>
      <c r="C1016" s="3">
        <f t="shared" ca="1" si="30"/>
        <v>4.8478052963096714E-3</v>
      </c>
      <c r="D1016">
        <f t="shared" ca="1" si="31"/>
        <v>3314.2469387755095</v>
      </c>
    </row>
    <row r="1017" spans="1:4" x14ac:dyDescent="0.25">
      <c r="A1017" s="2">
        <f ca="1">IFERROR(__xludf.DUMMYFUNCTION("""COMPUTED_VALUE"""),45877.6458333333)</f>
        <v>45877.645833333299</v>
      </c>
      <c r="B1017" s="1">
        <f ca="1">IFERROR(__xludf.DUMMYFUNCTION("""COMPUTED_VALUE"""),3036.4)</f>
        <v>3036.4</v>
      </c>
      <c r="C1017" s="3">
        <f t="shared" ca="1" si="30"/>
        <v>-3.478831637676373E-3</v>
      </c>
      <c r="D1017">
        <f t="shared" ca="1" si="31"/>
        <v>3305.7489795918364</v>
      </c>
    </row>
    <row r="1018" spans="1:4" x14ac:dyDescent="0.25">
      <c r="A1018" s="2">
        <f ca="1">IFERROR(__xludf.DUMMYFUNCTION("""COMPUTED_VALUE"""),45880.6458333333)</f>
        <v>45880.645833333299</v>
      </c>
      <c r="B1018" s="1">
        <f ca="1">IFERROR(__xludf.DUMMYFUNCTION("""COMPUTED_VALUE"""),3040.8)</f>
        <v>3040.8</v>
      </c>
      <c r="C1018" s="3">
        <f t="shared" ca="1" si="30"/>
        <v>1.4490844421025197E-3</v>
      </c>
      <c r="D1018">
        <f t="shared" ca="1" si="31"/>
        <v>3297.3122448979589</v>
      </c>
    </row>
    <row r="1019" spans="1:4" x14ac:dyDescent="0.25">
      <c r="A1019" s="2">
        <f ca="1">IFERROR(__xludf.DUMMYFUNCTION("""COMPUTED_VALUE"""),45881.6458333333)</f>
        <v>45881.645833333299</v>
      </c>
      <c r="B1019" s="1">
        <f ca="1">IFERROR(__xludf.DUMMYFUNCTION("""COMPUTED_VALUE"""),3035.4)</f>
        <v>3035.4</v>
      </c>
      <c r="C1019" s="3">
        <f t="shared" ca="1" si="30"/>
        <v>-1.7758484609313636E-3</v>
      </c>
      <c r="D1019">
        <f t="shared" ca="1" si="31"/>
        <v>3289.8755102040809</v>
      </c>
    </row>
    <row r="1020" spans="1:4" x14ac:dyDescent="0.25">
      <c r="A1020" s="2">
        <f ca="1">IFERROR(__xludf.DUMMYFUNCTION("""COMPUTED_VALUE"""),45882.6458333333)</f>
        <v>45882.645833333299</v>
      </c>
      <c r="B1020" s="1">
        <f ca="1">IFERROR(__xludf.DUMMYFUNCTION("""COMPUTED_VALUE"""),3036.2)</f>
        <v>3036.2</v>
      </c>
      <c r="C1020" s="3">
        <f t="shared" ca="1" si="30"/>
        <v>2.6355669763448872E-4</v>
      </c>
      <c r="D1020">
        <f t="shared" ca="1" si="31"/>
        <v>3282.8244897959175</v>
      </c>
    </row>
    <row r="1021" spans="1:4" x14ac:dyDescent="0.25">
      <c r="A1021" s="2">
        <f ca="1">IFERROR(__xludf.DUMMYFUNCTION("""COMPUTED_VALUE"""),45883.6458333333)</f>
        <v>45883.645833333299</v>
      </c>
      <c r="B1021" s="1">
        <f ca="1">IFERROR(__xludf.DUMMYFUNCTION("""COMPUTED_VALUE"""),3022.3)</f>
        <v>3022.3</v>
      </c>
      <c r="C1021" s="3">
        <f t="shared" ca="1" si="30"/>
        <v>-4.5780910348460699E-3</v>
      </c>
      <c r="D1021">
        <f t="shared" ca="1" si="31"/>
        <v>3275.9897959183668</v>
      </c>
    </row>
    <row r="1022" spans="1:4" x14ac:dyDescent="0.25">
      <c r="A1022" s="2">
        <f ca="1">IFERROR(__xludf.DUMMYFUNCTION("""COMPUTED_VALUE"""),45887.6458333333)</f>
        <v>45887.645833333299</v>
      </c>
      <c r="B1022" s="1">
        <f ca="1">IFERROR(__xludf.DUMMYFUNCTION("""COMPUTED_VALUE"""),3011.2)</f>
        <v>3011.2</v>
      </c>
      <c r="C1022" s="3">
        <f t="shared" ca="1" si="30"/>
        <v>-3.6726995996427766E-3</v>
      </c>
      <c r="D1022">
        <f t="shared" ca="1" si="31"/>
        <v>3268.6040816326527</v>
      </c>
    </row>
    <row r="1023" spans="1:4" x14ac:dyDescent="0.25">
      <c r="A1023" s="2">
        <f ca="1">IFERROR(__xludf.DUMMYFUNCTION("""COMPUTED_VALUE"""),45888.6458333333)</f>
        <v>45888.645833333299</v>
      </c>
      <c r="B1023" s="1">
        <f ca="1">IFERROR(__xludf.DUMMYFUNCTION("""COMPUTED_VALUE"""),3016.2)</f>
        <v>3016.2</v>
      </c>
      <c r="C1023" s="3">
        <f t="shared" ca="1" si="30"/>
        <v>1.6604675876726888E-3</v>
      </c>
      <c r="D1023">
        <f t="shared" ca="1" si="31"/>
        <v>3260.2224489795917</v>
      </c>
    </row>
    <row r="1024" spans="1:4" x14ac:dyDescent="0.25">
      <c r="A1024" s="2">
        <f ca="1">IFERROR(__xludf.DUMMYFUNCTION("""COMPUTED_VALUE"""),45889.6458333333)</f>
        <v>45889.645833333299</v>
      </c>
      <c r="B1024" s="1">
        <f ca="1">IFERROR(__xludf.DUMMYFUNCTION("""COMPUTED_VALUE"""),3098.6)</f>
        <v>3098.6</v>
      </c>
      <c r="C1024" s="3">
        <f t="shared" ca="1" si="30"/>
        <v>2.731914329288512E-2</v>
      </c>
      <c r="D1024">
        <f t="shared" ca="1" si="31"/>
        <v>3251.1061224489799</v>
      </c>
    </row>
    <row r="1025" spans="1:4" x14ac:dyDescent="0.25">
      <c r="A1025" s="2">
        <f ca="1">IFERROR(__xludf.DUMMYFUNCTION("""COMPUTED_VALUE"""),45890.6458333333)</f>
        <v>45890.645833333299</v>
      </c>
      <c r="B1025" s="1">
        <f ca="1">IFERROR(__xludf.DUMMYFUNCTION("""COMPUTED_VALUE"""),3102.6)</f>
        <v>3102.6</v>
      </c>
      <c r="C1025" s="3">
        <f t="shared" ca="1" si="30"/>
        <v>1.2909055702575356E-3</v>
      </c>
      <c r="D1025">
        <f t="shared" ca="1" si="31"/>
        <v>3243.4877551020413</v>
      </c>
    </row>
    <row r="1026" spans="1:4" x14ac:dyDescent="0.25">
      <c r="A1026" s="2">
        <f ca="1">IFERROR(__xludf.DUMMYFUNCTION("""COMPUTED_VALUE"""),45891.6458333333)</f>
        <v>45891.645833333299</v>
      </c>
      <c r="B1026" s="1">
        <f ca="1">IFERROR(__xludf.DUMMYFUNCTION("""COMPUTED_VALUE"""),3054)</f>
        <v>3054</v>
      </c>
      <c r="C1026" s="3">
        <f t="shared" ca="1" si="30"/>
        <v>-1.5664281570295851E-2</v>
      </c>
      <c r="D1026">
        <f t="shared" ca="1" si="31"/>
        <v>3236.7204081632658</v>
      </c>
    </row>
    <row r="1027" spans="1:4" x14ac:dyDescent="0.25">
      <c r="A1027" s="2">
        <f ca="1">IFERROR(__xludf.DUMMYFUNCTION("""COMPUTED_VALUE"""),45894.6458333333)</f>
        <v>45894.645833333299</v>
      </c>
      <c r="B1027" s="1">
        <f ca="1">IFERROR(__xludf.DUMMYFUNCTION("""COMPUTED_VALUE"""),3140.6)</f>
        <v>3140.6</v>
      </c>
      <c r="C1027" s="3">
        <f t="shared" ca="1" si="30"/>
        <v>2.8356254092992767E-2</v>
      </c>
      <c r="D1027">
        <f t="shared" ca="1" si="31"/>
        <v>3228.7265306122458</v>
      </c>
    </row>
    <row r="1028" spans="1:4" x14ac:dyDescent="0.25">
      <c r="A1028" s="2">
        <f ca="1">IFERROR(__xludf.DUMMYFUNCTION("""COMPUTED_VALUE"""),45895.6458333333)</f>
        <v>45895.645833333299</v>
      </c>
      <c r="B1028" s="1">
        <f ca="1">IFERROR(__xludf.DUMMYFUNCTION("""COMPUTED_VALUE"""),3157.2)</f>
        <v>3157.2</v>
      </c>
      <c r="C1028" s="3">
        <f t="shared" ref="C1028:C1091" ca="1" si="32">(B1028-B1027)/B1027</f>
        <v>5.2856142138444596E-3</v>
      </c>
      <c r="D1028">
        <f t="shared" ca="1" si="31"/>
        <v>3221.4673469387767</v>
      </c>
    </row>
    <row r="1029" spans="1:4" x14ac:dyDescent="0.25">
      <c r="A1029" s="2">
        <f ca="1">IFERROR(__xludf.DUMMYFUNCTION("""COMPUTED_VALUE"""),45897.6458333333)</f>
        <v>45897.645833333299</v>
      </c>
      <c r="B1029" s="1">
        <f ca="1">IFERROR(__xludf.DUMMYFUNCTION("""COMPUTED_VALUE"""),3093.7)</f>
        <v>3093.7</v>
      </c>
      <c r="C1029" s="3">
        <f t="shared" ca="1" si="32"/>
        <v>-2.011275814012416E-2</v>
      </c>
      <c r="D1029">
        <f t="shared" ca="1" si="31"/>
        <v>3214.1591836734701</v>
      </c>
    </row>
    <row r="1030" spans="1:4" x14ac:dyDescent="0.25">
      <c r="A1030" s="2">
        <f ca="1">IFERROR(__xludf.DUMMYFUNCTION("""COMPUTED_VALUE"""),45898.6458333333)</f>
        <v>45898.645833333299</v>
      </c>
      <c r="B1030" s="1">
        <f ca="1">IFERROR(__xludf.DUMMYFUNCTION("""COMPUTED_VALUE"""),3084.7)</f>
        <v>3084.7</v>
      </c>
      <c r="C1030" s="3">
        <f t="shared" ca="1" si="32"/>
        <v>-2.9091379254614219E-3</v>
      </c>
      <c r="D1030">
        <f t="shared" ca="1" si="31"/>
        <v>3206.8591836734709</v>
      </c>
    </row>
    <row r="1031" spans="1:4" x14ac:dyDescent="0.25">
      <c r="A1031" s="2">
        <f ca="1">IFERROR(__xludf.DUMMYFUNCTION("""COMPUTED_VALUE"""),45901.6458333333)</f>
        <v>45901.645833333299</v>
      </c>
      <c r="B1031" s="1">
        <f ca="1">IFERROR(__xludf.DUMMYFUNCTION("""COMPUTED_VALUE"""),3112.6)</f>
        <v>3112.6</v>
      </c>
      <c r="C1031" s="3">
        <f t="shared" ca="1" si="32"/>
        <v>9.0446396732259508E-3</v>
      </c>
      <c r="D1031">
        <f t="shared" ca="1" si="31"/>
        <v>3199.9346938775525</v>
      </c>
    </row>
    <row r="1032" spans="1:4" x14ac:dyDescent="0.25">
      <c r="A1032" s="2">
        <f ca="1">IFERROR(__xludf.DUMMYFUNCTION("""COMPUTED_VALUE"""),45902.6458333333)</f>
        <v>45902.645833333299</v>
      </c>
      <c r="B1032" s="1">
        <f ca="1">IFERROR(__xludf.DUMMYFUNCTION("""COMPUTED_VALUE"""),3111.5)</f>
        <v>3111.5</v>
      </c>
      <c r="C1032" s="3">
        <f t="shared" ca="1" si="32"/>
        <v>-3.534023003276711E-4</v>
      </c>
      <c r="D1032">
        <f t="shared" ca="1" si="31"/>
        <v>3193.3408163265312</v>
      </c>
    </row>
    <row r="1033" spans="1:4" x14ac:dyDescent="0.25">
      <c r="A1033" s="2">
        <f ca="1">IFERROR(__xludf.DUMMYFUNCTION("""COMPUTED_VALUE"""),45903.6458333333)</f>
        <v>45903.645833333299</v>
      </c>
      <c r="B1033" s="1">
        <f ca="1">IFERROR(__xludf.DUMMYFUNCTION("""COMPUTED_VALUE"""),3097.5)</f>
        <v>3097.5</v>
      </c>
      <c r="C1033" s="3">
        <f t="shared" ca="1" si="32"/>
        <v>-4.4994375703037125E-3</v>
      </c>
      <c r="D1033">
        <f t="shared" ca="1" si="31"/>
        <v>3187.5836734693885</v>
      </c>
    </row>
    <row r="1034" spans="1:4" x14ac:dyDescent="0.25">
      <c r="A1034" s="2">
        <f ca="1">IFERROR(__xludf.DUMMYFUNCTION("""COMPUTED_VALUE"""),45904.6458333333)</f>
        <v>45904.645833333299</v>
      </c>
      <c r="B1034" s="1">
        <f ca="1">IFERROR(__xludf.DUMMYFUNCTION("""COMPUTED_VALUE"""),3095.7)</f>
        <v>3095.7</v>
      </c>
      <c r="C1034" s="3">
        <f t="shared" ca="1" si="32"/>
        <v>-5.8111380145284318E-4</v>
      </c>
      <c r="D1034">
        <f t="shared" ca="1" si="31"/>
        <v>3181.6061224489808</v>
      </c>
    </row>
    <row r="1035" spans="1:4" x14ac:dyDescent="0.25">
      <c r="A1035" s="2">
        <f ca="1">IFERROR(__xludf.DUMMYFUNCTION("""COMPUTED_VALUE"""),45905.6458333333)</f>
        <v>45905.645833333299</v>
      </c>
      <c r="B1035" s="1">
        <f ca="1">IFERROR(__xludf.DUMMYFUNCTION("""COMPUTED_VALUE"""),3048.3)</f>
        <v>3048.3</v>
      </c>
      <c r="C1035" s="3">
        <f t="shared" ca="1" si="32"/>
        <v>-1.5311561197790367E-2</v>
      </c>
      <c r="D1035">
        <f t="shared" ca="1" si="31"/>
        <v>3174.4816326530618</v>
      </c>
    </row>
    <row r="1036" spans="1:4" x14ac:dyDescent="0.25">
      <c r="A1036" s="2">
        <f ca="1">IFERROR(__xludf.DUMMYFUNCTION("""COMPUTED_VALUE"""),45908.6458333333)</f>
        <v>45908.645833333299</v>
      </c>
      <c r="B1036" s="1">
        <f ca="1">IFERROR(__xludf.DUMMYFUNCTION("""COMPUTED_VALUE"""),3019)</f>
        <v>3019</v>
      </c>
      <c r="C1036" s="3">
        <f t="shared" ca="1" si="32"/>
        <v>-9.6119148377784933E-3</v>
      </c>
      <c r="D1036">
        <f t="shared" ca="1" si="31"/>
        <v>3166.4510204081639</v>
      </c>
    </row>
    <row r="1037" spans="1:4" x14ac:dyDescent="0.25">
      <c r="A1037" s="2">
        <f ca="1">IFERROR(__xludf.DUMMYFUNCTION("""COMPUTED_VALUE"""),45909.6458333333)</f>
        <v>45909.645833333299</v>
      </c>
      <c r="B1037" s="1">
        <f ca="1">IFERROR(__xludf.DUMMYFUNCTION("""COMPUTED_VALUE"""),3049.4)</f>
        <v>3049.4</v>
      </c>
      <c r="C1037" s="3">
        <f t="shared" ca="1" si="32"/>
        <v>1.0069559456773796E-2</v>
      </c>
      <c r="D1037">
        <f t="shared" ca="1" si="31"/>
        <v>3157.836734693878</v>
      </c>
    </row>
    <row r="1038" spans="1:4" x14ac:dyDescent="0.25">
      <c r="A1038" s="2">
        <f ca="1">IFERROR(__xludf.DUMMYFUNCTION("""COMPUTED_VALUE"""),45910.6458333333)</f>
        <v>45910.645833333299</v>
      </c>
      <c r="B1038" s="1">
        <f ca="1">IFERROR(__xludf.DUMMYFUNCTION("""COMPUTED_VALUE"""),3110)</f>
        <v>3110</v>
      </c>
      <c r="C1038" s="3">
        <f t="shared" ca="1" si="32"/>
        <v>1.9872761854791077E-2</v>
      </c>
      <c r="D1038">
        <f t="shared" ca="1" si="31"/>
        <v>3149.416326530612</v>
      </c>
    </row>
    <row r="1039" spans="1:4" x14ac:dyDescent="0.25">
      <c r="A1039" s="2">
        <f ca="1">IFERROR(__xludf.DUMMYFUNCTION("""COMPUTED_VALUE"""),45911.6458333333)</f>
        <v>45911.645833333299</v>
      </c>
      <c r="B1039" s="1">
        <f ca="1">IFERROR(__xludf.DUMMYFUNCTION("""COMPUTED_VALUE"""),3124.2)</f>
        <v>3124.2</v>
      </c>
      <c r="C1039" s="3">
        <f t="shared" ca="1" si="32"/>
        <v>4.5659163987137675E-3</v>
      </c>
      <c r="D1039">
        <f t="shared" ca="1" si="31"/>
        <v>3142.8918367346937</v>
      </c>
    </row>
    <row r="1040" spans="1:4" x14ac:dyDescent="0.25">
      <c r="A1040" s="2">
        <f ca="1">IFERROR(__xludf.DUMMYFUNCTION("""COMPUTED_VALUE"""),45912.6458333333)</f>
        <v>45912.645833333299</v>
      </c>
      <c r="B1040" s="1">
        <f ca="1">IFERROR(__xludf.DUMMYFUNCTION("""COMPUTED_VALUE"""),3133.4)</f>
        <v>3133.4</v>
      </c>
      <c r="C1040" s="3">
        <f t="shared" ca="1" si="32"/>
        <v>2.9447538569874762E-3</v>
      </c>
      <c r="D1040">
        <f t="shared" ca="1" si="31"/>
        <v>3136.787755102041</v>
      </c>
    </row>
    <row r="1041" spans="1:4" x14ac:dyDescent="0.25">
      <c r="A1041" s="2">
        <f ca="1">IFERROR(__xludf.DUMMYFUNCTION("""COMPUTED_VALUE"""),45915.6458333333)</f>
        <v>45915.645833333299</v>
      </c>
      <c r="B1041" s="1">
        <f ca="1">IFERROR(__xludf.DUMMYFUNCTION("""COMPUTED_VALUE"""),3111.9)</f>
        <v>3111.9</v>
      </c>
      <c r="C1041" s="3">
        <f t="shared" ca="1" si="32"/>
        <v>-6.8615561371034653E-3</v>
      </c>
      <c r="D1041">
        <f t="shared" ca="1" si="31"/>
        <v>3131.330612244898</v>
      </c>
    </row>
    <row r="1042" spans="1:4" x14ac:dyDescent="0.25">
      <c r="A1042" s="2">
        <f ca="1">IFERROR(__xludf.DUMMYFUNCTION("""COMPUTED_VALUE"""),45916.6458333333)</f>
        <v>45916.645833333299</v>
      </c>
      <c r="B1042" s="1">
        <f ca="1">IFERROR(__xludf.DUMMYFUNCTION("""COMPUTED_VALUE"""),3145.7)</f>
        <v>3145.7</v>
      </c>
      <c r="C1042" s="3">
        <f t="shared" ca="1" si="32"/>
        <v>1.0861531540216501E-2</v>
      </c>
      <c r="D1042">
        <f t="shared" ca="1" si="31"/>
        <v>3125.0469387755102</v>
      </c>
    </row>
    <row r="1043" spans="1:4" x14ac:dyDescent="0.25">
      <c r="A1043" s="2">
        <f ca="1">IFERROR(__xludf.DUMMYFUNCTION("""COMPUTED_VALUE"""),45917.6458333333)</f>
        <v>45917.645833333299</v>
      </c>
      <c r="B1043" s="1">
        <f ca="1">IFERROR(__xludf.DUMMYFUNCTION("""COMPUTED_VALUE"""),3172.8)</f>
        <v>3172.8</v>
      </c>
      <c r="C1043" s="3">
        <f t="shared" ca="1" si="32"/>
        <v>8.6149346727279665E-3</v>
      </c>
      <c r="D1043">
        <f t="shared" ca="1" si="31"/>
        <v>3119.6183673469391</v>
      </c>
    </row>
    <row r="1044" spans="1:4" x14ac:dyDescent="0.25">
      <c r="A1044" s="2">
        <f ca="1">IFERROR(__xludf.DUMMYFUNCTION("""COMPUTED_VALUE"""),45918.6458333333)</f>
        <v>45918.645833333299</v>
      </c>
      <c r="B1044" s="1">
        <f ca="1">IFERROR(__xludf.DUMMYFUNCTION("""COMPUTED_VALUE"""),3176.7)</f>
        <v>3176.7</v>
      </c>
      <c r="C1044" s="3">
        <f t="shared" ca="1" si="32"/>
        <v>1.2291981845687205E-3</v>
      </c>
      <c r="D1044">
        <f t="shared" ca="1" si="31"/>
        <v>3114.8551020408167</v>
      </c>
    </row>
    <row r="1045" spans="1:4" x14ac:dyDescent="0.25">
      <c r="A1045" s="2">
        <f ca="1">IFERROR(__xludf.DUMMYFUNCTION("""COMPUTED_VALUE"""),45919.6458333333)</f>
        <v>45919.645833333299</v>
      </c>
      <c r="B1045" s="1">
        <f ca="1">IFERROR(__xludf.DUMMYFUNCTION("""COMPUTED_VALUE"""),3169.2)</f>
        <v>3169.2</v>
      </c>
      <c r="C1045" s="3">
        <f t="shared" ca="1" si="32"/>
        <v>-2.3609405987345361E-3</v>
      </c>
      <c r="D1045">
        <f t="shared" ca="1" si="31"/>
        <v>3110.6285714285718</v>
      </c>
    </row>
    <row r="1046" spans="1:4" x14ac:dyDescent="0.25">
      <c r="A1046" s="2">
        <f ca="1">IFERROR(__xludf.DUMMYFUNCTION("""COMPUTED_VALUE"""),45922.6458333333)</f>
        <v>45922.645833333299</v>
      </c>
      <c r="B1046" s="1">
        <f ca="1">IFERROR(__xludf.DUMMYFUNCTION("""COMPUTED_VALUE"""),3073.8)</f>
        <v>3073.8</v>
      </c>
      <c r="C1046" s="3">
        <f t="shared" ca="1" si="32"/>
        <v>-3.0102234002271754E-2</v>
      </c>
      <c r="D1046">
        <f t="shared" ca="1" si="31"/>
        <v>3106.2857142857147</v>
      </c>
    </row>
    <row r="1047" spans="1:4" x14ac:dyDescent="0.25">
      <c r="A1047" s="2">
        <f ca="1">IFERROR(__xludf.DUMMYFUNCTION("""COMPUTED_VALUE"""),45923.6458333333)</f>
        <v>45923.645833333299</v>
      </c>
      <c r="B1047" s="1">
        <f ca="1">IFERROR(__xludf.DUMMYFUNCTION("""COMPUTED_VALUE"""),3062.4)</f>
        <v>3062.4</v>
      </c>
      <c r="C1047" s="3">
        <f t="shared" ca="1" si="32"/>
        <v>-3.7087643958618292E-3</v>
      </c>
      <c r="D1047">
        <f t="shared" ca="1" si="31"/>
        <v>3102.3632653061227</v>
      </c>
    </row>
    <row r="1048" spans="1:4" x14ac:dyDescent="0.25">
      <c r="A1048" s="2">
        <f ca="1">IFERROR(__xludf.DUMMYFUNCTION("""COMPUTED_VALUE"""),45924.6458333333)</f>
        <v>45924.645833333299</v>
      </c>
      <c r="B1048" s="1">
        <f ca="1">IFERROR(__xludf.DUMMYFUNCTION("""COMPUTED_VALUE"""),3035.4)</f>
        <v>3035.4</v>
      </c>
      <c r="C1048" s="3">
        <f t="shared" ca="1" si="32"/>
        <v>-8.8166144200626951E-3</v>
      </c>
      <c r="D1048">
        <f t="shared" ca="1" si="31"/>
        <v>3099.091836734694</v>
      </c>
    </row>
    <row r="1049" spans="1:4" x14ac:dyDescent="0.25">
      <c r="A1049" s="2">
        <f ca="1">IFERROR(__xludf.DUMMYFUNCTION("""COMPUTED_VALUE"""),45925.6458333333)</f>
        <v>45925.645833333299</v>
      </c>
      <c r="B1049" s="1">
        <f ca="1">IFERROR(__xludf.DUMMYFUNCTION("""COMPUTED_VALUE"""),2957.4)</f>
        <v>2957.4</v>
      </c>
      <c r="C1049" s="3">
        <f t="shared" ca="1" si="32"/>
        <v>-2.5696778019371418E-2</v>
      </c>
      <c r="D1049">
        <f t="shared" ca="1" si="31"/>
        <v>3094.6653061224483</v>
      </c>
    </row>
    <row r="1050" spans="1:4" x14ac:dyDescent="0.25">
      <c r="A1050" s="2">
        <f ca="1">IFERROR(__xludf.DUMMYFUNCTION("""COMPUTED_VALUE"""),45926.6458333333)</f>
        <v>45926.645833333299</v>
      </c>
      <c r="B1050" s="1">
        <f ca="1">IFERROR(__xludf.DUMMYFUNCTION("""COMPUTED_VALUE"""),2899.1)</f>
        <v>2899.1</v>
      </c>
      <c r="C1050" s="3">
        <f t="shared" ca="1" si="32"/>
        <v>-1.9713261648745581E-2</v>
      </c>
      <c r="D1050">
        <f t="shared" ca="1" si="31"/>
        <v>3089.0387755102038</v>
      </c>
    </row>
    <row r="1051" spans="1:4" x14ac:dyDescent="0.25">
      <c r="A1051" s="2">
        <f ca="1">IFERROR(__xludf.DUMMYFUNCTION("""COMPUTED_VALUE"""),45929.6458333333)</f>
        <v>45929.645833333299</v>
      </c>
      <c r="B1051" s="1">
        <f ca="1">IFERROR(__xludf.DUMMYFUNCTION("""COMPUTED_VALUE"""),2896.1)</f>
        <v>2896.1</v>
      </c>
      <c r="C1051" s="3">
        <f t="shared" ca="1" si="32"/>
        <v>-1.0348039046600668E-3</v>
      </c>
      <c r="D1051">
        <f t="shared" ca="1" si="31"/>
        <v>3082.7102040816326</v>
      </c>
    </row>
    <row r="1052" spans="1:4" x14ac:dyDescent="0.25">
      <c r="A1052" s="2">
        <f ca="1">IFERROR(__xludf.DUMMYFUNCTION("""COMPUTED_VALUE"""),45930.6458333333)</f>
        <v>45930.645833333299</v>
      </c>
      <c r="B1052" s="1">
        <f ca="1">IFERROR(__xludf.DUMMYFUNCTION("""COMPUTED_VALUE"""),2888.4)</f>
        <v>2888.4</v>
      </c>
      <c r="C1052" s="3">
        <f t="shared" ca="1" si="32"/>
        <v>-2.6587479714097642E-3</v>
      </c>
      <c r="D1052">
        <f t="shared" ca="1" si="31"/>
        <v>3076.7142857142853</v>
      </c>
    </row>
    <row r="1053" spans="1:4" x14ac:dyDescent="0.25">
      <c r="A1053" s="2">
        <f ca="1">IFERROR(__xludf.DUMMYFUNCTION("""COMPUTED_VALUE"""),45931.6458333333)</f>
        <v>45931.645833333299</v>
      </c>
      <c r="B1053" s="1">
        <f ca="1">IFERROR(__xludf.DUMMYFUNCTION("""COMPUTED_VALUE"""),2914.2)</f>
        <v>2914.2</v>
      </c>
      <c r="C1053" s="3">
        <f t="shared" ca="1" si="32"/>
        <v>8.9322808475279479E-3</v>
      </c>
      <c r="D1053">
        <f t="shared" ca="1" si="31"/>
        <v>3071.2081632653053</v>
      </c>
    </row>
    <row r="1054" spans="1:4" x14ac:dyDescent="0.25">
      <c r="A1054" s="2">
        <f ca="1">IFERROR(__xludf.DUMMYFUNCTION("""COMPUTED_VALUE"""),45933.6458333333)</f>
        <v>45933.645833333299</v>
      </c>
      <c r="B1054" s="1">
        <f ca="1">IFERROR(__xludf.DUMMYFUNCTION("""COMPUTED_VALUE"""),2901.9)</f>
        <v>2901.9</v>
      </c>
      <c r="C1054" s="3">
        <f t="shared" ca="1" si="32"/>
        <v>-4.2207123738932564E-3</v>
      </c>
      <c r="D1054">
        <f t="shared" ca="1" si="31"/>
        <v>3066.2</v>
      </c>
    </row>
    <row r="1055" spans="1:4" x14ac:dyDescent="0.25">
      <c r="A1055" s="2">
        <f ca="1">IFERROR(__xludf.DUMMYFUNCTION("""COMPUTED_VALUE"""),45936.6458333333)</f>
        <v>45936.645833333299</v>
      </c>
      <c r="B1055" s="1">
        <f ca="1">IFERROR(__xludf.DUMMYFUNCTION("""COMPUTED_VALUE"""),2988.4)</f>
        <v>2988.4</v>
      </c>
      <c r="C1055" s="3">
        <f t="shared" ca="1" si="32"/>
        <v>2.9808056790378717E-2</v>
      </c>
      <c r="D1055">
        <f t="shared" ca="1" si="31"/>
        <v>3060.5428571428565</v>
      </c>
    </row>
    <row r="1056" spans="1:4" x14ac:dyDescent="0.25">
      <c r="A1056" s="2">
        <f ca="1">IFERROR(__xludf.DUMMYFUNCTION("""COMPUTED_VALUE"""),45937.6458333333)</f>
        <v>45937.645833333299</v>
      </c>
      <c r="B1056" s="1">
        <f ca="1">IFERROR(__xludf.DUMMYFUNCTION("""COMPUTED_VALUE"""),2973.7)</f>
        <v>2973.7</v>
      </c>
      <c r="C1056" s="3">
        <f t="shared" ca="1" si="32"/>
        <v>-4.9190202114844971E-3</v>
      </c>
      <c r="D1056">
        <f t="shared" ca="1" si="31"/>
        <v>3057.2857142857138</v>
      </c>
    </row>
    <row r="1057" spans="1:4" x14ac:dyDescent="0.25">
      <c r="A1057" s="2">
        <f ca="1">IFERROR(__xludf.DUMMYFUNCTION("""COMPUTED_VALUE"""),45938.6458333333)</f>
        <v>45938.645833333299</v>
      </c>
      <c r="B1057" s="1">
        <f ca="1">IFERROR(__xludf.DUMMYFUNCTION("""COMPUTED_VALUE"""),3027.2)</f>
        <v>3027.2</v>
      </c>
      <c r="C1057" s="3">
        <f t="shared" ca="1" si="32"/>
        <v>1.7991054914752665E-2</v>
      </c>
      <c r="D1057">
        <f t="shared" ca="1" si="31"/>
        <v>3053.9775510204076</v>
      </c>
    </row>
    <row r="1058" spans="1:4" x14ac:dyDescent="0.25">
      <c r="A1058" s="2">
        <f ca="1">IFERROR(__xludf.DUMMYFUNCTION("""COMPUTED_VALUE"""),45939.6458333333)</f>
        <v>45939.645833333299</v>
      </c>
      <c r="B1058" s="1">
        <f ca="1">IFERROR(__xludf.DUMMYFUNCTION("""COMPUTED_VALUE"""),3061.7)</f>
        <v>3061.7</v>
      </c>
      <c r="C1058" s="3">
        <f t="shared" ca="1" si="32"/>
        <v>1.1396670190274842E-2</v>
      </c>
      <c r="D1058">
        <f t="shared" ca="1" si="31"/>
        <v>3052.9142857142847</v>
      </c>
    </row>
    <row r="1059" spans="1:4" x14ac:dyDescent="0.25">
      <c r="A1059" s="2">
        <f ca="1">IFERROR(__xludf.DUMMYFUNCTION("""COMPUTED_VALUE"""),45940.6458333333)</f>
        <v>45940.645833333299</v>
      </c>
      <c r="B1059" s="1">
        <f ca="1">IFERROR(__xludf.DUMMYFUNCTION("""COMPUTED_VALUE"""),3028.3)</f>
        <v>3028.3</v>
      </c>
      <c r="C1059" s="3">
        <f t="shared" ca="1" si="32"/>
        <v>-1.0908972139660855E-2</v>
      </c>
      <c r="D1059">
        <f t="shared" ca="1" si="31"/>
        <v>3053.0306122448978</v>
      </c>
    </row>
    <row r="1060" spans="1:4" x14ac:dyDescent="0.25">
      <c r="A1060" s="2">
        <f ca="1">IFERROR(__xludf.DUMMYFUNCTION("""COMPUTED_VALUE"""),45943.6458333333)</f>
        <v>45943.645833333299</v>
      </c>
      <c r="B1060" s="1">
        <f ca="1">IFERROR(__xludf.DUMMYFUNCTION("""COMPUTED_VALUE"""),3007.2)</f>
        <v>3007.2</v>
      </c>
      <c r="C1060" s="3">
        <f t="shared" ca="1" si="32"/>
        <v>-6.9676055872933207E-3</v>
      </c>
      <c r="D1060">
        <f t="shared" ca="1" si="31"/>
        <v>3052.5142857142855</v>
      </c>
    </row>
    <row r="1061" spans="1:4" x14ac:dyDescent="0.25">
      <c r="A1061" s="2">
        <f ca="1">IFERROR(__xludf.DUMMYFUNCTION("""COMPUTED_VALUE"""),45944.6458333333)</f>
        <v>45944.645833333299</v>
      </c>
      <c r="B1061" s="1">
        <f ca="1">IFERROR(__xludf.DUMMYFUNCTION("""COMPUTED_VALUE"""),2960.3)</f>
        <v>2960.3</v>
      </c>
      <c r="C1061" s="3">
        <f t="shared" ca="1" si="32"/>
        <v>-1.5595903165735447E-2</v>
      </c>
      <c r="D1061">
        <f t="shared" ca="1" si="31"/>
        <v>3051.9102040816324</v>
      </c>
    </row>
    <row r="1062" spans="1:4" x14ac:dyDescent="0.25">
      <c r="A1062" s="2">
        <f ca="1">IFERROR(__xludf.DUMMYFUNCTION("""COMPUTED_VALUE"""),45945.6458333333)</f>
        <v>45945.645833333299</v>
      </c>
      <c r="B1062" s="1">
        <f ca="1">IFERROR(__xludf.DUMMYFUNCTION("""COMPUTED_VALUE"""),2969.8)</f>
        <v>2969.8</v>
      </c>
      <c r="C1062" s="3">
        <f t="shared" ca="1" si="32"/>
        <v>3.2091342093706716E-3</v>
      </c>
      <c r="D1062">
        <f t="shared" ca="1" si="31"/>
        <v>3051.0387755102033</v>
      </c>
    </row>
    <row r="1063" spans="1:4" x14ac:dyDescent="0.25">
      <c r="A1063" s="2">
        <f ca="1">IFERROR(__xludf.DUMMYFUNCTION("""COMPUTED_VALUE"""),45946.6458333333)</f>
        <v>45946.645833333299</v>
      </c>
      <c r="B1063" s="1">
        <f ca="1">IFERROR(__xludf.DUMMYFUNCTION("""COMPUTED_VALUE"""),2970.7)</f>
        <v>2970.7</v>
      </c>
      <c r="C1063" s="3">
        <f t="shared" ca="1" si="32"/>
        <v>3.0305071048543206E-4</v>
      </c>
      <c r="D1063">
        <f t="shared" ca="1" si="31"/>
        <v>3048.9040816326515</v>
      </c>
    </row>
    <row r="1064" spans="1:4" x14ac:dyDescent="0.25">
      <c r="A1064" s="2">
        <f ca="1">IFERROR(__xludf.DUMMYFUNCTION("""COMPUTED_VALUE"""),45947.6458333333)</f>
        <v>45947.645833333299</v>
      </c>
      <c r="B1064" s="1">
        <f ca="1">IFERROR(__xludf.DUMMYFUNCTION("""COMPUTED_VALUE"""),2962.2)</f>
        <v>2962.2</v>
      </c>
      <c r="C1064" s="3">
        <f t="shared" ca="1" si="32"/>
        <v>-2.8612784865519915E-3</v>
      </c>
      <c r="D1064">
        <f t="shared" ca="1" si="31"/>
        <v>3047.0020408163255</v>
      </c>
    </row>
    <row r="1065" spans="1:4" x14ac:dyDescent="0.25">
      <c r="A1065" s="2">
        <f ca="1">IFERROR(__xludf.DUMMYFUNCTION("""COMPUTED_VALUE"""),45950.6458333333)</f>
        <v>45950.645833333299</v>
      </c>
      <c r="B1065" s="1">
        <f ca="1">IFERROR(__xludf.DUMMYFUNCTION("""COMPUTED_VALUE"""),3015.2)</f>
        <v>3015.2</v>
      </c>
      <c r="C1065" s="3">
        <f t="shared" ca="1" si="32"/>
        <v>1.7892107217608536E-2</v>
      </c>
      <c r="D1065">
        <f t="shared" ca="1" si="31"/>
        <v>3045.5714285714275</v>
      </c>
    </row>
    <row r="1066" spans="1:4" x14ac:dyDescent="0.25">
      <c r="A1066" s="2">
        <f ca="1">IFERROR(__xludf.DUMMYFUNCTION("""COMPUTED_VALUE"""),45951.6458333333)</f>
        <v>45951.645833333299</v>
      </c>
      <c r="B1066" s="1">
        <f ca="1">IFERROR(__xludf.DUMMYFUNCTION("""COMPUTED_VALUE"""),3006.7)</f>
        <v>3006.7</v>
      </c>
      <c r="C1066" s="3">
        <f t="shared" ca="1" si="32"/>
        <v>-2.819050145927302E-3</v>
      </c>
      <c r="D1066">
        <f t="shared" ca="1" si="31"/>
        <v>3044.9224489795911</v>
      </c>
    </row>
    <row r="1067" spans="1:4" x14ac:dyDescent="0.25">
      <c r="A1067" s="2">
        <f ca="1">IFERROR(__xludf.DUMMYFUNCTION("""COMPUTED_VALUE"""),45953.6458333333)</f>
        <v>45953.645833333299</v>
      </c>
      <c r="B1067" s="1">
        <f ca="1">IFERROR(__xludf.DUMMYFUNCTION("""COMPUTED_VALUE"""),3073.2)</f>
        <v>3073.2</v>
      </c>
      <c r="C1067" s="3">
        <f t="shared" ca="1" si="32"/>
        <v>2.2117271427146042E-2</v>
      </c>
      <c r="D1067">
        <f t="shared" ca="1" si="31"/>
        <v>3044.3163265306116</v>
      </c>
    </row>
    <row r="1068" spans="1:4" x14ac:dyDescent="0.25">
      <c r="A1068" s="2">
        <f ca="1">IFERROR(__xludf.DUMMYFUNCTION("""COMPUTED_VALUE"""),45954.6458333333)</f>
        <v>45954.645833333299</v>
      </c>
      <c r="B1068" s="1">
        <f ca="1">IFERROR(__xludf.DUMMYFUNCTION("""COMPUTED_VALUE"""),3063.2)</f>
        <v>3063.2</v>
      </c>
      <c r="C1068" s="3">
        <f t="shared" ca="1" si="32"/>
        <v>-3.2539372640895486E-3</v>
      </c>
      <c r="D1068">
        <f t="shared" ca="1" si="31"/>
        <v>3044.9775510204081</v>
      </c>
    </row>
    <row r="1069" spans="1:4" x14ac:dyDescent="0.25">
      <c r="A1069" s="2">
        <f ca="1">IFERROR(__xludf.DUMMYFUNCTION("""COMPUTED_VALUE"""),45957.6458333333)</f>
        <v>45957.645833333299</v>
      </c>
      <c r="B1069" s="1">
        <f ca="1">IFERROR(__xludf.DUMMYFUNCTION("""COMPUTED_VALUE"""),3084.9)</f>
        <v>3084.9</v>
      </c>
      <c r="C1069" s="3">
        <f t="shared" ca="1" si="32"/>
        <v>7.084095063985464E-3</v>
      </c>
      <c r="D1069">
        <f t="shared" ca="1" si="31"/>
        <v>3045.5448979591847</v>
      </c>
    </row>
    <row r="1070" spans="1:4" x14ac:dyDescent="0.25">
      <c r="A1070" s="2">
        <f ca="1">IFERROR(__xludf.DUMMYFUNCTION("""COMPUTED_VALUE"""),45958.6458333333)</f>
        <v>45958.645833333299</v>
      </c>
      <c r="B1070" s="1">
        <f ca="1">IFERROR(__xludf.DUMMYFUNCTION("""COMPUTED_VALUE"""),3057.9)</f>
        <v>3057.9</v>
      </c>
      <c r="C1070" s="3">
        <f t="shared" ca="1" si="32"/>
        <v>-8.7523096372653895E-3</v>
      </c>
      <c r="D1070">
        <f t="shared" ca="1" si="31"/>
        <v>3046.5387755102047</v>
      </c>
    </row>
    <row r="1071" spans="1:4" x14ac:dyDescent="0.25">
      <c r="A1071" s="2">
        <f ca="1">IFERROR(__xludf.DUMMYFUNCTION("""COMPUTED_VALUE"""),45959.6458333333)</f>
        <v>45959.645833333299</v>
      </c>
      <c r="B1071" s="1">
        <f ca="1">IFERROR(__xludf.DUMMYFUNCTION("""COMPUTED_VALUE"""),3057.6)</f>
        <v>3057.6</v>
      </c>
      <c r="C1071" s="3">
        <f t="shared" ca="1" si="32"/>
        <v>-9.8106543706524707E-5</v>
      </c>
      <c r="D1071">
        <f t="shared" ca="1" si="31"/>
        <v>3047.2653061224491</v>
      </c>
    </row>
    <row r="1072" spans="1:4" x14ac:dyDescent="0.25">
      <c r="A1072" s="2">
        <f ca="1">IFERROR(__xludf.DUMMYFUNCTION("""COMPUTED_VALUE"""),45960.6458333333)</f>
        <v>45960.645833333299</v>
      </c>
      <c r="B1072" s="1">
        <f ca="1">IFERROR(__xludf.DUMMYFUNCTION("""COMPUTED_VALUE"""),3035.3)</f>
        <v>3035.3</v>
      </c>
      <c r="C1072" s="3">
        <f t="shared" ca="1" si="32"/>
        <v>-7.29330193615899E-3</v>
      </c>
      <c r="D1072">
        <f t="shared" ca="1" si="31"/>
        <v>3048.212244897959</v>
      </c>
    </row>
    <row r="1073" spans="1:4" x14ac:dyDescent="0.25">
      <c r="A1073" s="2">
        <f ca="1">IFERROR(__xludf.DUMMYFUNCTION("""COMPUTED_VALUE"""),45961.6458333333)</f>
        <v>45961.645833333299</v>
      </c>
      <c r="B1073" s="1">
        <f ca="1">IFERROR(__xludf.DUMMYFUNCTION("""COMPUTED_VALUE"""),3058)</f>
        <v>3058</v>
      </c>
      <c r="C1073" s="3">
        <f t="shared" ca="1" si="32"/>
        <v>7.4786676770005655E-3</v>
      </c>
      <c r="D1073">
        <f t="shared" ca="1" si="31"/>
        <v>3048.6020408163258</v>
      </c>
    </row>
    <row r="1074" spans="1:4" x14ac:dyDescent="0.25">
      <c r="A1074" s="2">
        <f ca="1">IFERROR(__xludf.DUMMYFUNCTION("""COMPUTED_VALUE"""),45964.6458333333)</f>
        <v>45964.645833333299</v>
      </c>
      <c r="B1074" s="1">
        <f ca="1">IFERROR(__xludf.DUMMYFUNCTION("""COMPUTED_VALUE"""),3016.8)</f>
        <v>3016.8</v>
      </c>
      <c r="C1074" s="3">
        <f t="shared" ca="1" si="32"/>
        <v>-1.3472858077174564E-2</v>
      </c>
      <c r="D1074">
        <f t="shared" ca="1" si="31"/>
        <v>3047.7734693877537</v>
      </c>
    </row>
    <row r="1075" spans="1:4" x14ac:dyDescent="0.25">
      <c r="A1075" s="2">
        <f ca="1">IFERROR(__xludf.DUMMYFUNCTION("""COMPUTED_VALUE"""),45965.6458333333)</f>
        <v>45965.645833333299</v>
      </c>
      <c r="B1075" s="1">
        <f ca="1">IFERROR(__xludf.DUMMYFUNCTION("""COMPUTED_VALUE"""),2990.2)</f>
        <v>2990.2</v>
      </c>
      <c r="C1075" s="3">
        <f t="shared" ca="1" si="32"/>
        <v>-8.8172898435429463E-3</v>
      </c>
      <c r="D1075">
        <f t="shared" ca="1" si="31"/>
        <v>3046.022448979591</v>
      </c>
    </row>
    <row r="1076" spans="1:4" x14ac:dyDescent="0.25">
      <c r="A1076" s="2">
        <f ca="1">IFERROR(__xludf.DUMMYFUNCTION("""COMPUTED_VALUE"""),45967.6458333333)</f>
        <v>45967.645833333299</v>
      </c>
      <c r="B1076" s="1">
        <f ca="1">IFERROR(__xludf.DUMMYFUNCTION("""COMPUTED_VALUE"""),3010.9)</f>
        <v>3010.9</v>
      </c>
      <c r="C1076" s="3">
        <f t="shared" ca="1" si="32"/>
        <v>6.9226138719818992E-3</v>
      </c>
      <c r="D1076">
        <f t="shared" ref="D1076:D1139" ca="1" si="33">AVERAGE(B1027:B1075)</f>
        <v>3044.7204081632644</v>
      </c>
    </row>
    <row r="1077" spans="1:4" x14ac:dyDescent="0.25">
      <c r="A1077" s="2">
        <f ca="1">IFERROR(__xludf.DUMMYFUNCTION("""COMPUTED_VALUE"""),45968.6458333333)</f>
        <v>45968.645833333299</v>
      </c>
      <c r="B1077" s="1">
        <f ca="1">IFERROR(__xludf.DUMMYFUNCTION("""COMPUTED_VALUE"""),2991.8)</f>
        <v>2991.8</v>
      </c>
      <c r="C1077" s="3">
        <f t="shared" ca="1" si="32"/>
        <v>-6.3436181872529506E-3</v>
      </c>
      <c r="D1077">
        <f t="shared" ca="1" si="33"/>
        <v>3042.0734693877539</v>
      </c>
    </row>
    <row r="1078" spans="1:4" x14ac:dyDescent="0.25">
      <c r="A1078" s="2">
        <f ca="1">IFERROR(__xludf.DUMMYFUNCTION("""COMPUTED_VALUE"""),45971.6458333333)</f>
        <v>45971.645833333299</v>
      </c>
      <c r="B1078" s="1">
        <f ca="1">IFERROR(__xludf.DUMMYFUNCTION("""COMPUTED_VALUE"""),3025.2)</f>
        <v>3025.2</v>
      </c>
      <c r="C1078" s="3">
        <f t="shared" ca="1" si="32"/>
        <v>1.1163847850792044E-2</v>
      </c>
      <c r="D1078">
        <f t="shared" ca="1" si="33"/>
        <v>3038.6979591836725</v>
      </c>
    </row>
    <row r="1079" spans="1:4" x14ac:dyDescent="0.25">
      <c r="A1079" s="2">
        <f ca="1">IFERROR(__xludf.DUMMYFUNCTION("""COMPUTED_VALUE"""),45972.6458333333)</f>
        <v>45972.645833333299</v>
      </c>
      <c r="B1079" s="1">
        <f ca="1">IFERROR(__xludf.DUMMYFUNCTION("""COMPUTED_VALUE"""),3047)</f>
        <v>3047</v>
      </c>
      <c r="C1079" s="3">
        <f t="shared" ca="1" si="32"/>
        <v>7.2061351315616104E-3</v>
      </c>
      <c r="D1079">
        <f t="shared" ca="1" si="33"/>
        <v>3037.2999999999993</v>
      </c>
    </row>
    <row r="1080" spans="1:4" x14ac:dyDescent="0.25">
      <c r="A1080" s="2">
        <f ca="1">IFERROR(__xludf.DUMMYFUNCTION("""COMPUTED_VALUE"""),45973.6458333333)</f>
        <v>45973.645833333299</v>
      </c>
      <c r="B1080" s="1">
        <f ca="1">IFERROR(__xludf.DUMMYFUNCTION("""COMPUTED_VALUE"""),3131.8)</f>
        <v>3131.8</v>
      </c>
      <c r="C1080" s="3">
        <f t="shared" ca="1" si="32"/>
        <v>2.7830653101411282E-2</v>
      </c>
      <c r="D1080">
        <f t="shared" ca="1" si="33"/>
        <v>3036.5306122448974</v>
      </c>
    </row>
    <row r="1081" spans="1:4" x14ac:dyDescent="0.25">
      <c r="A1081" s="2">
        <f ca="1">IFERROR(__xludf.DUMMYFUNCTION("""COMPUTED_VALUE"""),45974.6458333333)</f>
        <v>45974.645833333299</v>
      </c>
      <c r="B1081" s="1">
        <f ca="1">IFERROR(__xludf.DUMMYFUNCTION("""COMPUTED_VALUE"""),3105.7)</f>
        <v>3105.7</v>
      </c>
      <c r="C1081" s="3">
        <f t="shared" ca="1" si="32"/>
        <v>-8.3338655086532872E-3</v>
      </c>
      <c r="D1081">
        <f t="shared" ca="1" si="33"/>
        <v>3036.9224489795911</v>
      </c>
    </row>
    <row r="1082" spans="1:4" x14ac:dyDescent="0.25">
      <c r="A1082" s="2">
        <f ca="1">IFERROR(__xludf.DUMMYFUNCTION("""COMPUTED_VALUE"""),45975.6458333333)</f>
        <v>45975.645833333299</v>
      </c>
      <c r="B1082" s="1">
        <f ca="1">IFERROR(__xludf.DUMMYFUNCTION("""COMPUTED_VALUE"""),3106)</f>
        <v>3106</v>
      </c>
      <c r="C1082" s="3">
        <f t="shared" ca="1" si="32"/>
        <v>9.6596580481109545E-5</v>
      </c>
      <c r="D1082">
        <f t="shared" ca="1" si="33"/>
        <v>3036.8040816326525</v>
      </c>
    </row>
    <row r="1083" spans="1:4" x14ac:dyDescent="0.25">
      <c r="A1083" s="2">
        <f ca="1">IFERROR(__xludf.DUMMYFUNCTION("""COMPUTED_VALUE"""),45978.6458333333)</f>
        <v>45978.645833333299</v>
      </c>
      <c r="B1083" s="1">
        <f ca="1">IFERROR(__xludf.DUMMYFUNCTION("""COMPUTED_VALUE"""),3102.2)</f>
        <v>3102.2</v>
      </c>
      <c r="C1083" s="3">
        <f t="shared" ca="1" si="32"/>
        <v>-1.2234385061172511E-3</v>
      </c>
      <c r="D1083">
        <f t="shared" ca="1" si="33"/>
        <v>3036.9775510204076</v>
      </c>
    </row>
    <row r="1084" spans="1:4" x14ac:dyDescent="0.25">
      <c r="A1084" s="2">
        <f ca="1">IFERROR(__xludf.DUMMYFUNCTION("""COMPUTED_VALUE"""),45979.6458333333)</f>
        <v>45979.645833333299</v>
      </c>
      <c r="B1084" s="1">
        <f ca="1">IFERROR(__xludf.DUMMYFUNCTION("""COMPUTED_VALUE"""),3087.1)</f>
        <v>3087.1</v>
      </c>
      <c r="C1084" s="3">
        <f t="shared" ca="1" si="32"/>
        <v>-4.8675133776029623E-3</v>
      </c>
      <c r="D1084">
        <f t="shared" ca="1" si="33"/>
        <v>3037.1102040816327</v>
      </c>
    </row>
    <row r="1085" spans="1:4" x14ac:dyDescent="0.25">
      <c r="A1085" s="2">
        <f ca="1">IFERROR(__xludf.DUMMYFUNCTION("""COMPUTED_VALUE"""),45980.6458333333)</f>
        <v>45980.645833333299</v>
      </c>
      <c r="B1085" s="1">
        <f ca="1">IFERROR(__xludf.DUMMYFUNCTION("""COMPUTED_VALUE"""),3147.7)</f>
        <v>3147.7</v>
      </c>
      <c r="C1085" s="3">
        <f t="shared" ca="1" si="32"/>
        <v>1.9630073531793565E-2</v>
      </c>
      <c r="D1085">
        <f t="shared" ca="1" si="33"/>
        <v>3037.902040816326</v>
      </c>
    </row>
    <row r="1086" spans="1:4" x14ac:dyDescent="0.25">
      <c r="A1086" s="2">
        <f ca="1">IFERROR(__xludf.DUMMYFUNCTION("""COMPUTED_VALUE"""),45981.6458333333)</f>
        <v>45981.645833333299</v>
      </c>
      <c r="B1086" s="1">
        <f ca="1">IFERROR(__xludf.DUMMYFUNCTION("""COMPUTED_VALUE"""),3144.8)</f>
        <v>3144.8</v>
      </c>
      <c r="C1086" s="3">
        <f t="shared" ca="1" si="32"/>
        <v>-9.2130762143775977E-4</v>
      </c>
      <c r="D1086">
        <f t="shared" ca="1" si="33"/>
        <v>3040.5285714285719</v>
      </c>
    </row>
    <row r="1087" spans="1:4" x14ac:dyDescent="0.25">
      <c r="A1087" s="2">
        <f ca="1">IFERROR(__xludf.DUMMYFUNCTION("""COMPUTED_VALUE"""),45982.6458333333)</f>
        <v>45982.645833333299</v>
      </c>
      <c r="B1087" s="1">
        <f ca="1">IFERROR(__xludf.DUMMYFUNCTION("""COMPUTED_VALUE"""),3150.6)</f>
        <v>3150.6</v>
      </c>
      <c r="C1087" s="3">
        <f t="shared" ca="1" si="32"/>
        <v>1.8443144238106484E-3</v>
      </c>
      <c r="D1087">
        <f t="shared" ca="1" si="33"/>
        <v>3042.4755102040813</v>
      </c>
    </row>
    <row r="1088" spans="1:4" x14ac:dyDescent="0.25">
      <c r="A1088" s="2">
        <f ca="1">IFERROR(__xludf.DUMMYFUNCTION("""COMPUTED_VALUE"""),45985.6458333333)</f>
        <v>45985.645833333299</v>
      </c>
      <c r="B1088" s="1">
        <f ca="1">IFERROR(__xludf.DUMMYFUNCTION("""COMPUTED_VALUE"""),3141.2)</f>
        <v>3141.2</v>
      </c>
      <c r="C1088" s="3">
        <f t="shared" ca="1" si="32"/>
        <v>-2.9835586872342065E-3</v>
      </c>
      <c r="D1088">
        <f t="shared" ca="1" si="33"/>
        <v>3043.3040816326529</v>
      </c>
    </row>
    <row r="1089" spans="1:4" x14ac:dyDescent="0.25">
      <c r="A1089" s="2">
        <f ca="1">IFERROR(__xludf.DUMMYFUNCTION("""COMPUTED_VALUE"""),45986.6458333333)</f>
        <v>45986.645833333299</v>
      </c>
      <c r="B1089" s="1">
        <f ca="1">IFERROR(__xludf.DUMMYFUNCTION("""COMPUTED_VALUE"""),3119.2)</f>
        <v>3119.2</v>
      </c>
      <c r="C1089" s="3">
        <f t="shared" ca="1" si="32"/>
        <v>-7.0036928562332871E-3</v>
      </c>
      <c r="D1089">
        <f t="shared" ca="1" si="33"/>
        <v>3043.6510204081633</v>
      </c>
    </row>
    <row r="1090" spans="1:4" x14ac:dyDescent="0.25">
      <c r="A1090" s="2">
        <f ca="1">IFERROR(__xludf.DUMMYFUNCTION("""COMPUTED_VALUE"""),45987.6458333333)</f>
        <v>45987.645833333299</v>
      </c>
      <c r="B1090" s="1">
        <f ca="1">IFERROR(__xludf.DUMMYFUNCTION("""COMPUTED_VALUE"""),3162.9)</f>
        <v>3162.9</v>
      </c>
      <c r="C1090" s="3">
        <f t="shared" ca="1" si="32"/>
        <v>1.4010002564760283E-2</v>
      </c>
      <c r="D1090">
        <f t="shared" ca="1" si="33"/>
        <v>3043.3612244897963</v>
      </c>
    </row>
    <row r="1091" spans="1:4" x14ac:dyDescent="0.25">
      <c r="A1091" s="2">
        <f ca="1">IFERROR(__xludf.DUMMYFUNCTION("""COMPUTED_VALUE"""),45988.6458333333)</f>
        <v>45988.645833333299</v>
      </c>
      <c r="B1091" s="1">
        <f ca="1">IFERROR(__xludf.DUMMYFUNCTION("""COMPUTED_VALUE"""),3136.6)</f>
        <v>3136.6</v>
      </c>
      <c r="C1091" s="3">
        <f t="shared" ca="1" si="32"/>
        <v>-8.3151538145373495E-3</v>
      </c>
      <c r="D1091">
        <f t="shared" ca="1" si="33"/>
        <v>3044.402040816326</v>
      </c>
    </row>
    <row r="1092" spans="1:4" x14ac:dyDescent="0.25">
      <c r="A1092" s="2">
        <f ca="1">IFERROR(__xludf.DUMMYFUNCTION("""COMPUTED_VALUE"""),45989.6458333333)</f>
        <v>45989.645833333299</v>
      </c>
      <c r="B1092" s="1">
        <f ca="1">IFERROR(__xludf.DUMMYFUNCTION("""COMPUTED_VALUE"""),3137.5)</f>
        <v>3137.5</v>
      </c>
      <c r="C1092" s="3">
        <f t="shared" ref="C1092:C1155" ca="1" si="34">(B1092-B1091)/B1091</f>
        <v>2.869348976599155E-4</v>
      </c>
      <c r="D1092">
        <f t="shared" ca="1" si="33"/>
        <v>3044.2163265306122</v>
      </c>
    </row>
    <row r="1093" spans="1:4" x14ac:dyDescent="0.25">
      <c r="A1093" s="2">
        <f ca="1">IFERROR(__xludf.DUMMYFUNCTION("""COMPUTED_VALUE"""),45992.6458333333)</f>
        <v>45992.645833333299</v>
      </c>
      <c r="B1093" s="1">
        <f ca="1">IFERROR(__xludf.DUMMYFUNCTION("""COMPUTED_VALUE"""),3133.4)</f>
        <v>3133.4</v>
      </c>
      <c r="C1093" s="3">
        <f t="shared" ca="1" si="34"/>
        <v>-1.3067729083665049E-3</v>
      </c>
      <c r="D1093">
        <f t="shared" ca="1" si="33"/>
        <v>3043.4959183673468</v>
      </c>
    </row>
    <row r="1094" spans="1:4" x14ac:dyDescent="0.25">
      <c r="A1094" s="2">
        <f ca="1">IFERROR(__xludf.DUMMYFUNCTION("""COMPUTED_VALUE"""),45993.6458333333)</f>
        <v>45993.645833333299</v>
      </c>
      <c r="B1094" s="1">
        <f ca="1">IFERROR(__xludf.DUMMYFUNCTION("""COMPUTED_VALUE"""),3135.7)</f>
        <v>3135.7</v>
      </c>
      <c r="C1094" s="3">
        <f t="shared" ca="1" si="34"/>
        <v>7.3402693559702784E-4</v>
      </c>
      <c r="D1094">
        <f t="shared" ca="1" si="33"/>
        <v>3042.612244897959</v>
      </c>
    </row>
    <row r="1095" spans="1:4" x14ac:dyDescent="0.25">
      <c r="A1095" s="2">
        <f ca="1">IFERROR(__xludf.DUMMYFUNCTION("""COMPUTED_VALUE"""),45994.6458333333)</f>
        <v>45994.645833333299</v>
      </c>
      <c r="B1095" s="1">
        <f ca="1">IFERROR(__xludf.DUMMYFUNCTION("""COMPUTED_VALUE"""),3180)</f>
        <v>3180</v>
      </c>
      <c r="C1095" s="3">
        <f t="shared" ca="1" si="34"/>
        <v>1.4127627005134478E-2</v>
      </c>
      <c r="D1095">
        <f t="shared" ca="1" si="33"/>
        <v>3041.9285714285716</v>
      </c>
    </row>
    <row r="1096" spans="1:4" x14ac:dyDescent="0.25">
      <c r="A1096" s="2">
        <f ca="1">IFERROR(__xludf.DUMMYFUNCTION("""COMPUTED_VALUE"""),45995.6458333333)</f>
        <v>45995.645833333299</v>
      </c>
      <c r="B1096" s="1">
        <f ca="1">IFERROR(__xludf.DUMMYFUNCTION("""COMPUTED_VALUE"""),3229.2)</f>
        <v>3229.2</v>
      </c>
      <c r="C1096" s="3">
        <f t="shared" ca="1" si="34"/>
        <v>1.5471698113207489E-2</v>
      </c>
      <c r="D1096">
        <f t="shared" ca="1" si="33"/>
        <v>3044.0959183673472</v>
      </c>
    </row>
    <row r="1097" spans="1:4" x14ac:dyDescent="0.25">
      <c r="A1097" s="2">
        <f ca="1">IFERROR(__xludf.DUMMYFUNCTION("""COMPUTED_VALUE"""),45996.6458333333)</f>
        <v>45996.645833333299</v>
      </c>
      <c r="B1097" s="1">
        <f ca="1">IFERROR(__xludf.DUMMYFUNCTION("""COMPUTED_VALUE"""),3238.2)</f>
        <v>3238.2</v>
      </c>
      <c r="C1097" s="3">
        <f t="shared" ca="1" si="34"/>
        <v>2.787068004459309E-3</v>
      </c>
      <c r="D1097">
        <f t="shared" ca="1" si="33"/>
        <v>3047.5</v>
      </c>
    </row>
    <row r="1098" spans="1:4" x14ac:dyDescent="0.25">
      <c r="A1098" s="2">
        <f ca="1">IFERROR(__xludf.DUMMYFUNCTION("""COMPUTED_VALUE"""),45999.6458333333)</f>
        <v>45999.645833333299</v>
      </c>
      <c r="B1098" s="1">
        <f ca="1">IFERROR(__xludf.DUMMYFUNCTION("""COMPUTED_VALUE"""),3236.5)</f>
        <v>3236.5</v>
      </c>
      <c r="C1098" s="3">
        <f t="shared" ca="1" si="34"/>
        <v>-5.2498301525533261E-4</v>
      </c>
      <c r="D1098">
        <f t="shared" ca="1" si="33"/>
        <v>3051.6387755102046</v>
      </c>
    </row>
    <row r="1099" spans="1:4" x14ac:dyDescent="0.25">
      <c r="A1099" s="2">
        <f ca="1">IFERROR(__xludf.DUMMYFUNCTION("""COMPUTED_VALUE"""),46000.6458333333)</f>
        <v>46000.645833333299</v>
      </c>
      <c r="B1099" s="1">
        <f ca="1">IFERROR(__xludf.DUMMYFUNCTION("""COMPUTED_VALUE"""),3208.3)</f>
        <v>3208.3</v>
      </c>
      <c r="C1099" s="3">
        <f t="shared" ca="1" si="34"/>
        <v>-8.7131160203923422E-3</v>
      </c>
      <c r="D1099">
        <f t="shared" ca="1" si="33"/>
        <v>3057.3346938775517</v>
      </c>
    </row>
    <row r="1100" spans="1:4" x14ac:dyDescent="0.25">
      <c r="A1100" s="2">
        <f ca="1">IFERROR(__xludf.DUMMYFUNCTION("""COMPUTED_VALUE"""),46001.6458333333)</f>
        <v>46001.645833333299</v>
      </c>
      <c r="B1100" s="1">
        <f ca="1">IFERROR(__xludf.DUMMYFUNCTION("""COMPUTED_VALUE"""),3189.2)</f>
        <v>3189.2</v>
      </c>
      <c r="C1100" s="3">
        <f t="shared" ca="1" si="34"/>
        <v>-5.9533086058038099E-3</v>
      </c>
      <c r="D1100">
        <f t="shared" ca="1" si="33"/>
        <v>3063.6448979591837</v>
      </c>
    </row>
    <row r="1101" spans="1:4" x14ac:dyDescent="0.25">
      <c r="A1101" s="2">
        <f ca="1">IFERROR(__xludf.DUMMYFUNCTION("""COMPUTED_VALUE"""),46002.6458333333)</f>
        <v>46002.645833333299</v>
      </c>
      <c r="B1101" s="1">
        <f ca="1">IFERROR(__xludf.DUMMYFUNCTION("""COMPUTED_VALUE"""),3191.9)</f>
        <v>3191.9</v>
      </c>
      <c r="C1101" s="3">
        <f t="shared" ca="1" si="34"/>
        <v>8.4660729963635802E-4</v>
      </c>
      <c r="D1101">
        <f t="shared" ca="1" si="33"/>
        <v>3069.626530612245</v>
      </c>
    </row>
    <row r="1102" spans="1:4" x14ac:dyDescent="0.25">
      <c r="A1102" s="2">
        <f ca="1">IFERROR(__xludf.DUMMYFUNCTION("""COMPUTED_VALUE"""),46003.6458333333)</f>
        <v>46003.645833333299</v>
      </c>
      <c r="B1102" s="1">
        <f ca="1">IFERROR(__xludf.DUMMYFUNCTION("""COMPUTED_VALUE"""),3220.5)</f>
        <v>3220.5</v>
      </c>
      <c r="C1102" s="3">
        <f t="shared" ca="1" si="34"/>
        <v>8.9601804567811996E-3</v>
      </c>
      <c r="D1102">
        <f t="shared" ca="1" si="33"/>
        <v>3075.8204081632648</v>
      </c>
    </row>
    <row r="1103" spans="1:4" x14ac:dyDescent="0.25">
      <c r="A1103" s="2">
        <f ca="1">IFERROR(__xludf.DUMMYFUNCTION("""COMPUTED_VALUE"""),46006.6458333333)</f>
        <v>46006.645833333299</v>
      </c>
      <c r="B1103" s="1">
        <f ca="1">IFERROR(__xludf.DUMMYFUNCTION("""COMPUTED_VALUE"""),3230.2)</f>
        <v>3230.2</v>
      </c>
      <c r="C1103" s="3">
        <f t="shared" ca="1" si="34"/>
        <v>3.0119546654245669E-3</v>
      </c>
      <c r="D1103">
        <f t="shared" ca="1" si="33"/>
        <v>3082.0714285714284</v>
      </c>
    </row>
    <row r="1104" spans="1:4" x14ac:dyDescent="0.25">
      <c r="A1104" s="2">
        <f ca="1">IFERROR(__xludf.DUMMYFUNCTION("""COMPUTED_VALUE"""),46007.6458333333)</f>
        <v>46007.645833333299</v>
      </c>
      <c r="B1104" s="1">
        <f ca="1">IFERROR(__xludf.DUMMYFUNCTION("""COMPUTED_VALUE"""),3205.1)</f>
        <v>3205.1</v>
      </c>
      <c r="C1104" s="3">
        <f t="shared" ca="1" si="34"/>
        <v>-7.7704166924648351E-3</v>
      </c>
      <c r="D1104">
        <f t="shared" ca="1" si="33"/>
        <v>3088.7714285714283</v>
      </c>
    </row>
    <row r="1105" spans="1:4" x14ac:dyDescent="0.25">
      <c r="A1105" s="2">
        <f ca="1">IFERROR(__xludf.DUMMYFUNCTION("""COMPUTED_VALUE"""),46008.6458333333)</f>
        <v>46008.645833333299</v>
      </c>
      <c r="B1105" s="1">
        <f ca="1">IFERROR(__xludf.DUMMYFUNCTION("""COMPUTED_VALUE"""),3217.8)</f>
        <v>3217.8</v>
      </c>
      <c r="C1105" s="3">
        <f t="shared" ca="1" si="34"/>
        <v>3.9624348694269366E-3</v>
      </c>
      <c r="D1105">
        <f t="shared" ca="1" si="33"/>
        <v>3093.1938775510203</v>
      </c>
    </row>
    <row r="1106" spans="1:4" x14ac:dyDescent="0.25">
      <c r="A1106" s="2">
        <f ca="1">IFERROR(__xludf.DUMMYFUNCTION("""COMPUTED_VALUE"""),46009.6458333333)</f>
        <v>46009.645833333299</v>
      </c>
      <c r="B1106" s="1">
        <f ca="1">IFERROR(__xludf.DUMMYFUNCTION("""COMPUTED_VALUE"""),3280.8)</f>
        <v>3280.8</v>
      </c>
      <c r="C1106" s="3">
        <f t="shared" ca="1" si="34"/>
        <v>1.9578594070482937E-2</v>
      </c>
      <c r="D1106">
        <f t="shared" ca="1" si="33"/>
        <v>3098.1755102040815</v>
      </c>
    </row>
    <row r="1107" spans="1:4" x14ac:dyDescent="0.25">
      <c r="A1107" s="2">
        <f ca="1">IFERROR(__xludf.DUMMYFUNCTION("""COMPUTED_VALUE"""),46010.6458333333)</f>
        <v>46010.645833333299</v>
      </c>
      <c r="B1107" s="1">
        <f ca="1">IFERROR(__xludf.DUMMYFUNCTION("""COMPUTED_VALUE"""),3282)</f>
        <v>3282</v>
      </c>
      <c r="C1107" s="3">
        <f t="shared" ca="1" si="34"/>
        <v>3.6576444769562854E-4</v>
      </c>
      <c r="D1107">
        <f t="shared" ca="1" si="33"/>
        <v>3103.3510204081631</v>
      </c>
    </row>
    <row r="1108" spans="1:4" x14ac:dyDescent="0.25">
      <c r="A1108" s="2">
        <f ca="1">IFERROR(__xludf.DUMMYFUNCTION("""COMPUTED_VALUE"""),46013.6458333333)</f>
        <v>46013.645833333299</v>
      </c>
      <c r="B1108" s="1">
        <f ca="1">IFERROR(__xludf.DUMMYFUNCTION("""COMPUTED_VALUE"""),3324.9)</f>
        <v>3324.9</v>
      </c>
      <c r="C1108" s="3">
        <f t="shared" ca="1" si="34"/>
        <v>1.3071297989031106E-2</v>
      </c>
      <c r="D1108">
        <f t="shared" ca="1" si="33"/>
        <v>3107.8469387755104</v>
      </c>
    </row>
    <row r="1109" spans="1:4" x14ac:dyDescent="0.25">
      <c r="A1109" s="2">
        <f ca="1">IFERROR(__xludf.DUMMYFUNCTION("""COMPUTED_VALUE"""),46014.6458333333)</f>
        <v>46014.645833333299</v>
      </c>
      <c r="B1109" s="1">
        <f ca="1">IFERROR(__xludf.DUMMYFUNCTION("""COMPUTED_VALUE"""),3310)</f>
        <v>3310</v>
      </c>
      <c r="C1109" s="3">
        <f t="shared" ca="1" si="34"/>
        <v>-4.4813377845950523E-3</v>
      </c>
      <c r="D1109">
        <f t="shared" ca="1" si="33"/>
        <v>3113.8999999999996</v>
      </c>
    </row>
    <row r="1110" spans="1:4" x14ac:dyDescent="0.25">
      <c r="A1110" s="2">
        <f ca="1">IFERROR(__xludf.DUMMYFUNCTION("""COMPUTED_VALUE"""),46015.6458333333)</f>
        <v>46015.645833333299</v>
      </c>
      <c r="B1110" s="1">
        <f ca="1">IFERROR(__xludf.DUMMYFUNCTION("""COMPUTED_VALUE"""),3319)</f>
        <v>3319</v>
      </c>
      <c r="C1110" s="3">
        <f t="shared" ca="1" si="34"/>
        <v>2.7190332326283988E-3</v>
      </c>
      <c r="D1110">
        <f t="shared" ca="1" si="33"/>
        <v>3120.0795918367339</v>
      </c>
    </row>
    <row r="1111" spans="1:4" x14ac:dyDescent="0.25">
      <c r="A1111" s="2">
        <f ca="1">IFERROR(__xludf.DUMMYFUNCTION("""COMPUTED_VALUE"""),46017.6458333333)</f>
        <v>46017.645833333299</v>
      </c>
      <c r="B1111" s="1">
        <f ca="1">IFERROR(__xludf.DUMMYFUNCTION("""COMPUTED_VALUE"""),3280)</f>
        <v>3280</v>
      </c>
      <c r="C1111" s="3">
        <f t="shared" ca="1" si="34"/>
        <v>-1.1750527267249171E-2</v>
      </c>
      <c r="D1111">
        <f t="shared" ca="1" si="33"/>
        <v>3127.3999999999987</v>
      </c>
    </row>
    <row r="1112" spans="1:4" x14ac:dyDescent="0.25">
      <c r="A1112" s="2">
        <f ca="1">IFERROR(__xludf.DUMMYFUNCTION("""COMPUTED_VALUE"""),46020.6458333333)</f>
        <v>46020.645833333299</v>
      </c>
      <c r="B1112" s="1">
        <f ca="1">IFERROR(__xludf.DUMMYFUNCTION("""COMPUTED_VALUE"""),3251.5)</f>
        <v>3251.5</v>
      </c>
      <c r="C1112" s="3">
        <f t="shared" ca="1" si="34"/>
        <v>-8.6890243902439032E-3</v>
      </c>
      <c r="D1112">
        <f t="shared" ca="1" si="33"/>
        <v>3133.7306122448972</v>
      </c>
    </row>
    <row r="1113" spans="1:4" x14ac:dyDescent="0.25">
      <c r="A1113" s="2">
        <f ca="1">IFERROR(__xludf.DUMMYFUNCTION("""COMPUTED_VALUE"""),46021.6458333333)</f>
        <v>46021.645833333299</v>
      </c>
      <c r="B1113" s="1">
        <f ca="1">IFERROR(__xludf.DUMMYFUNCTION("""COMPUTED_VALUE"""),3246.8)</f>
        <v>3246.8</v>
      </c>
      <c r="C1113" s="3">
        <f t="shared" ca="1" si="34"/>
        <v>-1.4454866984468147E-3</v>
      </c>
      <c r="D1113">
        <f t="shared" ca="1" si="33"/>
        <v>3139.4612244897953</v>
      </c>
    </row>
    <row r="1114" spans="1:4" x14ac:dyDescent="0.25">
      <c r="A1114" s="2">
        <f ca="1">IFERROR(__xludf.DUMMYFUNCTION("""COMPUTED_VALUE"""),46022.6458333333)</f>
        <v>46022.645833333299</v>
      </c>
      <c r="B1114" s="1">
        <f ca="1">IFERROR(__xludf.DUMMYFUNCTION("""COMPUTED_VALUE"""),3206.2)</f>
        <v>3206.2</v>
      </c>
      <c r="C1114" s="3">
        <f t="shared" ca="1" si="34"/>
        <v>-1.2504619933473069E-2</v>
      </c>
      <c r="D1114">
        <f t="shared" ca="1" si="33"/>
        <v>3145.269387755101</v>
      </c>
    </row>
    <row r="1115" spans="1:4" x14ac:dyDescent="0.25">
      <c r="A1115" s="2">
        <f ca="1">IFERROR(__xludf.DUMMYFUNCTION("""COMPUTED_VALUE"""),46023.6458333333)</f>
        <v>46023.645833333299</v>
      </c>
      <c r="B1115" s="1">
        <f ca="1">IFERROR(__xludf.DUMMYFUNCTION("""COMPUTED_VALUE"""),3227.4)</f>
        <v>3227.4</v>
      </c>
      <c r="C1115" s="3">
        <f t="shared" ca="1" si="34"/>
        <v>6.6121888840372633E-3</v>
      </c>
      <c r="D1115">
        <f t="shared" ca="1" si="33"/>
        <v>3149.1673469387752</v>
      </c>
    </row>
    <row r="1116" spans="1:4" x14ac:dyDescent="0.25">
      <c r="A1116" s="2">
        <f ca="1">IFERROR(__xludf.DUMMYFUNCTION("""COMPUTED_VALUE"""),46024.6458333333)</f>
        <v>46024.645833333299</v>
      </c>
      <c r="B1116" s="1">
        <f ca="1">IFERROR(__xludf.DUMMYFUNCTION("""COMPUTED_VALUE"""),3250.7)</f>
        <v>3250.7</v>
      </c>
      <c r="C1116" s="3">
        <f t="shared" ca="1" si="34"/>
        <v>7.2194335998016128E-3</v>
      </c>
      <c r="D1116">
        <f t="shared" ca="1" si="33"/>
        <v>3153.6714285714279</v>
      </c>
    </row>
    <row r="1117" spans="1:4" x14ac:dyDescent="0.25">
      <c r="A1117" s="2">
        <f ca="1">IFERROR(__xludf.DUMMYFUNCTION("""COMPUTED_VALUE"""),46027.6458333333)</f>
        <v>46027.645833333299</v>
      </c>
      <c r="B1117" s="1">
        <f ca="1">IFERROR(__xludf.DUMMYFUNCTION("""COMPUTED_VALUE"""),3216.1)</f>
        <v>3216.1</v>
      </c>
      <c r="C1117" s="3">
        <f t="shared" ca="1" si="34"/>
        <v>-1.0643861322176734E-2</v>
      </c>
      <c r="D1117">
        <f t="shared" ca="1" si="33"/>
        <v>3157.2938775510202</v>
      </c>
    </row>
    <row r="1118" spans="1:4" x14ac:dyDescent="0.25">
      <c r="A1118" s="2">
        <f ca="1">IFERROR(__xludf.DUMMYFUNCTION("""COMPUTED_VALUE"""),46028.6458333333)</f>
        <v>46028.645833333299</v>
      </c>
      <c r="B1118" s="1">
        <f ca="1">IFERROR(__xludf.DUMMYFUNCTION("""COMPUTED_VALUE"""),3255.8)</f>
        <v>3255.8</v>
      </c>
      <c r="C1118" s="3">
        <f t="shared" ca="1" si="34"/>
        <v>1.2344143527875462E-2</v>
      </c>
      <c r="D1118">
        <f t="shared" ca="1" si="33"/>
        <v>3160.4142857142856</v>
      </c>
    </row>
    <row r="1119" spans="1:4" x14ac:dyDescent="0.25">
      <c r="A1119" s="2">
        <f ca="1">IFERROR(__xludf.DUMMYFUNCTION("""COMPUTED_VALUE"""),46029.6458333333)</f>
        <v>46029.645833333299</v>
      </c>
      <c r="B1119" s="1">
        <f ca="1">IFERROR(__xludf.DUMMYFUNCTION("""COMPUTED_VALUE"""),3295.6)</f>
        <v>3295.6</v>
      </c>
      <c r="C1119" s="3">
        <f t="shared" ca="1" si="34"/>
        <v>1.2224338104306077E-2</v>
      </c>
      <c r="D1119">
        <f t="shared" ca="1" si="33"/>
        <v>3163.9020408163256</v>
      </c>
    </row>
    <row r="1120" spans="1:4" x14ac:dyDescent="0.25">
      <c r="A1120" s="2">
        <f ca="1">IFERROR(__xludf.DUMMYFUNCTION("""COMPUTED_VALUE"""),46030.6458333333)</f>
        <v>46030.645833333299</v>
      </c>
      <c r="B1120" s="1">
        <f ca="1">IFERROR(__xludf.DUMMYFUNCTION("""COMPUTED_VALUE"""),3203.9)</f>
        <v>3203.9</v>
      </c>
      <c r="C1120" s="3">
        <f t="shared" ca="1" si="34"/>
        <v>-2.7824978759558146E-2</v>
      </c>
      <c r="D1120">
        <f t="shared" ca="1" si="33"/>
        <v>3168.7530612244896</v>
      </c>
    </row>
    <row r="1121" spans="1:4" x14ac:dyDescent="0.25">
      <c r="A1121" s="2">
        <f ca="1">IFERROR(__xludf.DUMMYFUNCTION("""COMPUTED_VALUE"""),46031.6458333333)</f>
        <v>46031.645833333299</v>
      </c>
      <c r="B1121" s="1">
        <f ca="1">IFERROR(__xludf.DUMMYFUNCTION("""COMPUTED_VALUE"""),3207.8)</f>
        <v>3207.8</v>
      </c>
      <c r="C1121" s="3">
        <f t="shared" ca="1" si="34"/>
        <v>1.2172664565061615E-3</v>
      </c>
      <c r="D1121">
        <f t="shared" ca="1" si="33"/>
        <v>3171.7387755102036</v>
      </c>
    </row>
    <row r="1122" spans="1:4" x14ac:dyDescent="0.25">
      <c r="A1122" s="2">
        <f ca="1">IFERROR(__xludf.DUMMYFUNCTION("""COMPUTED_VALUE"""),46034.6458333333)</f>
        <v>46034.645833333299</v>
      </c>
      <c r="B1122" s="1">
        <f ca="1">IFERROR(__xludf.DUMMYFUNCTION("""COMPUTED_VALUE"""),3239.6)</f>
        <v>3239.6</v>
      </c>
      <c r="C1122" s="3">
        <f t="shared" ca="1" si="34"/>
        <v>9.9133362429078258E-3</v>
      </c>
      <c r="D1122">
        <f t="shared" ca="1" si="33"/>
        <v>3175.2591836734691</v>
      </c>
    </row>
    <row r="1123" spans="1:4" x14ac:dyDescent="0.25">
      <c r="A1123" s="2">
        <f ca="1">IFERROR(__xludf.DUMMYFUNCTION("""COMPUTED_VALUE"""),46035.6458333333)</f>
        <v>46035.645833333299</v>
      </c>
      <c r="B1123" s="1">
        <f ca="1">IFERROR(__xludf.DUMMYFUNCTION("""COMPUTED_VALUE"""),3268)</f>
        <v>3268</v>
      </c>
      <c r="C1123" s="3">
        <f t="shared" ca="1" si="34"/>
        <v>8.7665143844919413E-3</v>
      </c>
      <c r="D1123">
        <f t="shared" ca="1" si="33"/>
        <v>3178.965306122449</v>
      </c>
    </row>
    <row r="1124" spans="1:4" x14ac:dyDescent="0.25">
      <c r="A1124" s="2">
        <f ca="1">IFERROR(__xludf.DUMMYFUNCTION("""COMPUTED_VALUE"""),46036.6458333333)</f>
        <v>46036.645833333299</v>
      </c>
      <c r="B1124" s="1">
        <f ca="1">IFERROR(__xludf.DUMMYFUNCTION("""COMPUTED_VALUE"""),3192.5)</f>
        <v>3192.5</v>
      </c>
      <c r="C1124" s="3">
        <f t="shared" ca="1" si="34"/>
        <v>-2.3102815177478579E-2</v>
      </c>
      <c r="D1124">
        <f t="shared" ca="1" si="33"/>
        <v>3184.0918367346931</v>
      </c>
    </row>
    <row r="1125" spans="1:4" x14ac:dyDescent="0.25">
      <c r="A1125" s="2">
        <f ca="1">IFERROR(__xludf.DUMMYFUNCTION("""COMPUTED_VALUE"""),46038.6458333333)</f>
        <v>46038.645833333299</v>
      </c>
      <c r="B1125" s="1">
        <f ca="1">IFERROR(__xludf.DUMMYFUNCTION("""COMPUTED_VALUE"""),3206.7)</f>
        <v>3206.7</v>
      </c>
      <c r="C1125" s="3">
        <f t="shared" ca="1" si="34"/>
        <v>4.4479248238057378E-3</v>
      </c>
      <c r="D1125">
        <f t="shared" ca="1" si="33"/>
        <v>3188.2204081632644</v>
      </c>
    </row>
    <row r="1126" spans="1:4" x14ac:dyDescent="0.25">
      <c r="A1126" s="2">
        <f ca="1">IFERROR(__xludf.DUMMYFUNCTION("""COMPUTED_VALUE"""),46041.6458333333)</f>
        <v>46041.645833333299</v>
      </c>
      <c r="B1126" s="1">
        <f ca="1">IFERROR(__xludf.DUMMYFUNCTION("""COMPUTED_VALUE"""),3163.6)</f>
        <v>3163.6</v>
      </c>
      <c r="C1126" s="3">
        <f t="shared" ca="1" si="34"/>
        <v>-1.3440608725480996E-2</v>
      </c>
      <c r="D1126">
        <f t="shared" ca="1" si="33"/>
        <v>3192.2163265306117</v>
      </c>
    </row>
    <row r="1127" spans="1:4" x14ac:dyDescent="0.25">
      <c r="A1127" s="2">
        <f ca="1">IFERROR(__xludf.DUMMYFUNCTION("""COMPUTED_VALUE"""),46042.6458333333)</f>
        <v>46042.645833333299</v>
      </c>
      <c r="B1127" s="1">
        <f ca="1">IFERROR(__xludf.DUMMYFUNCTION("""COMPUTED_VALUE"""),3102.3)</f>
        <v>3102.3</v>
      </c>
      <c r="C1127" s="3">
        <f t="shared" ca="1" si="34"/>
        <v>-1.937665950183327E-2</v>
      </c>
      <c r="D1127">
        <f t="shared" ca="1" si="33"/>
        <v>3195.7224489795917</v>
      </c>
    </row>
    <row r="1128" spans="1:4" x14ac:dyDescent="0.25">
      <c r="A1128" s="2">
        <f ca="1">IFERROR(__xludf.DUMMYFUNCTION("""COMPUTED_VALUE"""),46043.6458333333)</f>
        <v>46043.645833333299</v>
      </c>
      <c r="B1128" s="1">
        <f ca="1">IFERROR(__xludf.DUMMYFUNCTION("""COMPUTED_VALUE"""),3122.6)</f>
        <v>3122.6</v>
      </c>
      <c r="C1128" s="3">
        <f t="shared" ca="1" si="34"/>
        <v>6.5435322180316946E-3</v>
      </c>
      <c r="D1128">
        <f t="shared" ca="1" si="33"/>
        <v>3197.2959183673465</v>
      </c>
    </row>
    <row r="1129" spans="1:4" x14ac:dyDescent="0.25">
      <c r="A1129" s="2">
        <f ca="1">IFERROR(__xludf.DUMMYFUNCTION("""COMPUTED_VALUE"""),46044.6458333333)</f>
        <v>46044.645833333299</v>
      </c>
      <c r="B1129" s="1">
        <f ca="1">IFERROR(__xludf.DUMMYFUNCTION("""COMPUTED_VALUE"""),3150.4)</f>
        <v>3150.4</v>
      </c>
      <c r="C1129" s="3">
        <f t="shared" ca="1" si="34"/>
        <v>8.9028373791072129E-3</v>
      </c>
      <c r="D1129">
        <f t="shared" ca="1" si="33"/>
        <v>3198.8387755102044</v>
      </c>
    </row>
    <row r="1130" spans="1:4" x14ac:dyDescent="0.25">
      <c r="A1130" s="2">
        <f ca="1">IFERROR(__xludf.DUMMYFUNCTION("""COMPUTED_VALUE"""),46045.6458333333)</f>
        <v>46045.645833333299</v>
      </c>
      <c r="B1130" s="1">
        <f ca="1">IFERROR(__xludf.DUMMYFUNCTION("""COMPUTED_VALUE"""),3162.5)</f>
        <v>3162.5</v>
      </c>
      <c r="C1130" s="3">
        <f t="shared" ca="1" si="34"/>
        <v>3.8407821229049992E-3</v>
      </c>
      <c r="D1130">
        <f t="shared" ca="1" si="33"/>
        <v>3199.218367346939</v>
      </c>
    </row>
    <row r="1131" spans="1:4" x14ac:dyDescent="0.25">
      <c r="A1131" s="2">
        <f ca="1">IFERROR(__xludf.DUMMYFUNCTION("""COMPUTED_VALUE"""),46049.6458333333)</f>
        <v>46049.645833333299</v>
      </c>
      <c r="B1131" s="1">
        <f ca="1">IFERROR(__xludf.DUMMYFUNCTION("""COMPUTED_VALUE"""),3158)</f>
        <v>3158</v>
      </c>
      <c r="C1131" s="3">
        <f t="shared" ca="1" si="34"/>
        <v>-1.4229249011857706E-3</v>
      </c>
      <c r="D1131">
        <f t="shared" ca="1" si="33"/>
        <v>3200.3775510204082</v>
      </c>
    </row>
    <row r="1132" spans="1:4" x14ac:dyDescent="0.25">
      <c r="A1132" s="2">
        <f ca="1">IFERROR(__xludf.DUMMYFUNCTION("""COMPUTED_VALUE"""),46050.6458333333)</f>
        <v>46050.645833333299</v>
      </c>
      <c r="B1132" s="1">
        <f ca="1">IFERROR(__xludf.DUMMYFUNCTION("""COMPUTED_VALUE"""),3200.1)</f>
        <v>3200.1</v>
      </c>
      <c r="C1132" s="3">
        <f t="shared" ca="1" si="34"/>
        <v>1.3331222292590218E-2</v>
      </c>
      <c r="D1132">
        <f t="shared" ca="1" si="33"/>
        <v>3201.4387755102048</v>
      </c>
    </row>
    <row r="1133" spans="1:4" x14ac:dyDescent="0.25">
      <c r="A1133" s="2">
        <f ca="1">IFERROR(__xludf.DUMMYFUNCTION("""COMPUTED_VALUE"""),46051.6458333333)</f>
        <v>46051.645833333299</v>
      </c>
      <c r="B1133" s="1">
        <f ca="1">IFERROR(__xludf.DUMMYFUNCTION("""COMPUTED_VALUE"""),3144.4)</f>
        <v>3144.4</v>
      </c>
      <c r="C1133" s="3">
        <f t="shared" ca="1" si="34"/>
        <v>-1.7405706071685203E-2</v>
      </c>
      <c r="D1133">
        <f t="shared" ca="1" si="33"/>
        <v>3203.436734693878</v>
      </c>
    </row>
    <row r="1134" spans="1:4" x14ac:dyDescent="0.25">
      <c r="A1134" s="2">
        <f ca="1">IFERROR(__xludf.DUMMYFUNCTION("""COMPUTED_VALUE"""),46052.6458333333)</f>
        <v>46052.645833333299</v>
      </c>
      <c r="B1134" s="1">
        <f ca="1">IFERROR(__xludf.DUMMYFUNCTION("""COMPUTED_VALUE"""),3123.9)</f>
        <v>3123.9</v>
      </c>
      <c r="C1134" s="3">
        <f t="shared" ca="1" si="34"/>
        <v>-6.5195267777636429E-3</v>
      </c>
      <c r="D1134">
        <f t="shared" ca="1" si="33"/>
        <v>3204.6061224489799</v>
      </c>
    </row>
    <row r="1135" spans="1:4" x14ac:dyDescent="0.25">
      <c r="A1135" s="2">
        <f ca="1">IFERROR(__xludf.DUMMYFUNCTION("""COMPUTED_VALUE"""),46055.6458333333)</f>
        <v>46055.645833333299</v>
      </c>
      <c r="B1135" s="1">
        <f ca="1">IFERROR(__xludf.DUMMYFUNCTION("""COMPUTED_VALUE"""),3169.6)</f>
        <v>3169.6</v>
      </c>
      <c r="C1135" s="3">
        <f t="shared" ca="1" si="34"/>
        <v>1.4629149460610075E-2</v>
      </c>
      <c r="D1135">
        <f t="shared" ca="1" si="33"/>
        <v>3204.1204081632645</v>
      </c>
    </row>
    <row r="1136" spans="1:4" x14ac:dyDescent="0.25">
      <c r="A1136" s="2">
        <f ca="1">IFERROR(__xludf.DUMMYFUNCTION("""COMPUTED_VALUE"""),46056.6458333333)</f>
        <v>46056.645833333299</v>
      </c>
      <c r="B1136" s="1">
        <f ca="1">IFERROR(__xludf.DUMMYFUNCTION("""COMPUTED_VALUE"""),3225.3)</f>
        <v>3225.3</v>
      </c>
      <c r="C1136" s="3">
        <f t="shared" ca="1" si="34"/>
        <v>1.7573195355880956E-2</v>
      </c>
      <c r="D1136">
        <f t="shared" ca="1" si="33"/>
        <v>3204.626530612245</v>
      </c>
    </row>
    <row r="1137" spans="1:4" x14ac:dyDescent="0.25">
      <c r="A1137" s="2">
        <f ca="1">IFERROR(__xludf.DUMMYFUNCTION("""COMPUTED_VALUE"""),46057.6458333333)</f>
        <v>46057.645833333299</v>
      </c>
      <c r="B1137" s="1">
        <f ca="1">IFERROR(__xludf.DUMMYFUNCTION("""COMPUTED_VALUE"""),2999.1)</f>
        <v>2999.1</v>
      </c>
      <c r="C1137" s="3">
        <f t="shared" ca="1" si="34"/>
        <v>-7.0133010882708666E-2</v>
      </c>
      <c r="D1137">
        <f t="shared" ca="1" si="33"/>
        <v>3206.1510204081633</v>
      </c>
    </row>
    <row r="1138" spans="1:4" x14ac:dyDescent="0.25">
      <c r="A1138" s="2">
        <f ca="1">IFERROR(__xludf.DUMMYFUNCTION("""COMPUTED_VALUE"""),46058.6458333333)</f>
        <v>46058.645833333299</v>
      </c>
      <c r="B1138" s="1">
        <f ca="1">IFERROR(__xludf.DUMMYFUNCTION("""COMPUTED_VALUE"""),2991.5)</f>
        <v>2991.5</v>
      </c>
      <c r="C1138" s="3">
        <f t="shared" ca="1" si="34"/>
        <v>-2.5340935614017236E-3</v>
      </c>
      <c r="D1138">
        <f t="shared" ca="1" si="33"/>
        <v>3203.2510204081636</v>
      </c>
    </row>
    <row r="1139" spans="1:4" x14ac:dyDescent="0.25">
      <c r="A1139" s="2">
        <f ca="1">IFERROR(__xludf.DUMMYFUNCTION("""COMPUTED_VALUE"""),46059.6458333333)</f>
        <v>46059.645833333299</v>
      </c>
      <c r="B1139" s="1">
        <f ca="1">IFERROR(__xludf.DUMMYFUNCTION("""COMPUTED_VALUE"""),2941.6)</f>
        <v>2941.6</v>
      </c>
      <c r="C1139" s="3">
        <f t="shared" ca="1" si="34"/>
        <v>-1.6680595019221155E-2</v>
      </c>
      <c r="D1139">
        <f t="shared" ca="1" si="33"/>
        <v>3200.6448979591837</v>
      </c>
    </row>
    <row r="1140" spans="1:4" x14ac:dyDescent="0.25">
      <c r="A1140" s="2">
        <f ca="1">IFERROR(__xludf.DUMMYFUNCTION("""COMPUTED_VALUE"""),46062.6458333333)</f>
        <v>46062.645833333299</v>
      </c>
      <c r="B1140" s="1">
        <f ca="1">IFERROR(__xludf.DUMMYFUNCTION("""COMPUTED_VALUE"""),2948.2)</f>
        <v>2948.2</v>
      </c>
      <c r="C1140" s="3">
        <f t="shared" ca="1" si="34"/>
        <v>2.2436769105248534E-3</v>
      </c>
      <c r="D1140">
        <f t="shared" ref="D1140:D1203" ca="1" si="35">AVERAGE(B1091:B1139)</f>
        <v>3196.1285714285718</v>
      </c>
    </row>
    <row r="1141" spans="1:4" x14ac:dyDescent="0.25">
      <c r="A1141" s="2">
        <f ca="1">IFERROR(__xludf.DUMMYFUNCTION("""COMPUTED_VALUE"""),46063.6458333333)</f>
        <v>46063.645833333299</v>
      </c>
      <c r="B1141" s="1">
        <f ca="1">IFERROR(__xludf.DUMMYFUNCTION("""COMPUTED_VALUE"""),2984.6)</f>
        <v>2984.6</v>
      </c>
      <c r="C1141" s="3">
        <f t="shared" ca="1" si="34"/>
        <v>1.2346516518553726E-2</v>
      </c>
      <c r="D1141">
        <f t="shared" ca="1" si="35"/>
        <v>3192.2836734693883</v>
      </c>
    </row>
    <row r="1142" spans="1:4" x14ac:dyDescent="0.25">
      <c r="A1142" s="2">
        <f ca="1">IFERROR(__xludf.DUMMYFUNCTION("""COMPUTED_VALUE"""),46064.6458333333)</f>
        <v>46064.645833333299</v>
      </c>
      <c r="B1142" s="1">
        <f ca="1">IFERROR(__xludf.DUMMYFUNCTION("""COMPUTED_VALUE"""),2909.8)</f>
        <v>2909.8</v>
      </c>
      <c r="C1142" s="3">
        <f t="shared" ca="1" si="34"/>
        <v>-2.5061984855591947E-2</v>
      </c>
      <c r="D1142">
        <f t="shared" ca="1" si="35"/>
        <v>3189.1632653061229</v>
      </c>
    </row>
    <row r="1143" spans="1:4" x14ac:dyDescent="0.25">
      <c r="A1143" s="2">
        <f ca="1">IFERROR(__xludf.DUMMYFUNCTION("""COMPUTED_VALUE"""),46065.6458333333)</f>
        <v>46065.645833333299</v>
      </c>
      <c r="B1143" s="1">
        <f ca="1">IFERROR(__xludf.DUMMYFUNCTION("""COMPUTED_VALUE"""),2750.1)</f>
        <v>2750.1</v>
      </c>
      <c r="C1143" s="3">
        <f t="shared" ca="1" si="34"/>
        <v>-5.4883497147570369E-2</v>
      </c>
      <c r="D1143">
        <f t="shared" ca="1" si="35"/>
        <v>3184.6000000000013</v>
      </c>
    </row>
    <row r="1144" spans="1:4" x14ac:dyDescent="0.25">
      <c r="A1144" s="2">
        <f ca="1">IFERROR(__xludf.DUMMYFUNCTION("""COMPUTED_VALUE"""),46066.6458333333)</f>
        <v>46066.645833333299</v>
      </c>
      <c r="B1144" s="1">
        <f ca="1">IFERROR(__xludf.DUMMYFUNCTION("""COMPUTED_VALUE"""),2692.2)</f>
        <v>2692.2</v>
      </c>
      <c r="C1144" s="3">
        <f t="shared" ca="1" si="34"/>
        <v>-2.1053779862550488E-2</v>
      </c>
      <c r="D1144">
        <f t="shared" ca="1" si="35"/>
        <v>3176.7306122448981</v>
      </c>
    </row>
    <row r="1145" spans="1:4" x14ac:dyDescent="0.25">
      <c r="A1145" s="2">
        <f ca="1">IFERROR(__xludf.DUMMYFUNCTION("""COMPUTED_VALUE"""),46069.6458333333)</f>
        <v>46069.645833333299</v>
      </c>
      <c r="B1145" s="1">
        <f ca="1">IFERROR(__xludf.DUMMYFUNCTION("""COMPUTED_VALUE"""),2706.6)</f>
        <v>2706.6</v>
      </c>
      <c r="C1145" s="3">
        <f t="shared" ca="1" si="34"/>
        <v>5.3487853799866619E-3</v>
      </c>
      <c r="D1145">
        <f t="shared" ca="1" si="35"/>
        <v>3166.7755102040828</v>
      </c>
    </row>
    <row r="1146" spans="1:4" x14ac:dyDescent="0.25">
      <c r="A1146" s="2">
        <f ca="1">IFERROR(__xludf.DUMMYFUNCTION("""COMPUTED_VALUE"""),46070.6458333333)</f>
        <v>46070.645833333299</v>
      </c>
      <c r="B1146" s="1">
        <f ca="1">IFERROR(__xludf.DUMMYFUNCTION("""COMPUTED_VALUE"""),2717.4)</f>
        <v>2717.4</v>
      </c>
      <c r="C1146" s="3">
        <f t="shared" ca="1" si="34"/>
        <v>3.990246065174086E-3</v>
      </c>
      <c r="D1146">
        <f t="shared" ca="1" si="35"/>
        <v>3156.1102040816336</v>
      </c>
    </row>
    <row r="1147" spans="1:4" x14ac:dyDescent="0.25">
      <c r="A1147" s="2">
        <f ca="1">IFERROR(__xludf.DUMMYFUNCTION("""COMPUTED_VALUE"""),46071.6458333333)</f>
        <v>46071.645833333299</v>
      </c>
      <c r="B1147" s="1">
        <f ca="1">IFERROR(__xludf.DUMMYFUNCTION("""COMPUTED_VALUE"""),2694.9)</f>
        <v>2694.9</v>
      </c>
      <c r="C1147" s="3">
        <f t="shared" ca="1" si="34"/>
        <v>-8.2799735040847873E-3</v>
      </c>
      <c r="D1147">
        <f t="shared" ca="1" si="35"/>
        <v>3145.4816326530627</v>
      </c>
    </row>
    <row r="1148" spans="1:4" x14ac:dyDescent="0.25">
      <c r="A1148" s="2">
        <f ca="1">IFERROR(__xludf.DUMMYFUNCTION("""COMPUTED_VALUE"""),46072.6458333333)</f>
        <v>46072.645833333299</v>
      </c>
      <c r="B1148" s="1">
        <f ca="1">IFERROR(__xludf.DUMMYFUNCTION("""COMPUTED_VALUE"""),2677.9)</f>
        <v>2677.9</v>
      </c>
      <c r="C1148" s="3">
        <f t="shared" ca="1" si="34"/>
        <v>-6.308211807488218E-3</v>
      </c>
      <c r="D1148">
        <f t="shared" ca="1" si="35"/>
        <v>3134.428571428572</v>
      </c>
    </row>
    <row r="1149" spans="1:4" x14ac:dyDescent="0.25">
      <c r="A1149" s="2">
        <f ca="1">IFERROR(__xludf.DUMMYFUNCTION("""COMPUTED_VALUE"""),46073.6458333333)</f>
        <v>46073.645833333299</v>
      </c>
      <c r="B1149" s="1">
        <f ca="1">IFERROR(__xludf.DUMMYFUNCTION("""COMPUTED_VALUE"""),2686.2)</f>
        <v>2686.2</v>
      </c>
      <c r="C1149" s="3">
        <f t="shared" ca="1" si="34"/>
        <v>3.0994435938607591E-3</v>
      </c>
      <c r="D1149">
        <f t="shared" ca="1" si="35"/>
        <v>3123.6040816326531</v>
      </c>
    </row>
    <row r="1150" spans="1:4" x14ac:dyDescent="0.25">
      <c r="A1150" s="2">
        <f ca="1">IFERROR(__xludf.DUMMYFUNCTION("""COMPUTED_VALUE"""),46076.6458333333)</f>
        <v>46076.645833333299</v>
      </c>
      <c r="B1150" s="1">
        <f ca="1">IFERROR(__xludf.DUMMYFUNCTION("""COMPUTED_VALUE"""),2676.3)</f>
        <v>2676.3</v>
      </c>
      <c r="C1150" s="3">
        <f t="shared" ca="1" si="34"/>
        <v>-3.6855036855035503E-3</v>
      </c>
      <c r="D1150">
        <f t="shared" ca="1" si="35"/>
        <v>3113.3387755102049</v>
      </c>
    </row>
    <row r="1151" spans="1:4" x14ac:dyDescent="0.25">
      <c r="A1151" s="2">
        <f ca="1">IFERROR(__xludf.DUMMYFUNCTION("""COMPUTED_VALUE"""),46077.6458333333)</f>
        <v>46077.645833333299</v>
      </c>
      <c r="B1151" s="1">
        <f ca="1">IFERROR(__xludf.DUMMYFUNCTION("""COMPUTED_VALUE"""),2573.7)</f>
        <v>2573.6999999999998</v>
      </c>
      <c r="C1151" s="3">
        <f t="shared" ca="1" si="34"/>
        <v>-3.8336509359937362E-2</v>
      </c>
      <c r="D1151">
        <f t="shared" ca="1" si="35"/>
        <v>3102.816326530613</v>
      </c>
    </row>
    <row r="1152" spans="1:4" x14ac:dyDescent="0.25">
      <c r="A1152" s="2">
        <f ca="1">IFERROR(__xludf.DUMMYFUNCTION("""COMPUTED_VALUE"""),46078.6458333333)</f>
        <v>46078.645833333299</v>
      </c>
      <c r="B1152" s="1">
        <f ca="1">IFERROR(__xludf.DUMMYFUNCTION("""COMPUTED_VALUE"""),2629.3)</f>
        <v>2629.3</v>
      </c>
      <c r="C1152" s="3">
        <f t="shared" ca="1" si="34"/>
        <v>2.1603139449042377E-2</v>
      </c>
      <c r="D1152">
        <f t="shared" ca="1" si="35"/>
        <v>3089.6163265306132</v>
      </c>
    </row>
    <row r="1153" spans="1:4" x14ac:dyDescent="0.25">
      <c r="A1153" s="2">
        <f ca="1">IFERROR(__xludf.DUMMYFUNCTION("""COMPUTED_VALUE"""),46079.6458333333)</f>
        <v>46079.645833333299</v>
      </c>
      <c r="B1153" s="1">
        <f ca="1">IFERROR(__xludf.DUMMYFUNCTION("""COMPUTED_VALUE"""),2647.7)</f>
        <v>2647.7</v>
      </c>
      <c r="C1153" s="3">
        <f t="shared" ca="1" si="34"/>
        <v>6.998060320237187E-3</v>
      </c>
      <c r="D1153">
        <f t="shared" ca="1" si="35"/>
        <v>3077.3530612244904</v>
      </c>
    </row>
    <row r="1154" spans="1:4" x14ac:dyDescent="0.25">
      <c r="A1154" s="2">
        <f ca="1">IFERROR(__xludf.DUMMYFUNCTION("""COMPUTED_VALUE"""),46080.6458333333)</f>
        <v>46080.645833333299</v>
      </c>
      <c r="B1154" s="1">
        <f ca="1">IFERROR(__xludf.DUMMYFUNCTION("""COMPUTED_VALUE"""),2637.4)</f>
        <v>2637.4</v>
      </c>
      <c r="C1154" s="3">
        <f t="shared" ca="1" si="34"/>
        <v>-3.8901688257732101E-3</v>
      </c>
      <c r="D1154">
        <f t="shared" ca="1" si="35"/>
        <v>3065.977551020409</v>
      </c>
    </row>
    <row r="1155" spans="1:4" x14ac:dyDescent="0.25">
      <c r="A1155" s="2">
        <f ca="1">IFERROR(__xludf.DUMMYFUNCTION("""COMPUTED_VALUE"""),46083.6458333333)</f>
        <v>46083.645833333299</v>
      </c>
      <c r="B1155" s="1">
        <f ca="1">IFERROR(__xludf.DUMMYFUNCTION("""COMPUTED_VALUE"""),2613.5)</f>
        <v>2613.5</v>
      </c>
      <c r="C1155" s="3">
        <f t="shared" ca="1" si="34"/>
        <v>-9.0619549556381629E-3</v>
      </c>
      <c r="D1155">
        <f t="shared" ca="1" si="35"/>
        <v>3054.132653061225</v>
      </c>
    </row>
    <row r="1156" spans="1:4" x14ac:dyDescent="0.25">
      <c r="A1156" s="2">
        <f ca="1">IFERROR(__xludf.DUMMYFUNCTION("""COMPUTED_VALUE"""),46085.6458333333)</f>
        <v>46085.645833333299</v>
      </c>
      <c r="B1156" s="1">
        <f ca="1">IFERROR(__xludf.DUMMYFUNCTION("""COMPUTED_VALUE"""),2587.8)</f>
        <v>2587.8000000000002</v>
      </c>
      <c r="C1156" s="3">
        <f t="shared" ref="C1156:C1219" ca="1" si="36">(B1156-B1155)/B1155</f>
        <v>-9.8335565333842814E-3</v>
      </c>
      <c r="D1156">
        <f t="shared" ca="1" si="35"/>
        <v>3040.514285714286</v>
      </c>
    </row>
    <row r="1157" spans="1:4" x14ac:dyDescent="0.25">
      <c r="A1157" s="2">
        <f ca="1">IFERROR(__xludf.DUMMYFUNCTION("""COMPUTED_VALUE"""),46086.6458333333)</f>
        <v>46086.645833333299</v>
      </c>
      <c r="B1157" s="1">
        <f ca="1">IFERROR(__xludf.DUMMYFUNCTION("""COMPUTED_VALUE"""),2578.8)</f>
        <v>2578.8000000000002</v>
      </c>
      <c r="C1157" s="3">
        <f t="shared" ca="1" si="36"/>
        <v>-3.4778576396939484E-3</v>
      </c>
      <c r="D1157">
        <f t="shared" ca="1" si="35"/>
        <v>3026.3469387755104</v>
      </c>
    </row>
    <row r="1158" spans="1:4" x14ac:dyDescent="0.25">
      <c r="A1158" s="2">
        <f ca="1">IFERROR(__xludf.DUMMYFUNCTION("""COMPUTED_VALUE"""),46087.6458333333)</f>
        <v>46087.645833333299</v>
      </c>
      <c r="B1158" s="1">
        <f ca="1">IFERROR(__xludf.DUMMYFUNCTION("""COMPUTED_VALUE"""),2557.6)</f>
        <v>2557.6</v>
      </c>
      <c r="C1158" s="3">
        <f t="shared" ca="1" si="36"/>
        <v>-8.2208779277184243E-3</v>
      </c>
      <c r="D1158">
        <f t="shared" ca="1" si="35"/>
        <v>3011.120408163265</v>
      </c>
    </row>
    <row r="1159" spans="1:4" x14ac:dyDescent="0.25">
      <c r="A1159" s="2">
        <f ca="1">IFERROR(__xludf.DUMMYFUNCTION("""COMPUTED_VALUE"""),46090.6458333333)</f>
        <v>46090.645833333299</v>
      </c>
      <c r="B1159" s="1">
        <f ca="1">IFERROR(__xludf.DUMMYFUNCTION("""COMPUTED_VALUE"""),2527.4)</f>
        <v>2527.4</v>
      </c>
      <c r="C1159" s="3">
        <f t="shared" ca="1" si="36"/>
        <v>-1.1807944948389043E-2</v>
      </c>
      <c r="D1159">
        <f t="shared" ca="1" si="35"/>
        <v>2995.7653061224491</v>
      </c>
    </row>
    <row r="1160" spans="1:4" x14ac:dyDescent="0.25">
      <c r="A1160" s="2">
        <f ca="1">IFERROR(__xludf.DUMMYFUNCTION("""COMPUTED_VALUE"""),46091.6458333333)</f>
        <v>46091.645833333299</v>
      </c>
      <c r="B1160" s="1">
        <f ca="1">IFERROR(__xludf.DUMMYFUNCTION("""COMPUTED_VALUE"""),2513.1)</f>
        <v>2513.1</v>
      </c>
      <c r="C1160" s="3">
        <f t="shared" ca="1" si="36"/>
        <v>-5.6579884466250617E-3</v>
      </c>
      <c r="D1160">
        <f t="shared" ca="1" si="35"/>
        <v>2979.6102040816327</v>
      </c>
    </row>
    <row r="1161" spans="1:4" x14ac:dyDescent="0.25">
      <c r="A1161" s="2">
        <f ca="1">IFERROR(__xludf.DUMMYFUNCTION("""COMPUTED_VALUE"""),46092.6458333333)</f>
        <v>46092.645833333299</v>
      </c>
      <c r="B1161" s="1">
        <f ca="1">IFERROR(__xludf.DUMMYFUNCTION("""COMPUTED_VALUE"""),2464.9)</f>
        <v>2464.9</v>
      </c>
      <c r="C1161" s="3">
        <f t="shared" ca="1" si="36"/>
        <v>-1.9179499423023286E-2</v>
      </c>
      <c r="D1161">
        <f t="shared" ca="1" si="35"/>
        <v>2963.9591836734689</v>
      </c>
    </row>
    <row r="1162" spans="1:4" x14ac:dyDescent="0.25">
      <c r="A1162" s="2">
        <f ca="1">IFERROR(__xludf.DUMMYFUNCTION("""COMPUTED_VALUE"""),46093.6458333333)</f>
        <v>46093.645833333299</v>
      </c>
      <c r="B1162" s="1">
        <f ca="1">IFERROR(__xludf.DUMMYFUNCTION("""COMPUTED_VALUE"""),2442.4)</f>
        <v>2442.4</v>
      </c>
      <c r="C1162" s="3">
        <f t="shared" ca="1" si="36"/>
        <v>-9.1281593573775809E-3</v>
      </c>
      <c r="D1162">
        <f t="shared" ca="1" si="35"/>
        <v>2947.9061224489787</v>
      </c>
    </row>
    <row r="1163" spans="1:4" x14ac:dyDescent="0.25">
      <c r="A1163" s="2">
        <f ca="1">IFERROR(__xludf.DUMMYFUNCTION("""COMPUTED_VALUE"""),46094.6458333333)</f>
        <v>46094.645833333299</v>
      </c>
      <c r="B1163" s="1">
        <f ca="1">IFERROR(__xludf.DUMMYFUNCTION("""COMPUTED_VALUE"""),2410.5)</f>
        <v>2410.5</v>
      </c>
      <c r="C1163" s="3">
        <f t="shared" ca="1" si="36"/>
        <v>-1.3060923681624668E-2</v>
      </c>
      <c r="D1163">
        <f t="shared" ca="1" si="35"/>
        <v>2931.4897959183672</v>
      </c>
    </row>
    <row r="1164" spans="1:4" x14ac:dyDescent="0.25">
      <c r="A1164" s="2">
        <f ca="1">IFERROR(__xludf.DUMMYFUNCTION("""COMPUTED_VALUE"""),46097.6458333333)</f>
        <v>46097.645833333299</v>
      </c>
      <c r="B1164" s="1">
        <f ca="1">IFERROR(__xludf.DUMMYFUNCTION("""COMPUTED_VALUE"""),2409.2)</f>
        <v>2409.1999999999998</v>
      </c>
      <c r="C1164" s="3">
        <f t="shared" ca="1" si="36"/>
        <v>-5.3930719767690603E-4</v>
      </c>
      <c r="D1164">
        <f t="shared" ca="1" si="35"/>
        <v>2915.2510204081636</v>
      </c>
    </row>
    <row r="1165" spans="1:4" x14ac:dyDescent="0.25">
      <c r="A1165" s="2">
        <f ca="1">IFERROR(__xludf.DUMMYFUNCTION("""COMPUTED_VALUE"""),46098.6458333333)</f>
        <v>46098.645833333299</v>
      </c>
      <c r="B1165" s="1">
        <f ca="1">IFERROR(__xludf.DUMMYFUNCTION("""COMPUTED_VALUE"""),2391.7)</f>
        <v>2391.6999999999998</v>
      </c>
      <c r="C1165" s="3">
        <f t="shared" ca="1" si="36"/>
        <v>-7.263822015606841E-3</v>
      </c>
      <c r="D1165">
        <f t="shared" ca="1" si="35"/>
        <v>2898.5530612244897</v>
      </c>
    </row>
    <row r="1166" spans="1:4" x14ac:dyDescent="0.25">
      <c r="A1166" s="2">
        <f ca="1">IFERROR(__xludf.DUMMYFUNCTION("""COMPUTED_VALUE"""),46099.6458333333)</f>
        <v>46099.645833333299</v>
      </c>
      <c r="B1166" s="1">
        <f ca="1">IFERROR(__xludf.DUMMYFUNCTION("""COMPUTED_VALUE"""),2440.8)</f>
        <v>2440.8000000000002</v>
      </c>
      <c r="C1166" s="3">
        <f t="shared" ca="1" si="36"/>
        <v>2.0529330601664241E-2</v>
      </c>
      <c r="D1166">
        <f t="shared" ca="1" si="35"/>
        <v>2881.0224489795924</v>
      </c>
    </row>
    <row r="1167" spans="1:4" x14ac:dyDescent="0.25">
      <c r="A1167" s="2">
        <f ca="1">IFERROR(__xludf.DUMMYFUNCTION("""COMPUTED_VALUE"""),46100.6458333333)</f>
        <v>46100.645833333299</v>
      </c>
      <c r="B1167" s="1">
        <f ca="1">IFERROR(__xludf.DUMMYFUNCTION("""COMPUTED_VALUE"""),2356)</f>
        <v>2356</v>
      </c>
      <c r="C1167" s="3">
        <f t="shared" ca="1" si="36"/>
        <v>-3.4742707309079066E-2</v>
      </c>
      <c r="D1167">
        <f t="shared" ca="1" si="35"/>
        <v>2865.2</v>
      </c>
    </row>
    <row r="1168" spans="1:4" x14ac:dyDescent="0.25">
      <c r="A1168" s="2">
        <f ca="1">IFERROR(__xludf.DUMMYFUNCTION("""COMPUTED_VALUE"""),46101.6458333333)</f>
        <v>46101.645833333299</v>
      </c>
      <c r="B1168" s="1">
        <f ca="1">IFERROR(__xludf.DUMMYFUNCTION("""COMPUTED_VALUE"""),2390.6)</f>
        <v>2390.6</v>
      </c>
      <c r="C1168" s="3">
        <f t="shared" ca="1" si="36"/>
        <v>1.4685908319185021E-2</v>
      </c>
      <c r="D1168">
        <f t="shared" ca="1" si="35"/>
        <v>2846.8367346938776</v>
      </c>
    </row>
    <row r="1169" spans="1:4" x14ac:dyDescent="0.25">
      <c r="A1169" s="2">
        <f ca="1">IFERROR(__xludf.DUMMYFUNCTION("""COMPUTED_VALUE"""),46104.6458333333)</f>
        <v>46104.645833333299</v>
      </c>
      <c r="B1169" s="1">
        <f ca="1">IFERROR(__xludf.DUMMYFUNCTION("""COMPUTED_VALUE"""),2383.8)</f>
        <v>2383.8000000000002</v>
      </c>
      <c r="C1169" s="3">
        <f t="shared" ca="1" si="36"/>
        <v>-2.8444741905796567E-3</v>
      </c>
      <c r="D1169">
        <f t="shared" ca="1" si="35"/>
        <v>2828.367346938775</v>
      </c>
    </row>
    <row r="1170" spans="1:4" x14ac:dyDescent="0.25">
      <c r="A1170" s="2">
        <f ca="1">IFERROR(__xludf.DUMMYFUNCTION("""COMPUTED_VALUE"""),46105.6458333333)</f>
        <v>46105.645833333299</v>
      </c>
      <c r="B1170" s="1">
        <f ca="1">IFERROR(__xludf.DUMMYFUNCTION("""COMPUTED_VALUE"""),2398.8)</f>
        <v>2398.8000000000002</v>
      </c>
      <c r="C1170" s="3">
        <f t="shared" ca="1" si="36"/>
        <v>6.2924742008557757E-3</v>
      </c>
      <c r="D1170">
        <f t="shared" ca="1" si="35"/>
        <v>2811.6306122448977</v>
      </c>
    </row>
    <row r="1171" spans="1:4" x14ac:dyDescent="0.25">
      <c r="A1171" s="2">
        <f ca="1">IFERROR(__xludf.DUMMYFUNCTION("""COMPUTED_VALUE"""),46106.6458333333)</f>
        <v>46106.645833333299</v>
      </c>
      <c r="B1171" s="1">
        <f ca="1">IFERROR(__xludf.DUMMYFUNCTION("""COMPUTED_VALUE"""),2377.4)</f>
        <v>2377.4</v>
      </c>
      <c r="C1171" s="3">
        <f t="shared" ca="1" si="36"/>
        <v>-8.9211272302818449E-3</v>
      </c>
      <c r="D1171">
        <f t="shared" ca="1" si="35"/>
        <v>2795.1204081632645</v>
      </c>
    </row>
    <row r="1172" spans="1:4" x14ac:dyDescent="0.25">
      <c r="A1172" s="2">
        <f ca="1">IFERROR(__xludf.DUMMYFUNCTION("""COMPUTED_VALUE"""),46108.6458333333)</f>
        <v>46108.645833333299</v>
      </c>
      <c r="B1172" s="1">
        <f ca="1">IFERROR(__xludf.DUMMYFUNCTION("""COMPUTED_VALUE"""),2389.8)</f>
        <v>2389.8000000000002</v>
      </c>
      <c r="C1172" s="3">
        <f t="shared" ca="1" si="36"/>
        <v>5.2157819466644613E-3</v>
      </c>
      <c r="D1172">
        <f t="shared" ca="1" si="35"/>
        <v>2777.5244897959174</v>
      </c>
    </row>
    <row r="1173" spans="1:4" x14ac:dyDescent="0.25">
      <c r="A1173" s="2">
        <f ca="1">IFERROR(__xludf.DUMMYFUNCTION("""COMPUTED_VALUE"""),46111.6458333333)</f>
        <v>46111.645833333299</v>
      </c>
      <c r="B1173" s="1">
        <f ca="1">IFERROR(__xludf.DUMMYFUNCTION("""COMPUTED_VALUE"""),2358.9)</f>
        <v>2358.9</v>
      </c>
      <c r="C1173" s="3">
        <f t="shared" ca="1" si="36"/>
        <v>-1.2929952297263406E-2</v>
      </c>
      <c r="D1173">
        <f t="shared" ca="1" si="35"/>
        <v>2759.6020408163258</v>
      </c>
    </row>
    <row r="1174" spans="1:4" x14ac:dyDescent="0.25">
      <c r="A1174" s="2">
        <f ca="1">IFERROR(__xludf.DUMMYFUNCTION("""COMPUTED_VALUE"""),46113.6458333333)</f>
        <v>46113.645833333299</v>
      </c>
      <c r="B1174" s="1">
        <f ca="1">IFERROR(__xludf.DUMMYFUNCTION("""COMPUTED_VALUE"""),2408.2)</f>
        <v>2408.1999999999998</v>
      </c>
      <c r="C1174" s="3">
        <f t="shared" ca="1" si="36"/>
        <v>2.0899571834329445E-2</v>
      </c>
      <c r="D1174">
        <f t="shared" ca="1" si="35"/>
        <v>2742.5897959183667</v>
      </c>
    </row>
    <row r="1175" spans="1:4" x14ac:dyDescent="0.25">
      <c r="A1175" s="2">
        <f ca="1">IFERROR(__xludf.DUMMYFUNCTION("""COMPUTED_VALUE"""),46114.6458333333)</f>
        <v>46114.645833333299</v>
      </c>
      <c r="B1175" s="1">
        <f ca="1">IFERROR(__xludf.DUMMYFUNCTION("""COMPUTED_VALUE"""),2450.7)</f>
        <v>2450.6999999999998</v>
      </c>
      <c r="C1175" s="3">
        <f t="shared" ca="1" si="36"/>
        <v>1.7648035877418821E-2</v>
      </c>
      <c r="D1175">
        <f t="shared" ca="1" si="35"/>
        <v>2726.2938775510202</v>
      </c>
    </row>
    <row r="1176" spans="1:4" x14ac:dyDescent="0.25">
      <c r="A1176" s="2">
        <f ca="1">IFERROR(__xludf.DUMMYFUNCTION("""COMPUTED_VALUE"""),46118.6458333333)</f>
        <v>46118.645833333299</v>
      </c>
      <c r="B1176" s="1">
        <f ca="1">IFERROR(__xludf.DUMMYFUNCTION("""COMPUTED_VALUE"""),2473.9)</f>
        <v>2473.9</v>
      </c>
      <c r="C1176" s="3">
        <f t="shared" ca="1" si="36"/>
        <v>9.466682988534E-3</v>
      </c>
      <c r="D1176">
        <f t="shared" ca="1" si="35"/>
        <v>2711.7448979591832</v>
      </c>
    </row>
    <row r="1177" spans="1:4" x14ac:dyDescent="0.25">
      <c r="A1177" s="2">
        <f ca="1">IFERROR(__xludf.DUMMYFUNCTION("""COMPUTED_VALUE"""),46119.6458333333)</f>
        <v>46119.645833333299</v>
      </c>
      <c r="B1177" s="1">
        <f ca="1">IFERROR(__xludf.DUMMYFUNCTION("""COMPUTED_VALUE"""),2539.8)</f>
        <v>2539.8000000000002</v>
      </c>
      <c r="C1177" s="3">
        <f t="shared" ca="1" si="36"/>
        <v>2.6638101782610488E-2</v>
      </c>
      <c r="D1177">
        <f t="shared" ca="1" si="35"/>
        <v>2698.9204081632647</v>
      </c>
    </row>
    <row r="1178" spans="1:4" x14ac:dyDescent="0.25">
      <c r="A1178" s="2">
        <f ca="1">IFERROR(__xludf.DUMMYFUNCTION("""COMPUTED_VALUE"""),46120.6458333333)</f>
        <v>46120.645833333299</v>
      </c>
      <c r="B1178" s="1">
        <f ca="1">IFERROR(__xludf.DUMMYFUNCTION("""COMPUTED_VALUE"""),2559.2)</f>
        <v>2559.1999999999998</v>
      </c>
      <c r="C1178" s="3">
        <f t="shared" ca="1" si="36"/>
        <v>7.6383967241513643E-3</v>
      </c>
      <c r="D1178">
        <f t="shared" ca="1" si="35"/>
        <v>2687.0265306122442</v>
      </c>
    </row>
    <row r="1179" spans="1:4" x14ac:dyDescent="0.25">
      <c r="A1179" s="2">
        <f ca="1">IFERROR(__xludf.DUMMYFUNCTION("""COMPUTED_VALUE"""),46121.6458333333)</f>
        <v>46121.645833333299</v>
      </c>
      <c r="B1179" s="1">
        <f ca="1">IFERROR(__xludf.DUMMYFUNCTION("""COMPUTED_VALUE"""),2589)</f>
        <v>2589</v>
      </c>
      <c r="C1179" s="3">
        <f t="shared" ca="1" si="36"/>
        <v>1.1644263832447712E-2</v>
      </c>
      <c r="D1179">
        <f t="shared" ca="1" si="35"/>
        <v>2674.9612244897953</v>
      </c>
    </row>
    <row r="1180" spans="1:4" x14ac:dyDescent="0.25">
      <c r="A1180" s="2">
        <f ca="1">IFERROR(__xludf.DUMMYFUNCTION("""COMPUTED_VALUE"""),46122.6458333333)</f>
        <v>46122.645833333299</v>
      </c>
      <c r="B1180" s="1">
        <f ca="1">IFERROR(__xludf.DUMMYFUNCTION("""COMPUTED_VALUE"""),2524.3)</f>
        <v>2524.3000000000002</v>
      </c>
      <c r="C1180" s="3">
        <f t="shared" ca="1" si="36"/>
        <v>-2.4990343762070228E-2</v>
      </c>
      <c r="D1180">
        <f t="shared" ca="1" si="35"/>
        <v>2663.2571428571423</v>
      </c>
    </row>
    <row r="1181" spans="1:4" x14ac:dyDescent="0.25">
      <c r="A1181" s="2">
        <f ca="1">IFERROR(__xludf.DUMMYFUNCTION("""COMPUTED_VALUE"""),46125.6458333333)</f>
        <v>46125.645833333299</v>
      </c>
      <c r="B1181" s="1">
        <f ca="1">IFERROR(__xludf.DUMMYFUNCTION("""COMPUTED_VALUE"""),2472.6)</f>
        <v>2472.6</v>
      </c>
      <c r="C1181" s="3">
        <f t="shared" ca="1" si="36"/>
        <v>-2.0480925405062897E-2</v>
      </c>
      <c r="D1181">
        <f t="shared" ca="1" si="35"/>
        <v>2650.324489795918</v>
      </c>
    </row>
    <row r="1182" spans="1:4" x14ac:dyDescent="0.25">
      <c r="A1182" s="2">
        <f ca="1">IFERROR(__xludf.DUMMYFUNCTION("""COMPUTED_VALUE"""),46127.6458333333)</f>
        <v>46127.645833333299</v>
      </c>
      <c r="B1182" s="1">
        <f ca="1">IFERROR(__xludf.DUMMYFUNCTION("""COMPUTED_VALUE"""),2554.9)</f>
        <v>2554.9</v>
      </c>
      <c r="C1182" s="3">
        <f t="shared" ca="1" si="36"/>
        <v>3.328480142360276E-2</v>
      </c>
      <c r="D1182">
        <f t="shared" ca="1" si="35"/>
        <v>2635.4775510204081</v>
      </c>
    </row>
    <row r="1183" spans="1:4" x14ac:dyDescent="0.25">
      <c r="A1183" s="2">
        <f ca="1">IFERROR(__xludf.DUMMYFUNCTION("""COMPUTED_VALUE"""),46128.6458333333)</f>
        <v>46128.645833333299</v>
      </c>
      <c r="B1183" s="1">
        <f ca="1">IFERROR(__xludf.DUMMYFUNCTION("""COMPUTED_VALUE"""),2576.9)</f>
        <v>2576.9</v>
      </c>
      <c r="C1183" s="3">
        <f t="shared" ca="1" si="36"/>
        <v>8.6109045363810706E-3</v>
      </c>
      <c r="D1183">
        <f t="shared" ca="1" si="35"/>
        <v>2623.4469387755103</v>
      </c>
    </row>
    <row r="1184" spans="1:4" x14ac:dyDescent="0.25">
      <c r="A1184" s="2">
        <f ca="1">IFERROR(__xludf.DUMMYFUNCTION("""COMPUTED_VALUE"""),46129.6458333333)</f>
        <v>46129.645833333299</v>
      </c>
      <c r="B1184" s="1">
        <f ca="1">IFERROR(__xludf.DUMMYFUNCTION("""COMPUTED_VALUE"""),2581.5)</f>
        <v>2581.5</v>
      </c>
      <c r="C1184" s="3">
        <f t="shared" ca="1" si="36"/>
        <v>1.7850906127517207E-3</v>
      </c>
      <c r="D1184">
        <f t="shared" ca="1" si="35"/>
        <v>2612.2836734693874</v>
      </c>
    </row>
    <row r="1185" spans="1:4" x14ac:dyDescent="0.25">
      <c r="A1185" s="2">
        <f ca="1">IFERROR(__xludf.DUMMYFUNCTION("""COMPUTED_VALUE"""),46132.6458333333)</f>
        <v>46132.645833333299</v>
      </c>
      <c r="B1185" s="1">
        <f ca="1">IFERROR(__xludf.DUMMYFUNCTION("""COMPUTED_VALUE"""),2579.6)</f>
        <v>2579.6</v>
      </c>
      <c r="C1185" s="3">
        <f t="shared" ca="1" si="36"/>
        <v>-7.3600619794696534E-4</v>
      </c>
      <c r="D1185">
        <f t="shared" ca="1" si="35"/>
        <v>2600.2816326530606</v>
      </c>
    </row>
    <row r="1186" spans="1:4" x14ac:dyDescent="0.25">
      <c r="A1186" s="2">
        <f ca="1">IFERROR(__xludf.DUMMYFUNCTION("""COMPUTED_VALUE"""),46133.6458333333)</f>
        <v>46133.645833333299</v>
      </c>
      <c r="B1186" s="1">
        <f ca="1">IFERROR(__xludf.DUMMYFUNCTION("""COMPUTED_VALUE"""),2610.5)</f>
        <v>2610.5</v>
      </c>
      <c r="C1186" s="3">
        <f t="shared" ca="1" si="36"/>
        <v>1.1978601333540119E-2</v>
      </c>
      <c r="D1186">
        <f t="shared" ca="1" si="35"/>
        <v>2587.1040816326531</v>
      </c>
    </row>
    <row r="1187" spans="1:4" x14ac:dyDescent="0.25">
      <c r="A1187" s="2">
        <f ca="1">IFERROR(__xludf.DUMMYFUNCTION("""COMPUTED_VALUE"""),46134.6458333333)</f>
        <v>46134.645833333299</v>
      </c>
      <c r="B1187" s="1">
        <f ca="1">IFERROR(__xludf.DUMMYFUNCTION("""COMPUTED_VALUE"""),2538.5)</f>
        <v>2538.5</v>
      </c>
      <c r="C1187" s="3">
        <f t="shared" ca="1" si="36"/>
        <v>-2.7580923194790271E-2</v>
      </c>
      <c r="D1187">
        <f t="shared" ca="1" si="35"/>
        <v>2579.1734693877552</v>
      </c>
    </row>
    <row r="1188" spans="1:4" x14ac:dyDescent="0.25">
      <c r="A1188" s="2">
        <f ca="1">IFERROR(__xludf.DUMMYFUNCTION("""COMPUTED_VALUE"""),46135.6458333333)</f>
        <v>46135.645833333299</v>
      </c>
      <c r="B1188" s="1">
        <f ca="1">IFERROR(__xludf.DUMMYFUNCTION("""COMPUTED_VALUE"""),2521.8)</f>
        <v>2521.8000000000002</v>
      </c>
      <c r="C1188" s="3">
        <f t="shared" ca="1" si="36"/>
        <v>-6.5786882016938423E-3</v>
      </c>
      <c r="D1188">
        <f t="shared" ca="1" si="35"/>
        <v>2569.9285714285716</v>
      </c>
    </row>
    <row r="1189" spans="1:4" x14ac:dyDescent="0.25">
      <c r="A1189" s="2">
        <f ca="1">IFERROR(__xludf.DUMMYFUNCTION("""COMPUTED_VALUE"""),46136.6458333333)</f>
        <v>46136.645833333299</v>
      </c>
      <c r="B1189" s="1">
        <f ca="1">IFERROR(__xludf.DUMMYFUNCTION("""COMPUTED_VALUE"""),2396.9)</f>
        <v>2396.9</v>
      </c>
      <c r="C1189" s="3">
        <f t="shared" ca="1" si="36"/>
        <v>-4.9528114838607376E-2</v>
      </c>
      <c r="D1189">
        <f t="shared" ca="1" si="35"/>
        <v>2561.3612244897963</v>
      </c>
    </row>
    <row r="1190" spans="1:4" x14ac:dyDescent="0.25">
      <c r="A1190" s="2">
        <f ca="1">IFERROR(__xludf.DUMMYFUNCTION("""COMPUTED_VALUE"""),46139.6458333333)</f>
        <v>46139.645833333299</v>
      </c>
      <c r="B1190" s="1">
        <f ca="1">IFERROR(__xludf.DUMMYFUNCTION("""COMPUTED_VALUE"""),2447.6)</f>
        <v>2447.6</v>
      </c>
      <c r="C1190" s="3">
        <f t="shared" ca="1" si="36"/>
        <v>2.1152321748925618E-2</v>
      </c>
      <c r="D1190">
        <f t="shared" ca="1" si="35"/>
        <v>2550.1102040816327</v>
      </c>
    </row>
    <row r="1191" spans="1:4" x14ac:dyDescent="0.25">
      <c r="A1191" s="2">
        <f ca="1">IFERROR(__xludf.DUMMYFUNCTION("""COMPUTED_VALUE"""),46140.6458333333)</f>
        <v>46140.645833333299</v>
      </c>
      <c r="B1191" s="1">
        <f ca="1">IFERROR(__xludf.DUMMYFUNCTION("""COMPUTED_VALUE"""),2444.7)</f>
        <v>2444.6999999999998</v>
      </c>
      <c r="C1191" s="3">
        <f t="shared" ca="1" si="36"/>
        <v>-1.184834123222786E-3</v>
      </c>
      <c r="D1191">
        <f t="shared" ca="1" si="35"/>
        <v>2539.1510204081633</v>
      </c>
    </row>
    <row r="1192" spans="1:4" x14ac:dyDescent="0.25">
      <c r="A1192" s="2">
        <f ca="1">IFERROR(__xludf.DUMMYFUNCTION("""COMPUTED_VALUE"""),46141.6458333333)</f>
        <v>46141.645833333299</v>
      </c>
      <c r="B1192" s="1">
        <f ca="1">IFERROR(__xludf.DUMMYFUNCTION("""COMPUTED_VALUE"""),2474.7)</f>
        <v>2474.6999999999998</v>
      </c>
      <c r="C1192" s="3">
        <f t="shared" ca="1" si="36"/>
        <v>1.2271444348999879E-2</v>
      </c>
      <c r="D1192">
        <f t="shared" ca="1" si="35"/>
        <v>2529.6591836734692</v>
      </c>
    </row>
    <row r="1193" spans="1:4" x14ac:dyDescent="0.25">
      <c r="A1193" s="2">
        <f ca="1">IFERROR(__xludf.DUMMYFUNCTION("""COMPUTED_VALUE"""),46142.6458333333)</f>
        <v>46142.645833333299</v>
      </c>
      <c r="B1193" s="1">
        <f ca="1">IFERROR(__xludf.DUMMYFUNCTION("""COMPUTED_VALUE"""),2473.9)</f>
        <v>2473.9</v>
      </c>
      <c r="C1193" s="3">
        <f t="shared" ca="1" si="36"/>
        <v>-3.2327150765738361E-4</v>
      </c>
      <c r="D1193">
        <f t="shared" ca="1" si="35"/>
        <v>2524.0387755102038</v>
      </c>
    </row>
    <row r="1194" spans="1:4" x14ac:dyDescent="0.25">
      <c r="A1194" s="2">
        <f ca="1">IFERROR(__xludf.DUMMYFUNCTION("""COMPUTED_VALUE"""),46146.6458333333)</f>
        <v>46146.645833333299</v>
      </c>
      <c r="B1194" s="1">
        <f ca="1">IFERROR(__xludf.DUMMYFUNCTION("""COMPUTED_VALUE"""),2431.3)</f>
        <v>2431.3000000000002</v>
      </c>
      <c r="C1194" s="3">
        <f t="shared" ca="1" si="36"/>
        <v>-1.7219774445207933E-2</v>
      </c>
      <c r="D1194">
        <f t="shared" ca="1" si="35"/>
        <v>2519.5836734693871</v>
      </c>
    </row>
    <row r="1195" spans="1:4" x14ac:dyDescent="0.25">
      <c r="A1195" s="2">
        <f ca="1">IFERROR(__xludf.DUMMYFUNCTION("""COMPUTED_VALUE"""),46147.6458333333)</f>
        <v>46147.645833333299</v>
      </c>
      <c r="B1195" s="1">
        <f ca="1">IFERROR(__xludf.DUMMYFUNCTION("""COMPUTED_VALUE"""),2427.3)</f>
        <v>2427.3000000000002</v>
      </c>
      <c r="C1195" s="3">
        <f t="shared" ca="1" si="36"/>
        <v>-1.6452103812775057E-3</v>
      </c>
      <c r="D1195">
        <f t="shared" ca="1" si="35"/>
        <v>2513.965306122449</v>
      </c>
    </row>
    <row r="1196" spans="1:4" x14ac:dyDescent="0.25">
      <c r="A1196" s="2">
        <f ca="1">IFERROR(__xludf.DUMMYFUNCTION("""COMPUTED_VALUE"""),46148.6458333333)</f>
        <v>46148.645833333299</v>
      </c>
      <c r="B1196" s="1">
        <f ca="1">IFERROR(__xludf.DUMMYFUNCTION("""COMPUTED_VALUE"""),2435.4)</f>
        <v>2435.4</v>
      </c>
      <c r="C1196" s="3">
        <f t="shared" ca="1" si="36"/>
        <v>3.3370411568408968E-3</v>
      </c>
      <c r="D1196">
        <f t="shared" ca="1" si="35"/>
        <v>2508.0448979591838</v>
      </c>
    </row>
    <row r="1197" spans="1:4" x14ac:dyDescent="0.25">
      <c r="A1197" s="2">
        <f ca="1">IFERROR(__xludf.DUMMYFUNCTION("""COMPUTED_VALUE"""),46149.6458333333)</f>
        <v>46149.645833333299</v>
      </c>
      <c r="B1197" s="1">
        <f ca="1">IFERROR(__xludf.DUMMYFUNCTION("""COMPUTED_VALUE"""),2401.4)</f>
        <v>2401.4</v>
      </c>
      <c r="C1197" s="3">
        <f t="shared" ca="1" si="36"/>
        <v>-1.3960745668062741E-2</v>
      </c>
      <c r="D1197">
        <f t="shared" ca="1" si="35"/>
        <v>2502.7489795918368</v>
      </c>
    </row>
    <row r="1198" spans="1:4" x14ac:dyDescent="0.25">
      <c r="A1198" s="2">
        <f ca="1">IFERROR(__xludf.DUMMYFUNCTION("""COMPUTED_VALUE"""),46150.6458333333)</f>
        <v>46150.645833333299</v>
      </c>
      <c r="B1198" s="1">
        <f ca="1">IFERROR(__xludf.DUMMYFUNCTION("""COMPUTED_VALUE"""),2394.4)</f>
        <v>2394.4</v>
      </c>
      <c r="C1198" s="3">
        <f t="shared" ca="1" si="36"/>
        <v>-2.9149662696760221E-3</v>
      </c>
      <c r="D1198">
        <f t="shared" ca="1" si="35"/>
        <v>2497.106122448979</v>
      </c>
    </row>
    <row r="1199" spans="1:4" x14ac:dyDescent="0.25">
      <c r="A1199" s="2">
        <f ca="1">IFERROR(__xludf.DUMMYFUNCTION("""COMPUTED_VALUE"""),46153.6458333333)</f>
        <v>46153.645833333299</v>
      </c>
      <c r="B1199" s="1">
        <f ca="1">IFERROR(__xludf.DUMMYFUNCTION("""COMPUTED_VALUE"""),2392.9)</f>
        <v>2392.9</v>
      </c>
      <c r="C1199" s="3">
        <f t="shared" ca="1" si="36"/>
        <v>-6.264617440694955E-4</v>
      </c>
      <c r="D1199">
        <f t="shared" ca="1" si="35"/>
        <v>2491.1510204081628</v>
      </c>
    </row>
    <row r="1200" spans="1:4" x14ac:dyDescent="0.25">
      <c r="A1200" s="2">
        <f ca="1">IFERROR(__xludf.DUMMYFUNCTION("""COMPUTED_VALUE"""),46154.6458333333)</f>
        <v>46154.645833333299</v>
      </c>
      <c r="B1200" s="1">
        <f ca="1">IFERROR(__xludf.DUMMYFUNCTION("""COMPUTED_VALUE"""),2300.3)</f>
        <v>2300.3000000000002</v>
      </c>
      <c r="C1200" s="3">
        <f t="shared" ca="1" si="36"/>
        <v>-3.8697814367503823E-2</v>
      </c>
      <c r="D1200">
        <f t="shared" ca="1" si="35"/>
        <v>2485.3673469387754</v>
      </c>
    </row>
    <row r="1201" spans="1:4" x14ac:dyDescent="0.25">
      <c r="A1201" s="2">
        <f ca="1">IFERROR(__xludf.DUMMYFUNCTION("""COMPUTED_VALUE"""),46155.6458333333)</f>
        <v>46155.645833333299</v>
      </c>
      <c r="B1201" s="1">
        <f ca="1">IFERROR(__xludf.DUMMYFUNCTION("""COMPUTED_VALUE"""),2272.8)</f>
        <v>2272.8000000000002</v>
      </c>
      <c r="C1201" s="3">
        <f t="shared" ca="1" si="36"/>
        <v>-1.195496239620919E-2</v>
      </c>
      <c r="D1201">
        <f t="shared" ca="1" si="35"/>
        <v>2479.7877551020406</v>
      </c>
    </row>
    <row r="1202" spans="1:4" x14ac:dyDescent="0.25">
      <c r="A1202" s="2">
        <f ca="1">IFERROR(__xludf.DUMMYFUNCTION("""COMPUTED_VALUE"""),46156.6458333333)</f>
        <v>46156.645833333299</v>
      </c>
      <c r="B1202" s="1">
        <f ca="1">IFERROR(__xludf.DUMMYFUNCTION("""COMPUTED_VALUE"""),2246)</f>
        <v>2246</v>
      </c>
      <c r="C1202" s="3">
        <f t="shared" ca="1" si="36"/>
        <v>-1.1791622668074701E-2</v>
      </c>
      <c r="D1202">
        <f t="shared" ca="1" si="35"/>
        <v>2472.5122448979591</v>
      </c>
    </row>
    <row r="1203" spans="1:4" x14ac:dyDescent="0.25">
      <c r="A1203" s="2">
        <f ca="1">IFERROR(__xludf.DUMMYFUNCTION("""COMPUTED_VALUE"""),46157.6458333333)</f>
        <v>46157.645833333299</v>
      </c>
      <c r="B1203" s="1">
        <f ca="1">IFERROR(__xludf.DUMMYFUNCTION("""COMPUTED_VALUE"""),2264)</f>
        <v>2264</v>
      </c>
      <c r="C1203" s="3">
        <f t="shared" ca="1" si="36"/>
        <v>8.0142475512021364E-3</v>
      </c>
      <c r="D1203">
        <f t="shared" ca="1" si="35"/>
        <v>2464.3142857142857</v>
      </c>
    </row>
    <row r="1204" spans="1:4" x14ac:dyDescent="0.25">
      <c r="A1204" s="2">
        <f ca="1">IFERROR(__xludf.DUMMYFUNCTION("""COMPUTED_VALUE"""),46160.6458333333)</f>
        <v>46160.645833333299</v>
      </c>
      <c r="B1204" s="1">
        <f ca="1">IFERROR(__xludf.DUMMYFUNCTION("""COMPUTED_VALUE"""),2283.2)</f>
        <v>2283.1999999999998</v>
      </c>
      <c r="C1204" s="3">
        <f t="shared" ca="1" si="36"/>
        <v>8.4805653710246544E-3</v>
      </c>
      <c r="D1204">
        <f t="shared" ref="D1204:D1229" ca="1" si="37">AVERAGE(B1155:B1203)</f>
        <v>2456.6938775510203</v>
      </c>
    </row>
    <row r="1205" spans="1:4" x14ac:dyDescent="0.25">
      <c r="A1205" s="2">
        <f ca="1">IFERROR(__xludf.DUMMYFUNCTION("""COMPUTED_VALUE"""),46161.6458333333)</f>
        <v>46161.645833333299</v>
      </c>
      <c r="B1205" s="1">
        <f ca="1">IFERROR(__xludf.DUMMYFUNCTION("""COMPUTED_VALUE"""),2327.1)</f>
        <v>2327.1</v>
      </c>
      <c r="C1205" s="3">
        <f t="shared" ca="1" si="36"/>
        <v>1.922740014015421E-2</v>
      </c>
      <c r="D1205">
        <f t="shared" ca="1" si="37"/>
        <v>2449.9530612244894</v>
      </c>
    </row>
    <row r="1206" spans="1:4" x14ac:dyDescent="0.25">
      <c r="A1206" s="2">
        <f ca="1">IFERROR(__xludf.DUMMYFUNCTION("""COMPUTED_VALUE"""),46162.6458333333)</f>
        <v>46162.645833333299</v>
      </c>
      <c r="B1206" s="1">
        <f ca="1">IFERROR(__xludf.DUMMYFUNCTION("""COMPUTED_VALUE"""),2327.4)</f>
        <v>2327.4</v>
      </c>
      <c r="C1206" s="3">
        <f t="shared" ca="1" si="36"/>
        <v>1.2891581797094318E-4</v>
      </c>
      <c r="D1206">
        <f t="shared" ca="1" si="37"/>
        <v>2444.6326530612241</v>
      </c>
    </row>
    <row r="1207" spans="1:4" x14ac:dyDescent="0.25">
      <c r="A1207" s="2">
        <f ca="1">IFERROR(__xludf.DUMMYFUNCTION("""COMPUTED_VALUE"""),46163.6458333333)</f>
        <v>46163.645833333299</v>
      </c>
      <c r="B1207" s="1">
        <f ca="1">IFERROR(__xludf.DUMMYFUNCTION("""COMPUTED_VALUE"""),2327.2)</f>
        <v>2327.1999999999998</v>
      </c>
      <c r="C1207" s="3">
        <f t="shared" ca="1" si="36"/>
        <v>-8.5932800550087148E-5</v>
      </c>
      <c r="D1207">
        <f t="shared" ca="1" si="37"/>
        <v>2439.5020408163259</v>
      </c>
    </row>
    <row r="1208" spans="1:4" x14ac:dyDescent="0.25">
      <c r="A1208" s="2">
        <f ca="1">IFERROR(__xludf.DUMMYFUNCTION("""COMPUTED_VALUE"""),46164.6458333333)</f>
        <v>46164.645833333299</v>
      </c>
      <c r="B1208" s="1">
        <f ca="1">IFERROR(__xludf.DUMMYFUNCTION("""COMPUTED_VALUE"""),2317.3)</f>
        <v>2317.3000000000002</v>
      </c>
      <c r="C1208" s="3">
        <f t="shared" ca="1" si="36"/>
        <v>-4.254039188724492E-3</v>
      </c>
      <c r="D1208">
        <f t="shared" ca="1" si="37"/>
        <v>2434.7999999999997</v>
      </c>
    </row>
    <row r="1209" spans="1:4" x14ac:dyDescent="0.25">
      <c r="A1209" s="2">
        <f ca="1">IFERROR(__xludf.DUMMYFUNCTION("""COMPUTED_VALUE"""),46167.6458333333)</f>
        <v>46167.645833333299</v>
      </c>
      <c r="B1209" s="1">
        <f ca="1">IFERROR(__xludf.DUMMYFUNCTION("""COMPUTED_VALUE"""),2308.2)</f>
        <v>2308.1999999999998</v>
      </c>
      <c r="C1209" s="3">
        <f t="shared" ca="1" si="36"/>
        <v>-3.9269839899885054E-3</v>
      </c>
      <c r="D1209">
        <f t="shared" ca="1" si="37"/>
        <v>2430.5122448979587</v>
      </c>
    </row>
    <row r="1210" spans="1:4" x14ac:dyDescent="0.25">
      <c r="A1210" s="2">
        <f ca="1">IFERROR(__xludf.DUMMYFUNCTION("""COMPUTED_VALUE"""),46168.6458333333)</f>
        <v>46168.645833333299</v>
      </c>
      <c r="B1210" s="1">
        <f ca="1">IFERROR(__xludf.DUMMYFUNCTION("""COMPUTED_VALUE"""),2276.2)</f>
        <v>2276.1999999999998</v>
      </c>
      <c r="C1210" s="3">
        <f t="shared" ca="1" si="36"/>
        <v>-1.3863616670999048E-2</v>
      </c>
      <c r="D1210">
        <f t="shared" ca="1" si="37"/>
        <v>2426.3306122448971</v>
      </c>
    </row>
    <row r="1211" spans="1:4" x14ac:dyDescent="0.25">
      <c r="A1211" s="2">
        <f ca="1">IFERROR(__xludf.DUMMYFUNCTION("""COMPUTED_VALUE"""),46169.6458333333)</f>
        <v>46169.645833333299</v>
      </c>
      <c r="B1211" s="1">
        <f ca="1">IFERROR(__xludf.DUMMYFUNCTION("""COMPUTED_VALUE"""),2284.2)</f>
        <v>2284.1999999999998</v>
      </c>
      <c r="C1211" s="3">
        <f t="shared" ca="1" si="36"/>
        <v>3.5146296459010636E-3</v>
      </c>
      <c r="D1211">
        <f t="shared" ca="1" si="37"/>
        <v>2422.479591836734</v>
      </c>
    </row>
    <row r="1212" spans="1:4" x14ac:dyDescent="0.25">
      <c r="A1212" s="2">
        <f ca="1">IFERROR(__xludf.DUMMYFUNCTION("""COMPUTED_VALUE"""),46171.6458333333)</f>
        <v>46171.645833333299</v>
      </c>
      <c r="B1212" s="1">
        <f ca="1">IFERROR(__xludf.DUMMYFUNCTION("""COMPUTED_VALUE"""),2258.9)</f>
        <v>2258.9</v>
      </c>
      <c r="C1212" s="3">
        <f t="shared" ca="1" si="36"/>
        <v>-1.107608790823909E-2</v>
      </c>
      <c r="D1212">
        <f t="shared" ca="1" si="37"/>
        <v>2419.2510204081627</v>
      </c>
    </row>
    <row r="1213" spans="1:4" x14ac:dyDescent="0.25">
      <c r="A1213" s="2">
        <f ca="1">IFERROR(__xludf.DUMMYFUNCTION("""COMPUTED_VALUE"""),46174.6458333333)</f>
        <v>46174.645833333299</v>
      </c>
      <c r="B1213" s="1">
        <f ca="1">IFERROR(__xludf.DUMMYFUNCTION("""COMPUTED_VALUE"""),2297.4)</f>
        <v>2297.4</v>
      </c>
      <c r="C1213" s="3">
        <f t="shared" ca="1" si="36"/>
        <v>1.7043693833281685E-2</v>
      </c>
      <c r="D1213">
        <f t="shared" ca="1" si="37"/>
        <v>2416.1571428571424</v>
      </c>
    </row>
    <row r="1214" spans="1:4" x14ac:dyDescent="0.25">
      <c r="A1214" s="2">
        <f ca="1">IFERROR(__xludf.DUMMYFUNCTION("""COMPUTED_VALUE"""),46175.6458333333)</f>
        <v>46175.645833333299</v>
      </c>
      <c r="B1214" s="1">
        <f ca="1">IFERROR(__xludf.DUMMYFUNCTION("""COMPUTED_VALUE"""),2446.9)</f>
        <v>2446.9</v>
      </c>
      <c r="C1214" s="3">
        <f t="shared" ca="1" si="36"/>
        <v>6.5073561417254289E-2</v>
      </c>
      <c r="D1214">
        <f t="shared" ca="1" si="37"/>
        <v>2413.8755102040809</v>
      </c>
    </row>
    <row r="1215" spans="1:4" x14ac:dyDescent="0.25">
      <c r="A1215" s="2">
        <f ca="1">IFERROR(__xludf.DUMMYFUNCTION("""COMPUTED_VALUE"""),46176.6458333333)</f>
        <v>46176.645833333299</v>
      </c>
      <c r="B1215" s="1">
        <f ca="1">IFERROR(__xludf.DUMMYFUNCTION("""COMPUTED_VALUE"""),2241.7)</f>
        <v>2241.6999999999998</v>
      </c>
      <c r="C1215" s="3">
        <f t="shared" ca="1" si="36"/>
        <v>-8.3861212145980732E-2</v>
      </c>
      <c r="D1215">
        <f t="shared" ca="1" si="37"/>
        <v>2415.0020408163259</v>
      </c>
    </row>
    <row r="1216" spans="1:4" x14ac:dyDescent="0.25">
      <c r="A1216" s="2">
        <f ca="1">IFERROR(__xludf.DUMMYFUNCTION("""COMPUTED_VALUE"""),46177.6458333333)</f>
        <v>46177.645833333299</v>
      </c>
      <c r="B1216" s="1">
        <f ca="1">IFERROR(__xludf.DUMMYFUNCTION("""COMPUTED_VALUE"""),2241)</f>
        <v>2241</v>
      </c>
      <c r="C1216" s="3">
        <f t="shared" ca="1" si="36"/>
        <v>-3.1226301467628055E-4</v>
      </c>
      <c r="D1216">
        <f t="shared" ca="1" si="37"/>
        <v>2410.9387755102034</v>
      </c>
    </row>
    <row r="1217" spans="1:4" x14ac:dyDescent="0.25">
      <c r="A1217" s="2">
        <f ca="1">IFERROR(__xludf.DUMMYFUNCTION("""COMPUTED_VALUE"""),46178.6458333333)</f>
        <v>46178.645833333299</v>
      </c>
      <c r="B1217" s="1">
        <f ca="1">IFERROR(__xludf.DUMMYFUNCTION("""COMPUTED_VALUE"""),2198.9)</f>
        <v>2198.9</v>
      </c>
      <c r="C1217" s="3">
        <f t="shared" ca="1" si="36"/>
        <v>-1.8786256135653684E-2</v>
      </c>
      <c r="D1217">
        <f t="shared" ca="1" si="37"/>
        <v>2408.5918367346931</v>
      </c>
    </row>
    <row r="1218" spans="1:4" x14ac:dyDescent="0.25">
      <c r="A1218" s="2">
        <f ca="1">IFERROR(__xludf.DUMMYFUNCTION("""COMPUTED_VALUE"""),46181.6458333333)</f>
        <v>46181.645833333299</v>
      </c>
      <c r="B1218" s="1">
        <f ca="1">IFERROR(__xludf.DUMMYFUNCTION("""COMPUTED_VALUE"""),2151.4)</f>
        <v>2151.4</v>
      </c>
      <c r="C1218" s="3">
        <f t="shared" ca="1" si="36"/>
        <v>-2.1601709945882033E-2</v>
      </c>
      <c r="D1218">
        <f t="shared" ca="1" si="37"/>
        <v>2404.6795918367334</v>
      </c>
    </row>
    <row r="1219" spans="1:4" x14ac:dyDescent="0.25">
      <c r="A1219" s="2">
        <f ca="1">IFERROR(__xludf.DUMMYFUNCTION("""COMPUTED_VALUE"""),46182.6458333333)</f>
        <v>46182.645833333299</v>
      </c>
      <c r="B1219" s="1">
        <f ca="1">IFERROR(__xludf.DUMMYFUNCTION("""COMPUTED_VALUE"""),2151)</f>
        <v>2151</v>
      </c>
      <c r="C1219" s="3">
        <f t="shared" ca="1" si="36"/>
        <v>-1.8592544389703957E-4</v>
      </c>
      <c r="D1219">
        <f t="shared" ca="1" si="37"/>
        <v>2399.9367346938766</v>
      </c>
    </row>
    <row r="1220" spans="1:4" x14ac:dyDescent="0.25">
      <c r="A1220" s="2">
        <f ca="1">IFERROR(__xludf.DUMMYFUNCTION("""COMPUTED_VALUE"""),46183.6458333333)</f>
        <v>46183.645833333299</v>
      </c>
      <c r="B1220" s="1">
        <f ca="1">IFERROR(__xludf.DUMMYFUNCTION("""COMPUTED_VALUE"""),2153.9)</f>
        <v>2153.9</v>
      </c>
      <c r="C1220" s="3">
        <f t="shared" ref="C1220:C1230" ca="1" si="38">(B1220-B1219)/B1219</f>
        <v>1.3482101348210559E-3</v>
      </c>
      <c r="D1220">
        <f t="shared" ca="1" si="37"/>
        <v>2394.8795918367341</v>
      </c>
    </row>
    <row r="1221" spans="1:4" x14ac:dyDescent="0.25">
      <c r="A1221" s="2">
        <f ca="1">IFERROR(__xludf.DUMMYFUNCTION("""COMPUTED_VALUE"""),46184.6458333333)</f>
        <v>46184.645833333299</v>
      </c>
      <c r="B1221" s="1">
        <f ca="1">IFERROR(__xludf.DUMMYFUNCTION("""COMPUTED_VALUE"""),2135.6)</f>
        <v>2135.6</v>
      </c>
      <c r="C1221" s="3">
        <f t="shared" ca="1" si="38"/>
        <v>-8.4962161660245041E-3</v>
      </c>
      <c r="D1221">
        <f t="shared" ca="1" si="37"/>
        <v>2390.318367346938</v>
      </c>
    </row>
    <row r="1222" spans="1:4" x14ac:dyDescent="0.25">
      <c r="A1222" s="2">
        <f ca="1">IFERROR(__xludf.DUMMYFUNCTION("""COMPUTED_VALUE"""),46185.6458333333)</f>
        <v>46185.645833333299</v>
      </c>
      <c r="B1222" s="1">
        <f ca="1">IFERROR(__xludf.DUMMYFUNCTION("""COMPUTED_VALUE"""),2161.4)</f>
        <v>2161.4</v>
      </c>
      <c r="C1222" s="3">
        <f t="shared" ca="1" si="38"/>
        <v>1.2080914028844439E-2</v>
      </c>
      <c r="D1222">
        <f t="shared" ca="1" si="37"/>
        <v>2385.1306122448973</v>
      </c>
    </row>
    <row r="1223" spans="1:4" x14ac:dyDescent="0.25">
      <c r="A1223" s="2">
        <f ca="1">IFERROR(__xludf.DUMMYFUNCTION("""COMPUTED_VALUE"""),46188.6458333333)</f>
        <v>46188.645833333299</v>
      </c>
      <c r="B1223" s="1">
        <f ca="1">IFERROR(__xludf.DUMMYFUNCTION("""COMPUTED_VALUE"""),2162)</f>
        <v>2162</v>
      </c>
      <c r="C1223" s="3">
        <f t="shared" ca="1" si="38"/>
        <v>2.7759785324322616E-4</v>
      </c>
      <c r="D1223">
        <f t="shared" ca="1" si="37"/>
        <v>2381.0999999999995</v>
      </c>
    </row>
    <row r="1224" spans="1:4" x14ac:dyDescent="0.25">
      <c r="A1224" s="2">
        <f ca="1">IFERROR(__xludf.DUMMYFUNCTION("""COMPUTED_VALUE"""),46189.6458333333)</f>
        <v>46189.645833333299</v>
      </c>
      <c r="B1224" s="1">
        <f ca="1">IFERROR(__xludf.DUMMYFUNCTION("""COMPUTED_VALUE"""),2199)</f>
        <v>2199</v>
      </c>
      <c r="C1224" s="3">
        <f t="shared" ca="1" si="38"/>
        <v>1.7113783533765033E-2</v>
      </c>
      <c r="D1224">
        <f t="shared" ca="1" si="37"/>
        <v>2376.0755102040812</v>
      </c>
    </row>
    <row r="1225" spans="1:4" x14ac:dyDescent="0.25">
      <c r="A1225" s="2">
        <f ca="1">IFERROR(__xludf.DUMMYFUNCTION("""COMPUTED_VALUE"""),46190.6458333333)</f>
        <v>46190.645833333299</v>
      </c>
      <c r="B1225" s="1">
        <f ca="1">IFERROR(__xludf.DUMMYFUNCTION("""COMPUTED_VALUE"""),2223)</f>
        <v>2223</v>
      </c>
      <c r="C1225" s="3">
        <f t="shared" ca="1" si="38"/>
        <v>1.0914051841746248E-2</v>
      </c>
      <c r="D1225">
        <f t="shared" ca="1" si="37"/>
        <v>2370.9387755102034</v>
      </c>
    </row>
    <row r="1226" spans="1:4" x14ac:dyDescent="0.25">
      <c r="A1226" s="2">
        <f ca="1">IFERROR(__xludf.DUMMYFUNCTION("""COMPUTED_VALUE"""),46191.6458333333)</f>
        <v>46191.645833333299</v>
      </c>
      <c r="B1226" s="1">
        <f ca="1">IFERROR(__xludf.DUMMYFUNCTION("""COMPUTED_VALUE"""),2203.3)</f>
        <v>2203.3000000000002</v>
      </c>
      <c r="C1226" s="3">
        <f t="shared" ca="1" si="38"/>
        <v>-8.8618983355824646E-3</v>
      </c>
      <c r="D1226">
        <f t="shared" ca="1" si="37"/>
        <v>2365.818367346938</v>
      </c>
    </row>
    <row r="1227" spans="1:4" x14ac:dyDescent="0.25">
      <c r="A1227" s="2">
        <f ca="1">IFERROR(__xludf.DUMMYFUNCTION("""COMPUTED_VALUE"""),46192.6458333333)</f>
        <v>46192.645833333299</v>
      </c>
      <c r="B1227" s="1">
        <f ca="1">IFERROR(__xludf.DUMMYFUNCTION("""COMPUTED_VALUE"""),2125)</f>
        <v>2125</v>
      </c>
      <c r="C1227" s="3">
        <f t="shared" ca="1" si="38"/>
        <v>-3.5537602686878854E-2</v>
      </c>
      <c r="D1227">
        <f t="shared" ca="1" si="37"/>
        <v>2358.951020408163</v>
      </c>
    </row>
    <row r="1228" spans="1:4" x14ac:dyDescent="0.25">
      <c r="A1228" s="2">
        <f ca="1">IFERROR(__xludf.DUMMYFUNCTION("""COMPUTED_VALUE"""),46195.6458333333)</f>
        <v>46195.645833333299</v>
      </c>
      <c r="B1228" s="1">
        <f ca="1">IFERROR(__xludf.DUMMYFUNCTION("""COMPUTED_VALUE"""),2127.8)</f>
        <v>2127.8000000000002</v>
      </c>
      <c r="C1228" s="3">
        <f t="shared" ca="1" si="38"/>
        <v>1.3176470588236149E-3</v>
      </c>
      <c r="D1228">
        <f t="shared" ca="1" si="37"/>
        <v>2350.0897959183667</v>
      </c>
    </row>
    <row r="1229" spans="1:4" x14ac:dyDescent="0.25">
      <c r="A1229" s="2">
        <f ca="1">IFERROR(__xludf.DUMMYFUNCTION("""COMPUTED_VALUE"""),46196.6458333333)</f>
        <v>46196.645833333299</v>
      </c>
      <c r="B1229" s="1">
        <f ca="1">IFERROR(__xludf.DUMMYFUNCTION("""COMPUTED_VALUE"""),2059.6)</f>
        <v>2059.6</v>
      </c>
      <c r="C1229" s="3">
        <f t="shared" ca="1" si="38"/>
        <v>-3.2051884575618132E-2</v>
      </c>
      <c r="D1229">
        <f t="shared" ca="1" si="37"/>
        <v>2340.6775510204075</v>
      </c>
    </row>
    <row r="1230" spans="1:4" x14ac:dyDescent="0.25">
      <c r="A1230" s="2">
        <f ca="1">IFERROR(__xludf.DUMMYFUNCTION("""COMPUTED_VALUE"""),46197.6458333333)</f>
        <v>46197.645833333299</v>
      </c>
      <c r="B1230" s="1">
        <f ca="1">IFERROR(__xludf.DUMMYFUNCTION("""COMPUTED_VALUE"""),2109)</f>
        <v>2109</v>
      </c>
      <c r="C1230" s="3">
        <f t="shared" ca="1" si="38"/>
        <v>2.398523985239857E-2</v>
      </c>
      <c r="D1230">
        <f ca="1">AVERAGE(B1181:B1229)</f>
        <v>2331.1938775510198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230"/>
  <sheetViews>
    <sheetView workbookViewId="0">
      <selection activeCell="E1" sqref="E1:F2"/>
    </sheetView>
  </sheetViews>
  <sheetFormatPr defaultColWidth="12.6640625" defaultRowHeight="15.75" customHeight="1" x14ac:dyDescent="0.25"/>
  <cols>
    <col min="1" max="1" width="18.21875" customWidth="1"/>
    <col min="3" max="3" width="17.6640625" style="3"/>
    <col min="4" max="4" width="28" customWidth="1"/>
    <col min="5" max="5" width="23.44140625" customWidth="1"/>
    <col min="6" max="6" width="21.44140625" customWidth="1"/>
  </cols>
  <sheetData>
    <row r="1" spans="1:6" x14ac:dyDescent="0.25">
      <c r="A1" s="1" t="str">
        <f ca="1">IFERROR(__xludf.DUMMYFUNCTION("GOOGLEFINANCE(""NSE:INFY"", ""price"", TODAY()-1825, TODAY(), ""DAILY"")"),"Date")</f>
        <v>Date</v>
      </c>
      <c r="B1" s="1" t="str">
        <f ca="1">IFERROR(__xludf.DUMMYFUNCTION("""COMPUTED_VALUE"""),"Close")</f>
        <v>Close</v>
      </c>
      <c r="C1" s="3" t="s">
        <v>0</v>
      </c>
      <c r="D1" t="s">
        <v>1</v>
      </c>
      <c r="E1" s="4" t="s">
        <v>2</v>
      </c>
      <c r="F1" s="4" t="s">
        <v>3</v>
      </c>
    </row>
    <row r="2" spans="1:6" x14ac:dyDescent="0.25">
      <c r="A2" s="2">
        <f ca="1">IFERROR(__xludf.DUMMYFUNCTION("""COMPUTED_VALUE"""),44375.6458333333)</f>
        <v>44375.645833333299</v>
      </c>
      <c r="B2" s="1">
        <f ca="1">IFERROR(__xludf.DUMMYFUNCTION("""COMPUTED_VALUE"""),1571.8)</f>
        <v>1571.8</v>
      </c>
      <c r="E2" s="5">
        <f ca="1">_xlfn.STDEV.S(C:C) * SQRT(252)</f>
        <v>0.25480536098175299</v>
      </c>
      <c r="F2" s="5">
        <f ca="1">AVERAGE(C:C)*252</f>
        <v>-4.8925878084917662E-2</v>
      </c>
    </row>
    <row r="3" spans="1:6" x14ac:dyDescent="0.25">
      <c r="A3" s="2">
        <f ca="1">IFERROR(__xludf.DUMMYFUNCTION("""COMPUTED_VALUE"""),44376.6458333333)</f>
        <v>44376.645833333299</v>
      </c>
      <c r="B3" s="1">
        <f ca="1">IFERROR(__xludf.DUMMYFUNCTION("""COMPUTED_VALUE"""),1563.05)</f>
        <v>1563.05</v>
      </c>
      <c r="C3" s="3">
        <f ca="1">(B3-B2)/B2</f>
        <v>-5.5668660134877215E-3</v>
      </c>
    </row>
    <row r="4" spans="1:6" x14ac:dyDescent="0.25">
      <c r="A4" s="2">
        <f ca="1">IFERROR(__xludf.DUMMYFUNCTION("""COMPUTED_VALUE"""),44377.6458333333)</f>
        <v>44377.645833333299</v>
      </c>
      <c r="B4" s="1">
        <f ca="1">IFERROR(__xludf.DUMMYFUNCTION("""COMPUTED_VALUE"""),1580.8)</f>
        <v>1580.8</v>
      </c>
      <c r="C4" s="3">
        <f t="shared" ref="C4:C67" ca="1" si="0">(B4-B3)/B3</f>
        <v>1.1356002687054157E-2</v>
      </c>
    </row>
    <row r="5" spans="1:6" x14ac:dyDescent="0.25">
      <c r="A5" s="2">
        <f ca="1">IFERROR(__xludf.DUMMYFUNCTION("""COMPUTED_VALUE"""),44378.6458333333)</f>
        <v>44378.645833333299</v>
      </c>
      <c r="B5" s="1">
        <f ca="1">IFERROR(__xludf.DUMMYFUNCTION("""COMPUTED_VALUE"""),1560.4)</f>
        <v>1560.4</v>
      </c>
      <c r="C5" s="3">
        <f t="shared" ca="1" si="0"/>
        <v>-1.2904858299595055E-2</v>
      </c>
    </row>
    <row r="6" spans="1:6" x14ac:dyDescent="0.25">
      <c r="A6" s="2">
        <f ca="1">IFERROR(__xludf.DUMMYFUNCTION("""COMPUTED_VALUE"""),44379.6458333333)</f>
        <v>44379.645833333299</v>
      </c>
      <c r="B6" s="1">
        <f ca="1">IFERROR(__xludf.DUMMYFUNCTION("""COMPUTED_VALUE"""),1567.8)</f>
        <v>1567.8</v>
      </c>
      <c r="C6" s="3">
        <f t="shared" ca="1" si="0"/>
        <v>4.7423737503203426E-3</v>
      </c>
    </row>
    <row r="7" spans="1:6" x14ac:dyDescent="0.25">
      <c r="A7" s="2">
        <f ca="1">IFERROR(__xludf.DUMMYFUNCTION("""COMPUTED_VALUE"""),44382.6458333333)</f>
        <v>44382.645833333299</v>
      </c>
      <c r="B7" s="1">
        <f ca="1">IFERROR(__xludf.DUMMYFUNCTION("""COMPUTED_VALUE"""),1578.95)</f>
        <v>1578.95</v>
      </c>
      <c r="C7" s="3">
        <f t="shared" ca="1" si="0"/>
        <v>7.1118765148616477E-3</v>
      </c>
    </row>
    <row r="8" spans="1:6" x14ac:dyDescent="0.25">
      <c r="A8" s="2">
        <f ca="1">IFERROR(__xludf.DUMMYFUNCTION("""COMPUTED_VALUE"""),44383.6458333333)</f>
        <v>44383.645833333299</v>
      </c>
      <c r="B8" s="1">
        <f ca="1">IFERROR(__xludf.DUMMYFUNCTION("""COMPUTED_VALUE"""),1562.2)</f>
        <v>1562.2</v>
      </c>
      <c r="C8" s="3">
        <f t="shared" ca="1" si="0"/>
        <v>-1.0608315652807246E-2</v>
      </c>
    </row>
    <row r="9" spans="1:6" x14ac:dyDescent="0.25">
      <c r="A9" s="2">
        <f ca="1">IFERROR(__xludf.DUMMYFUNCTION("""COMPUTED_VALUE"""),44384.6458333333)</f>
        <v>44384.645833333299</v>
      </c>
      <c r="B9" s="1">
        <f ca="1">IFERROR(__xludf.DUMMYFUNCTION("""COMPUTED_VALUE"""),1564.6)</f>
        <v>1564.6</v>
      </c>
      <c r="C9" s="3">
        <f t="shared" ca="1" si="0"/>
        <v>1.5362949686338904E-3</v>
      </c>
    </row>
    <row r="10" spans="1:6" x14ac:dyDescent="0.25">
      <c r="A10" s="2">
        <f ca="1">IFERROR(__xludf.DUMMYFUNCTION("""COMPUTED_VALUE"""),44385.6458333333)</f>
        <v>44385.645833333299</v>
      </c>
      <c r="B10" s="1">
        <f ca="1">IFERROR(__xludf.DUMMYFUNCTION("""COMPUTED_VALUE"""),1560.75)</f>
        <v>1560.75</v>
      </c>
      <c r="C10" s="3">
        <f t="shared" ca="1" si="0"/>
        <v>-2.4606928288379835E-3</v>
      </c>
    </row>
    <row r="11" spans="1:6" x14ac:dyDescent="0.25">
      <c r="A11" s="2">
        <f ca="1">IFERROR(__xludf.DUMMYFUNCTION("""COMPUTED_VALUE"""),44386.6458333333)</f>
        <v>44386.645833333299</v>
      </c>
      <c r="B11" s="1">
        <f ca="1">IFERROR(__xludf.DUMMYFUNCTION("""COMPUTED_VALUE"""),1562.9)</f>
        <v>1562.9</v>
      </c>
      <c r="C11" s="3">
        <f t="shared" ca="1" si="0"/>
        <v>1.3775428479898069E-3</v>
      </c>
    </row>
    <row r="12" spans="1:6" x14ac:dyDescent="0.25">
      <c r="A12" s="2">
        <f ca="1">IFERROR(__xludf.DUMMYFUNCTION("""COMPUTED_VALUE"""),44389.6458333333)</f>
        <v>44389.645833333299</v>
      </c>
      <c r="B12" s="1">
        <f ca="1">IFERROR(__xludf.DUMMYFUNCTION("""COMPUTED_VALUE"""),1547.85)</f>
        <v>1547.85</v>
      </c>
      <c r="C12" s="3">
        <f t="shared" ca="1" si="0"/>
        <v>-9.6295348390813117E-3</v>
      </c>
    </row>
    <row r="13" spans="1:6" x14ac:dyDescent="0.25">
      <c r="A13" s="2">
        <f ca="1">IFERROR(__xludf.DUMMYFUNCTION("""COMPUTED_VALUE"""),44390.6458333333)</f>
        <v>44390.645833333299</v>
      </c>
      <c r="B13" s="1">
        <f ca="1">IFERROR(__xludf.DUMMYFUNCTION("""COMPUTED_VALUE"""),1544.95)</f>
        <v>1544.95</v>
      </c>
      <c r="C13" s="3">
        <f t="shared" ca="1" si="0"/>
        <v>-1.873566560067102E-3</v>
      </c>
    </row>
    <row r="14" spans="1:6" x14ac:dyDescent="0.25">
      <c r="A14" s="2">
        <f ca="1">IFERROR(__xludf.DUMMYFUNCTION("""COMPUTED_VALUE"""),44391.6458333333)</f>
        <v>44391.645833333299</v>
      </c>
      <c r="B14" s="1">
        <f ca="1">IFERROR(__xludf.DUMMYFUNCTION("""COMPUTED_VALUE"""),1576.9)</f>
        <v>1576.9</v>
      </c>
      <c r="C14" s="3">
        <f t="shared" ca="1" si="0"/>
        <v>2.0680280915240004E-2</v>
      </c>
    </row>
    <row r="15" spans="1:6" x14ac:dyDescent="0.25">
      <c r="A15" s="2">
        <f ca="1">IFERROR(__xludf.DUMMYFUNCTION("""COMPUTED_VALUE"""),44392.6458333333)</f>
        <v>44392.645833333299</v>
      </c>
      <c r="B15" s="1">
        <f ca="1">IFERROR(__xludf.DUMMYFUNCTION("""COMPUTED_VALUE"""),1580.8)</f>
        <v>1580.8</v>
      </c>
      <c r="C15" s="3">
        <f t="shared" ca="1" si="0"/>
        <v>2.4732069249793031E-3</v>
      </c>
    </row>
    <row r="16" spans="1:6" x14ac:dyDescent="0.25">
      <c r="A16" s="2">
        <f ca="1">IFERROR(__xludf.DUMMYFUNCTION("""COMPUTED_VALUE"""),44393.6458333333)</f>
        <v>44393.645833333299</v>
      </c>
      <c r="B16" s="1">
        <f ca="1">IFERROR(__xludf.DUMMYFUNCTION("""COMPUTED_VALUE"""),1555.45)</f>
        <v>1555.45</v>
      </c>
      <c r="C16" s="3">
        <f t="shared" ca="1" si="0"/>
        <v>-1.6036184210526258E-2</v>
      </c>
    </row>
    <row r="17" spans="1:3" x14ac:dyDescent="0.25">
      <c r="A17" s="2">
        <f ca="1">IFERROR(__xludf.DUMMYFUNCTION("""COMPUTED_VALUE"""),44396.6458333333)</f>
        <v>44396.645833333299</v>
      </c>
      <c r="B17" s="1">
        <f ca="1">IFERROR(__xludf.DUMMYFUNCTION("""COMPUTED_VALUE"""),1541.7)</f>
        <v>1541.7</v>
      </c>
      <c r="C17" s="3">
        <f t="shared" ca="1" si="0"/>
        <v>-8.8398855636632485E-3</v>
      </c>
    </row>
    <row r="18" spans="1:3" x14ac:dyDescent="0.25">
      <c r="A18" s="2">
        <f ca="1">IFERROR(__xludf.DUMMYFUNCTION("""COMPUTED_VALUE"""),44397.6458333333)</f>
        <v>44397.645833333299</v>
      </c>
      <c r="B18" s="1">
        <f ca="1">IFERROR(__xludf.DUMMYFUNCTION("""COMPUTED_VALUE"""),1550.05)</f>
        <v>1550.05</v>
      </c>
      <c r="C18" s="3">
        <f t="shared" ca="1" si="0"/>
        <v>5.4160991113705054E-3</v>
      </c>
    </row>
    <row r="19" spans="1:3" x14ac:dyDescent="0.25">
      <c r="A19" s="2">
        <f ca="1">IFERROR(__xludf.DUMMYFUNCTION("""COMPUTED_VALUE"""),44399.6458333333)</f>
        <v>44399.645833333299</v>
      </c>
      <c r="B19" s="1">
        <f ca="1">IFERROR(__xludf.DUMMYFUNCTION("""COMPUTED_VALUE"""),1590.2)</f>
        <v>1590.2</v>
      </c>
      <c r="C19" s="3">
        <f t="shared" ca="1" si="0"/>
        <v>2.5902390245476012E-2</v>
      </c>
    </row>
    <row r="20" spans="1:3" x14ac:dyDescent="0.25">
      <c r="A20" s="2">
        <f ca="1">IFERROR(__xludf.DUMMYFUNCTION("""COMPUTED_VALUE"""),44400.6458333333)</f>
        <v>44400.645833333299</v>
      </c>
      <c r="B20" s="1">
        <f ca="1">IFERROR(__xludf.DUMMYFUNCTION("""COMPUTED_VALUE"""),1590.45)</f>
        <v>1590.45</v>
      </c>
      <c r="C20" s="3">
        <f t="shared" ca="1" si="0"/>
        <v>1.5721292919129669E-4</v>
      </c>
    </row>
    <row r="21" spans="1:3" x14ac:dyDescent="0.25">
      <c r="A21" s="2">
        <f ca="1">IFERROR(__xludf.DUMMYFUNCTION("""COMPUTED_VALUE"""),44403.6458333333)</f>
        <v>44403.645833333299</v>
      </c>
      <c r="B21" s="1">
        <f ca="1">IFERROR(__xludf.DUMMYFUNCTION("""COMPUTED_VALUE"""),1603.9)</f>
        <v>1603.9</v>
      </c>
      <c r="C21" s="3">
        <f t="shared" ca="1" si="0"/>
        <v>8.4567260838127861E-3</v>
      </c>
    </row>
    <row r="22" spans="1:3" x14ac:dyDescent="0.25">
      <c r="A22" s="2">
        <f ca="1">IFERROR(__xludf.DUMMYFUNCTION("""COMPUTED_VALUE"""),44404.6458333333)</f>
        <v>44404.645833333299</v>
      </c>
      <c r="B22" s="1">
        <f ca="1">IFERROR(__xludf.DUMMYFUNCTION("""COMPUTED_VALUE"""),1602.55)</f>
        <v>1602.55</v>
      </c>
      <c r="C22" s="3">
        <f t="shared" ca="1" si="0"/>
        <v>-8.4169836024698317E-4</v>
      </c>
    </row>
    <row r="23" spans="1:3" x14ac:dyDescent="0.25">
      <c r="A23" s="2">
        <f ca="1">IFERROR(__xludf.DUMMYFUNCTION("""COMPUTED_VALUE"""),44405.6458333333)</f>
        <v>44405.645833333299</v>
      </c>
      <c r="B23" s="1">
        <f ca="1">IFERROR(__xludf.DUMMYFUNCTION("""COMPUTED_VALUE"""),1605.6)</f>
        <v>1605.6</v>
      </c>
      <c r="C23" s="3">
        <f t="shared" ca="1" si="0"/>
        <v>1.9032167483073567E-3</v>
      </c>
    </row>
    <row r="24" spans="1:3" x14ac:dyDescent="0.25">
      <c r="A24" s="2">
        <f ca="1">IFERROR(__xludf.DUMMYFUNCTION("""COMPUTED_VALUE"""),44406.6458333333)</f>
        <v>44406.645833333299</v>
      </c>
      <c r="B24" s="1">
        <f ca="1">IFERROR(__xludf.DUMMYFUNCTION("""COMPUTED_VALUE"""),1617)</f>
        <v>1617</v>
      </c>
      <c r="C24" s="3">
        <f t="shared" ca="1" si="0"/>
        <v>7.1001494768311484E-3</v>
      </c>
    </row>
    <row r="25" spans="1:3" x14ac:dyDescent="0.25">
      <c r="A25" s="2">
        <f ca="1">IFERROR(__xludf.DUMMYFUNCTION("""COMPUTED_VALUE"""),44407.6458333333)</f>
        <v>44407.645833333299</v>
      </c>
      <c r="B25" s="1">
        <f ca="1">IFERROR(__xludf.DUMMYFUNCTION("""COMPUTED_VALUE"""),1610.5)</f>
        <v>1610.5</v>
      </c>
      <c r="C25" s="3">
        <f t="shared" ca="1" si="0"/>
        <v>-4.0197897340754482E-3</v>
      </c>
    </row>
    <row r="26" spans="1:3" x14ac:dyDescent="0.25">
      <c r="A26" s="2">
        <f ca="1">IFERROR(__xludf.DUMMYFUNCTION("""COMPUTED_VALUE"""),44410.6458333333)</f>
        <v>44410.645833333299</v>
      </c>
      <c r="B26" s="1">
        <f ca="1">IFERROR(__xludf.DUMMYFUNCTION("""COMPUTED_VALUE"""),1631.55)</f>
        <v>1631.55</v>
      </c>
      <c r="C26" s="3">
        <f t="shared" ca="1" si="0"/>
        <v>1.3070475007761536E-2</v>
      </c>
    </row>
    <row r="27" spans="1:3" x14ac:dyDescent="0.25">
      <c r="A27" s="2">
        <f ca="1">IFERROR(__xludf.DUMMYFUNCTION("""COMPUTED_VALUE"""),44411.6458333333)</f>
        <v>44411.645833333299</v>
      </c>
      <c r="B27" s="1">
        <f ca="1">IFERROR(__xludf.DUMMYFUNCTION("""COMPUTED_VALUE"""),1655.2)</f>
        <v>1655.2</v>
      </c>
      <c r="C27" s="3">
        <f t="shared" ca="1" si="0"/>
        <v>1.4495418467101891E-2</v>
      </c>
    </row>
    <row r="28" spans="1:3" x14ac:dyDescent="0.25">
      <c r="A28" s="2">
        <f ca="1">IFERROR(__xludf.DUMMYFUNCTION("""COMPUTED_VALUE"""),44412.6458333333)</f>
        <v>44412.645833333299</v>
      </c>
      <c r="B28" s="1">
        <f ca="1">IFERROR(__xludf.DUMMYFUNCTION("""COMPUTED_VALUE"""),1649.25)</f>
        <v>1649.25</v>
      </c>
      <c r="C28" s="3">
        <f t="shared" ca="1" si="0"/>
        <v>-3.5947317544707861E-3</v>
      </c>
    </row>
    <row r="29" spans="1:3" x14ac:dyDescent="0.25">
      <c r="A29" s="2">
        <f ca="1">IFERROR(__xludf.DUMMYFUNCTION("""COMPUTED_VALUE"""),44413.6458333333)</f>
        <v>44413.645833333299</v>
      </c>
      <c r="B29" s="1">
        <f ca="1">IFERROR(__xludf.DUMMYFUNCTION("""COMPUTED_VALUE"""),1653.55)</f>
        <v>1653.55</v>
      </c>
      <c r="C29" s="3">
        <f t="shared" ca="1" si="0"/>
        <v>2.6072457177504652E-3</v>
      </c>
    </row>
    <row r="30" spans="1:3" x14ac:dyDescent="0.25">
      <c r="A30" s="2">
        <f ca="1">IFERROR(__xludf.DUMMYFUNCTION("""COMPUTED_VALUE"""),44414.6458333333)</f>
        <v>44414.645833333299</v>
      </c>
      <c r="B30" s="1">
        <f ca="1">IFERROR(__xludf.DUMMYFUNCTION("""COMPUTED_VALUE"""),1650.2)</f>
        <v>1650.2</v>
      </c>
      <c r="C30" s="3">
        <f t="shared" ca="1" si="0"/>
        <v>-2.0259441807020709E-3</v>
      </c>
    </row>
    <row r="31" spans="1:3" x14ac:dyDescent="0.25">
      <c r="A31" s="2">
        <f ca="1">IFERROR(__xludf.DUMMYFUNCTION("""COMPUTED_VALUE"""),44417.6458333333)</f>
        <v>44417.645833333299</v>
      </c>
      <c r="B31" s="1">
        <f ca="1">IFERROR(__xludf.DUMMYFUNCTION("""COMPUTED_VALUE"""),1663.3)</f>
        <v>1663.3</v>
      </c>
      <c r="C31" s="3">
        <f t="shared" ca="1" si="0"/>
        <v>7.9384317052477935E-3</v>
      </c>
    </row>
    <row r="32" spans="1:3" x14ac:dyDescent="0.25">
      <c r="A32" s="2">
        <f ca="1">IFERROR(__xludf.DUMMYFUNCTION("""COMPUTED_VALUE"""),44418.6458333333)</f>
        <v>44418.645833333299</v>
      </c>
      <c r="B32" s="1">
        <f ca="1">IFERROR(__xludf.DUMMYFUNCTION("""COMPUTED_VALUE"""),1677.25)</f>
        <v>1677.25</v>
      </c>
      <c r="C32" s="3">
        <f t="shared" ca="1" si="0"/>
        <v>8.386941622076623E-3</v>
      </c>
    </row>
    <row r="33" spans="1:3" x14ac:dyDescent="0.25">
      <c r="A33" s="2">
        <f ca="1">IFERROR(__xludf.DUMMYFUNCTION("""COMPUTED_VALUE"""),44419.6458333333)</f>
        <v>44419.645833333299</v>
      </c>
      <c r="B33" s="1">
        <f ca="1">IFERROR(__xludf.DUMMYFUNCTION("""COMPUTED_VALUE"""),1677.55)</f>
        <v>1677.55</v>
      </c>
      <c r="C33" s="3">
        <f t="shared" ca="1" si="0"/>
        <v>1.7886421225217142E-4</v>
      </c>
    </row>
    <row r="34" spans="1:3" x14ac:dyDescent="0.25">
      <c r="A34" s="2">
        <f ca="1">IFERROR(__xludf.DUMMYFUNCTION("""COMPUTED_VALUE"""),44420.6458333333)</f>
        <v>44420.645833333299</v>
      </c>
      <c r="B34" s="1">
        <f ca="1">IFERROR(__xludf.DUMMYFUNCTION("""COMPUTED_VALUE"""),1689.6)</f>
        <v>1689.6</v>
      </c>
      <c r="C34" s="3">
        <f t="shared" ca="1" si="0"/>
        <v>7.1830943936097014E-3</v>
      </c>
    </row>
    <row r="35" spans="1:3" x14ac:dyDescent="0.25">
      <c r="A35" s="2">
        <f ca="1">IFERROR(__xludf.DUMMYFUNCTION("""COMPUTED_VALUE"""),44421.6458333333)</f>
        <v>44421.645833333299</v>
      </c>
      <c r="B35" s="1">
        <f ca="1">IFERROR(__xludf.DUMMYFUNCTION("""COMPUTED_VALUE"""),1712.2)</f>
        <v>1712.2</v>
      </c>
      <c r="C35" s="3">
        <f t="shared" ca="1" si="0"/>
        <v>1.3375946969697051E-2</v>
      </c>
    </row>
    <row r="36" spans="1:3" x14ac:dyDescent="0.25">
      <c r="A36" s="2">
        <f ca="1">IFERROR(__xludf.DUMMYFUNCTION("""COMPUTED_VALUE"""),44424.6458333333)</f>
        <v>44424.645833333299</v>
      </c>
      <c r="B36" s="1">
        <f ca="1">IFERROR(__xludf.DUMMYFUNCTION("""COMPUTED_VALUE"""),1704.4)</f>
        <v>1704.4</v>
      </c>
      <c r="C36" s="3">
        <f t="shared" ca="1" si="0"/>
        <v>-4.5555425768017488E-3</v>
      </c>
    </row>
    <row r="37" spans="1:3" x14ac:dyDescent="0.25">
      <c r="A37" s="2">
        <f ca="1">IFERROR(__xludf.DUMMYFUNCTION("""COMPUTED_VALUE"""),44425.6458333333)</f>
        <v>44425.645833333299</v>
      </c>
      <c r="B37" s="1">
        <f ca="1">IFERROR(__xludf.DUMMYFUNCTION("""COMPUTED_VALUE"""),1741.65)</f>
        <v>1741.65</v>
      </c>
      <c r="C37" s="3">
        <f t="shared" ca="1" si="0"/>
        <v>2.1855198310255806E-2</v>
      </c>
    </row>
    <row r="38" spans="1:3" x14ac:dyDescent="0.25">
      <c r="A38" s="2">
        <f ca="1">IFERROR(__xludf.DUMMYFUNCTION("""COMPUTED_VALUE"""),44426.6458333333)</f>
        <v>44426.645833333299</v>
      </c>
      <c r="B38" s="1">
        <f ca="1">IFERROR(__xludf.DUMMYFUNCTION("""COMPUTED_VALUE"""),1733.45)</f>
        <v>1733.45</v>
      </c>
      <c r="C38" s="3">
        <f t="shared" ca="1" si="0"/>
        <v>-4.708179025636635E-3</v>
      </c>
    </row>
    <row r="39" spans="1:3" x14ac:dyDescent="0.25">
      <c r="A39" s="2">
        <f ca="1">IFERROR(__xludf.DUMMYFUNCTION("""COMPUTED_VALUE"""),44428.6458333333)</f>
        <v>44428.645833333299</v>
      </c>
      <c r="B39" s="1">
        <f ca="1">IFERROR(__xludf.DUMMYFUNCTION("""COMPUTED_VALUE"""),1732.95)</f>
        <v>1732.95</v>
      </c>
      <c r="C39" s="3">
        <f t="shared" ca="1" si="0"/>
        <v>-2.8844212408780175E-4</v>
      </c>
    </row>
    <row r="40" spans="1:3" x14ac:dyDescent="0.25">
      <c r="A40" s="2">
        <f ca="1">IFERROR(__xludf.DUMMYFUNCTION("""COMPUTED_VALUE"""),44431.6458333333)</f>
        <v>44431.645833333299</v>
      </c>
      <c r="B40" s="1">
        <f ca="1">IFERROR(__xludf.DUMMYFUNCTION("""COMPUTED_VALUE"""),1738.75)</f>
        <v>1738.75</v>
      </c>
      <c r="C40" s="3">
        <f t="shared" ca="1" si="0"/>
        <v>3.3468940246400383E-3</v>
      </c>
    </row>
    <row r="41" spans="1:3" x14ac:dyDescent="0.25">
      <c r="A41" s="2">
        <f ca="1">IFERROR(__xludf.DUMMYFUNCTION("""COMPUTED_VALUE"""),44432.6458333333)</f>
        <v>44432.645833333299</v>
      </c>
      <c r="B41" s="1">
        <f ca="1">IFERROR(__xludf.DUMMYFUNCTION("""COMPUTED_VALUE"""),1720.85)</f>
        <v>1720.85</v>
      </c>
      <c r="C41" s="3">
        <f t="shared" ca="1" si="0"/>
        <v>-1.0294751976995019E-2</v>
      </c>
    </row>
    <row r="42" spans="1:3" x14ac:dyDescent="0.25">
      <c r="A42" s="2">
        <f ca="1">IFERROR(__xludf.DUMMYFUNCTION("""COMPUTED_VALUE"""),44433.6458333333)</f>
        <v>44433.645833333299</v>
      </c>
      <c r="B42" s="1">
        <f ca="1">IFERROR(__xludf.DUMMYFUNCTION("""COMPUTED_VALUE"""),1735.55)</f>
        <v>1735.55</v>
      </c>
      <c r="C42" s="3">
        <f t="shared" ca="1" si="0"/>
        <v>8.5422901473109492E-3</v>
      </c>
    </row>
    <row r="43" spans="1:3" x14ac:dyDescent="0.25">
      <c r="A43" s="2">
        <f ca="1">IFERROR(__xludf.DUMMYFUNCTION("""COMPUTED_VALUE"""),44434.6458333333)</f>
        <v>44434.645833333299</v>
      </c>
      <c r="B43" s="1">
        <f ca="1">IFERROR(__xludf.DUMMYFUNCTION("""COMPUTED_VALUE"""),1727.7)</f>
        <v>1727.7</v>
      </c>
      <c r="C43" s="3">
        <f t="shared" ca="1" si="0"/>
        <v>-4.5230618535910287E-3</v>
      </c>
    </row>
    <row r="44" spans="1:3" x14ac:dyDescent="0.25">
      <c r="A44" s="2">
        <f ca="1">IFERROR(__xludf.DUMMYFUNCTION("""COMPUTED_VALUE"""),44435.6458333333)</f>
        <v>44435.645833333299</v>
      </c>
      <c r="B44" s="1">
        <f ca="1">IFERROR(__xludf.DUMMYFUNCTION("""COMPUTED_VALUE"""),1708.8)</f>
        <v>1708.8</v>
      </c>
      <c r="C44" s="3">
        <f t="shared" ca="1" si="0"/>
        <v>-1.0939399201250269E-2</v>
      </c>
    </row>
    <row r="45" spans="1:3" x14ac:dyDescent="0.25">
      <c r="A45" s="2">
        <f ca="1">IFERROR(__xludf.DUMMYFUNCTION("""COMPUTED_VALUE"""),44438.6458333333)</f>
        <v>44438.645833333299</v>
      </c>
      <c r="B45" s="1">
        <f ca="1">IFERROR(__xludf.DUMMYFUNCTION("""COMPUTED_VALUE"""),1698.05)</f>
        <v>1698.05</v>
      </c>
      <c r="C45" s="3">
        <f t="shared" ca="1" si="0"/>
        <v>-6.2909644194756552E-3</v>
      </c>
    </row>
    <row r="46" spans="1:3" x14ac:dyDescent="0.25">
      <c r="A46" s="2">
        <f ca="1">IFERROR(__xludf.DUMMYFUNCTION("""COMPUTED_VALUE"""),44439.6458333333)</f>
        <v>44439.645833333299</v>
      </c>
      <c r="B46" s="1">
        <f ca="1">IFERROR(__xludf.DUMMYFUNCTION("""COMPUTED_VALUE"""),1706.45)</f>
        <v>1706.45</v>
      </c>
      <c r="C46" s="3">
        <f t="shared" ca="1" si="0"/>
        <v>4.9468507994464778E-3</v>
      </c>
    </row>
    <row r="47" spans="1:3" x14ac:dyDescent="0.25">
      <c r="A47" s="2">
        <f ca="1">IFERROR(__xludf.DUMMYFUNCTION("""COMPUTED_VALUE"""),44440.6458333333)</f>
        <v>44440.645833333299</v>
      </c>
      <c r="B47" s="1">
        <f ca="1">IFERROR(__xludf.DUMMYFUNCTION("""COMPUTED_VALUE"""),1677.75)</f>
        <v>1677.75</v>
      </c>
      <c r="C47" s="3">
        <f t="shared" ca="1" si="0"/>
        <v>-1.6818541416390779E-2</v>
      </c>
    </row>
    <row r="48" spans="1:3" x14ac:dyDescent="0.25">
      <c r="A48" s="2">
        <f ca="1">IFERROR(__xludf.DUMMYFUNCTION("""COMPUTED_VALUE"""),44441.6458333333)</f>
        <v>44441.645833333299</v>
      </c>
      <c r="B48" s="1">
        <f ca="1">IFERROR(__xludf.DUMMYFUNCTION("""COMPUTED_VALUE"""),1689.1)</f>
        <v>1689.1</v>
      </c>
      <c r="C48" s="3">
        <f t="shared" ca="1" si="0"/>
        <v>6.7650126657725577E-3</v>
      </c>
    </row>
    <row r="49" spans="1:4" x14ac:dyDescent="0.25">
      <c r="A49" s="2">
        <f ca="1">IFERROR(__xludf.DUMMYFUNCTION("""COMPUTED_VALUE"""),44442.6458333333)</f>
        <v>44442.645833333299</v>
      </c>
      <c r="B49" s="1">
        <f ca="1">IFERROR(__xludf.DUMMYFUNCTION("""COMPUTED_VALUE"""),1700.65)</f>
        <v>1700.65</v>
      </c>
      <c r="C49" s="3">
        <f t="shared" ca="1" si="0"/>
        <v>6.8379610443432496E-3</v>
      </c>
    </row>
    <row r="50" spans="1:4" x14ac:dyDescent="0.25">
      <c r="A50" s="2">
        <f ca="1">IFERROR(__xludf.DUMMYFUNCTION("""COMPUTED_VALUE"""),44445.6458333333)</f>
        <v>44445.645833333299</v>
      </c>
      <c r="B50" s="1">
        <f ca="1">IFERROR(__xludf.DUMMYFUNCTION("""COMPUTED_VALUE"""),1730.4)</f>
        <v>1730.4</v>
      </c>
      <c r="C50" s="3">
        <f t="shared" ca="1" si="0"/>
        <v>1.7493311380942581E-2</v>
      </c>
    </row>
    <row r="51" spans="1:4" x14ac:dyDescent="0.25">
      <c r="A51" s="2">
        <f ca="1">IFERROR(__xludf.DUMMYFUNCTION("""COMPUTED_VALUE"""),44446.6458333333)</f>
        <v>44446.645833333299</v>
      </c>
      <c r="B51" s="1">
        <f ca="1">IFERROR(__xludf.DUMMYFUNCTION("""COMPUTED_VALUE"""),1706.65)</f>
        <v>1706.65</v>
      </c>
      <c r="C51" s="3">
        <f t="shared" ca="1" si="0"/>
        <v>-1.3725150254276466E-2</v>
      </c>
      <c r="D51">
        <f ca="1">AVERAGE(B2:B50)</f>
        <v>1636.6795918367345</v>
      </c>
    </row>
    <row r="52" spans="1:4" x14ac:dyDescent="0.25">
      <c r="A52" s="2">
        <f ca="1">IFERROR(__xludf.DUMMYFUNCTION("""COMPUTED_VALUE"""),44447.6458333333)</f>
        <v>44447.645833333299</v>
      </c>
      <c r="B52" s="1">
        <f ca="1">IFERROR(__xludf.DUMMYFUNCTION("""COMPUTED_VALUE"""),1693.25)</f>
        <v>1693.25</v>
      </c>
      <c r="C52" s="3">
        <f t="shared" ca="1" si="0"/>
        <v>-7.8516391761638826E-3</v>
      </c>
      <c r="D52">
        <f t="shared" ref="D52:D115" ca="1" si="1">AVERAGE(B3:B51)</f>
        <v>1639.4316326530611</v>
      </c>
    </row>
    <row r="53" spans="1:4" x14ac:dyDescent="0.25">
      <c r="A53" s="2">
        <f ca="1">IFERROR(__xludf.DUMMYFUNCTION("""COMPUTED_VALUE"""),44448.6458333333)</f>
        <v>44448.645833333299</v>
      </c>
      <c r="B53" s="1">
        <f ca="1">IFERROR(__xludf.DUMMYFUNCTION("""COMPUTED_VALUE"""),1691.6)</f>
        <v>1691.6</v>
      </c>
      <c r="C53" s="3">
        <f t="shared" ca="1" si="0"/>
        <v>-9.7445740439987651E-4</v>
      </c>
      <c r="D53">
        <f t="shared" ca="1" si="1"/>
        <v>1642.088775510204</v>
      </c>
    </row>
    <row r="54" spans="1:4" x14ac:dyDescent="0.25">
      <c r="A54" s="2">
        <f ca="1">IFERROR(__xludf.DUMMYFUNCTION("""COMPUTED_VALUE"""),44452.6458333333)</f>
        <v>44452.645833333299</v>
      </c>
      <c r="B54" s="1">
        <f ca="1">IFERROR(__xludf.DUMMYFUNCTION("""COMPUTED_VALUE"""),1691.9)</f>
        <v>1691.9</v>
      </c>
      <c r="C54" s="3">
        <f t="shared" ca="1" si="0"/>
        <v>1.7734689051796047E-4</v>
      </c>
      <c r="D54">
        <f t="shared" ca="1" si="1"/>
        <v>1644.35</v>
      </c>
    </row>
    <row r="55" spans="1:4" x14ac:dyDescent="0.25">
      <c r="A55" s="2">
        <f ca="1">IFERROR(__xludf.DUMMYFUNCTION("""COMPUTED_VALUE"""),44453.6458333333)</f>
        <v>44453.645833333299</v>
      </c>
      <c r="B55" s="1">
        <f ca="1">IFERROR(__xludf.DUMMYFUNCTION("""COMPUTED_VALUE"""),1686.15)</f>
        <v>1686.15</v>
      </c>
      <c r="C55" s="3">
        <f t="shared" ca="1" si="0"/>
        <v>-3.3985460133577634E-3</v>
      </c>
      <c r="D55">
        <f t="shared" ca="1" si="1"/>
        <v>1647.0336734693876</v>
      </c>
    </row>
    <row r="56" spans="1:4" x14ac:dyDescent="0.25">
      <c r="A56" s="2">
        <f ca="1">IFERROR(__xludf.DUMMYFUNCTION("""COMPUTED_VALUE"""),44454.6458333333)</f>
        <v>44454.645833333299</v>
      </c>
      <c r="B56" s="1">
        <f ca="1">IFERROR(__xludf.DUMMYFUNCTION("""COMPUTED_VALUE"""),1711.45)</f>
        <v>1711.45</v>
      </c>
      <c r="C56" s="3">
        <f t="shared" ca="1" si="0"/>
        <v>1.5004596269608251E-2</v>
      </c>
      <c r="D56">
        <f t="shared" ca="1" si="1"/>
        <v>1649.4489795918364</v>
      </c>
    </row>
    <row r="57" spans="1:4" x14ac:dyDescent="0.25">
      <c r="A57" s="2">
        <f ca="1">IFERROR(__xludf.DUMMYFUNCTION("""COMPUTED_VALUE"""),44455.6458333333)</f>
        <v>44455.645833333299</v>
      </c>
      <c r="B57" s="1">
        <f ca="1">IFERROR(__xludf.DUMMYFUNCTION("""COMPUTED_VALUE"""),1702.25)</f>
        <v>1702.25</v>
      </c>
      <c r="C57" s="3">
        <f t="shared" ca="1" si="0"/>
        <v>-5.3755587367437232E-3</v>
      </c>
      <c r="D57">
        <f t="shared" ca="1" si="1"/>
        <v>1652.1530612244894</v>
      </c>
    </row>
    <row r="58" spans="1:4" x14ac:dyDescent="0.25">
      <c r="A58" s="2">
        <f ca="1">IFERROR(__xludf.DUMMYFUNCTION("""COMPUTED_VALUE"""),44456.6458333333)</f>
        <v>44456.645833333299</v>
      </c>
      <c r="B58" s="1">
        <f ca="1">IFERROR(__xludf.DUMMYFUNCTION("""COMPUTED_VALUE"""),1691.3)</f>
        <v>1691.3</v>
      </c>
      <c r="C58" s="3">
        <f t="shared" ca="1" si="0"/>
        <v>-6.4326626523718879E-3</v>
      </c>
      <c r="D58">
        <f t="shared" ca="1" si="1"/>
        <v>1655.0112244897955</v>
      </c>
    </row>
    <row r="59" spans="1:4" x14ac:dyDescent="0.25">
      <c r="A59" s="2">
        <f ca="1">IFERROR(__xludf.DUMMYFUNCTION("""COMPUTED_VALUE"""),44459.6458333333)</f>
        <v>44459.645833333299</v>
      </c>
      <c r="B59" s="1">
        <f ca="1">IFERROR(__xludf.DUMMYFUNCTION("""COMPUTED_VALUE"""),1687.85)</f>
        <v>1687.85</v>
      </c>
      <c r="C59" s="3">
        <f t="shared" ca="1" si="0"/>
        <v>-2.0398510021876932E-3</v>
      </c>
      <c r="D59">
        <f t="shared" ca="1" si="1"/>
        <v>1657.5969387755097</v>
      </c>
    </row>
    <row r="60" spans="1:4" x14ac:dyDescent="0.25">
      <c r="A60" s="2">
        <f ca="1">IFERROR(__xludf.DUMMYFUNCTION("""COMPUTED_VALUE"""),44460.6458333333)</f>
        <v>44460.645833333299</v>
      </c>
      <c r="B60" s="1">
        <f ca="1">IFERROR(__xludf.DUMMYFUNCTION("""COMPUTED_VALUE"""),1718.45)</f>
        <v>1718.45</v>
      </c>
      <c r="C60" s="3">
        <f t="shared" ca="1" si="0"/>
        <v>1.8129573125574037E-2</v>
      </c>
      <c r="D60">
        <f t="shared" ca="1" si="1"/>
        <v>1660.1908163265305</v>
      </c>
    </row>
    <row r="61" spans="1:4" x14ac:dyDescent="0.25">
      <c r="A61" s="2">
        <f ca="1">IFERROR(__xludf.DUMMYFUNCTION("""COMPUTED_VALUE"""),44461.6458333333)</f>
        <v>44461.645833333299</v>
      </c>
      <c r="B61" s="1">
        <f ca="1">IFERROR(__xludf.DUMMYFUNCTION("""COMPUTED_VALUE"""),1716.9)</f>
        <v>1716.9</v>
      </c>
      <c r="C61" s="3">
        <f t="shared" ca="1" si="0"/>
        <v>-9.0197561756231168E-4</v>
      </c>
      <c r="D61">
        <f t="shared" ca="1" si="1"/>
        <v>1663.3653061224488</v>
      </c>
    </row>
    <row r="62" spans="1:4" x14ac:dyDescent="0.25">
      <c r="A62" s="2">
        <f ca="1">IFERROR(__xludf.DUMMYFUNCTION("""COMPUTED_VALUE"""),44462.6458333333)</f>
        <v>44462.645833333299</v>
      </c>
      <c r="B62" s="1">
        <f ca="1">IFERROR(__xludf.DUMMYFUNCTION("""COMPUTED_VALUE"""),1742.55)</f>
        <v>1742.55</v>
      </c>
      <c r="C62" s="3">
        <f t="shared" ca="1" si="0"/>
        <v>1.4939716931679109E-2</v>
      </c>
      <c r="D62">
        <f t="shared" ca="1" si="1"/>
        <v>1666.8153061224489</v>
      </c>
    </row>
    <row r="63" spans="1:4" x14ac:dyDescent="0.25">
      <c r="A63" s="2">
        <f ca="1">IFERROR(__xludf.DUMMYFUNCTION("""COMPUTED_VALUE"""),44463.6458333333)</f>
        <v>44463.645833333299</v>
      </c>
      <c r="B63" s="1">
        <f ca="1">IFERROR(__xludf.DUMMYFUNCTION("""COMPUTED_VALUE"""),1763.85)</f>
        <v>1763.85</v>
      </c>
      <c r="C63" s="3">
        <f t="shared" ca="1" si="0"/>
        <v>1.2223465610742851E-2</v>
      </c>
      <c r="D63">
        <f t="shared" ca="1" si="1"/>
        <v>1670.8479591836733</v>
      </c>
    </row>
    <row r="64" spans="1:4" x14ac:dyDescent="0.25">
      <c r="A64" s="2">
        <f ca="1">IFERROR(__xludf.DUMMYFUNCTION("""COMPUTED_VALUE"""),44466.6458333333)</f>
        <v>44466.645833333299</v>
      </c>
      <c r="B64" s="1">
        <f ca="1">IFERROR(__xludf.DUMMYFUNCTION("""COMPUTED_VALUE"""),1721.15)</f>
        <v>1721.15</v>
      </c>
      <c r="C64" s="3">
        <f t="shared" ca="1" si="0"/>
        <v>-2.4208407744422608E-2</v>
      </c>
      <c r="D64">
        <f t="shared" ca="1" si="1"/>
        <v>1674.6632653061222</v>
      </c>
    </row>
    <row r="65" spans="1:4" x14ac:dyDescent="0.25">
      <c r="A65" s="2">
        <f ca="1">IFERROR(__xludf.DUMMYFUNCTION("""COMPUTED_VALUE"""),44467.6458333333)</f>
        <v>44467.645833333299</v>
      </c>
      <c r="B65" s="1">
        <f ca="1">IFERROR(__xludf.DUMMYFUNCTION("""COMPUTED_VALUE"""),1687.1)</f>
        <v>1687.1</v>
      </c>
      <c r="C65" s="3">
        <f t="shared" ca="1" si="0"/>
        <v>-1.9783284431920622E-2</v>
      </c>
      <c r="D65">
        <f t="shared" ca="1" si="1"/>
        <v>1677.5275510204081</v>
      </c>
    </row>
    <row r="66" spans="1:4" x14ac:dyDescent="0.25">
      <c r="A66" s="2">
        <f ca="1">IFERROR(__xludf.DUMMYFUNCTION("""COMPUTED_VALUE"""),44468.6458333333)</f>
        <v>44468.645833333299</v>
      </c>
      <c r="B66" s="1">
        <f ca="1">IFERROR(__xludf.DUMMYFUNCTION("""COMPUTED_VALUE"""),1692.25)</f>
        <v>1692.25</v>
      </c>
      <c r="C66" s="3">
        <f t="shared" ca="1" si="0"/>
        <v>3.0525754252860478E-3</v>
      </c>
      <c r="D66">
        <f t="shared" ca="1" si="1"/>
        <v>1680.2142857142858</v>
      </c>
    </row>
    <row r="67" spans="1:4" x14ac:dyDescent="0.25">
      <c r="A67" s="2">
        <f ca="1">IFERROR(__xludf.DUMMYFUNCTION("""COMPUTED_VALUE"""),44469.6458333333)</f>
        <v>44469.645833333299</v>
      </c>
      <c r="B67" s="1">
        <f ca="1">IFERROR(__xludf.DUMMYFUNCTION("""COMPUTED_VALUE"""),1675.2)</f>
        <v>1675.2</v>
      </c>
      <c r="C67" s="3">
        <f t="shared" ca="1" si="0"/>
        <v>-1.0075343477618529E-2</v>
      </c>
      <c r="D67">
        <f t="shared" ca="1" si="1"/>
        <v>1683.2867346938776</v>
      </c>
    </row>
    <row r="68" spans="1:4" x14ac:dyDescent="0.25">
      <c r="A68" s="2">
        <f ca="1">IFERROR(__xludf.DUMMYFUNCTION("""COMPUTED_VALUE"""),44470.6458333333)</f>
        <v>44470.645833333299</v>
      </c>
      <c r="B68" s="1">
        <f ca="1">IFERROR(__xludf.DUMMYFUNCTION("""COMPUTED_VALUE"""),1665.15)</f>
        <v>1665.15</v>
      </c>
      <c r="C68" s="3">
        <f t="shared" ref="C68:C131" ca="1" si="2">(B68-B67)/B67</f>
        <v>-5.9992836676217489E-3</v>
      </c>
      <c r="D68">
        <f t="shared" ca="1" si="1"/>
        <v>1685.8408163265306</v>
      </c>
    </row>
    <row r="69" spans="1:4" x14ac:dyDescent="0.25">
      <c r="A69" s="2">
        <f ca="1">IFERROR(__xludf.DUMMYFUNCTION("""COMPUTED_VALUE"""),44473.6458333333)</f>
        <v>44473.645833333299</v>
      </c>
      <c r="B69" s="1">
        <f ca="1">IFERROR(__xludf.DUMMYFUNCTION("""COMPUTED_VALUE"""),1678.75)</f>
        <v>1678.75</v>
      </c>
      <c r="C69" s="3">
        <f t="shared" ca="1" si="2"/>
        <v>8.167432363450685E-3</v>
      </c>
      <c r="D69">
        <f t="shared" ca="1" si="1"/>
        <v>1687.3704081632652</v>
      </c>
    </row>
    <row r="70" spans="1:4" x14ac:dyDescent="0.25">
      <c r="A70" s="2">
        <f ca="1">IFERROR(__xludf.DUMMYFUNCTION("""COMPUTED_VALUE"""),44474.6458333333)</f>
        <v>44474.645833333299</v>
      </c>
      <c r="B70" s="1">
        <f ca="1">IFERROR(__xludf.DUMMYFUNCTION("""COMPUTED_VALUE"""),1692.8)</f>
        <v>1692.8</v>
      </c>
      <c r="C70" s="3">
        <f t="shared" ca="1" si="2"/>
        <v>8.3693224125092804E-3</v>
      </c>
      <c r="D70">
        <f t="shared" ca="1" si="1"/>
        <v>1689.1724489795918</v>
      </c>
    </row>
    <row r="71" spans="1:4" x14ac:dyDescent="0.25">
      <c r="A71" s="2">
        <f ca="1">IFERROR(__xludf.DUMMYFUNCTION("""COMPUTED_VALUE"""),44475.6458333333)</f>
        <v>44475.645833333299</v>
      </c>
      <c r="B71" s="1">
        <f ca="1">IFERROR(__xludf.DUMMYFUNCTION("""COMPUTED_VALUE"""),1673.55)</f>
        <v>1673.55</v>
      </c>
      <c r="C71" s="3">
        <f t="shared" ca="1" si="2"/>
        <v>-1.1371691871455578E-2</v>
      </c>
      <c r="D71">
        <f t="shared" ca="1" si="1"/>
        <v>1690.9867346938777</v>
      </c>
    </row>
    <row r="72" spans="1:4" x14ac:dyDescent="0.25">
      <c r="A72" s="2">
        <f ca="1">IFERROR(__xludf.DUMMYFUNCTION("""COMPUTED_VALUE"""),44476.6458333333)</f>
        <v>44476.645833333299</v>
      </c>
      <c r="B72" s="1">
        <f ca="1">IFERROR(__xludf.DUMMYFUNCTION("""COMPUTED_VALUE"""),1691)</f>
        <v>1691</v>
      </c>
      <c r="C72" s="3">
        <f t="shared" ca="1" si="2"/>
        <v>1.0426936751217499E-2</v>
      </c>
      <c r="D72">
        <f t="shared" ca="1" si="1"/>
        <v>1692.4357142857143</v>
      </c>
    </row>
    <row r="73" spans="1:4" x14ac:dyDescent="0.25">
      <c r="A73" s="2">
        <f ca="1">IFERROR(__xludf.DUMMYFUNCTION("""COMPUTED_VALUE"""),44477.6458333333)</f>
        <v>44477.645833333299</v>
      </c>
      <c r="B73" s="1">
        <f ca="1">IFERROR(__xludf.DUMMYFUNCTION("""COMPUTED_VALUE"""),1723.85)</f>
        <v>1723.85</v>
      </c>
      <c r="C73" s="3">
        <f t="shared" ca="1" si="2"/>
        <v>1.9426374926079189E-2</v>
      </c>
      <c r="D73">
        <f t="shared" ca="1" si="1"/>
        <v>1694.1785714285713</v>
      </c>
    </row>
    <row r="74" spans="1:4" x14ac:dyDescent="0.25">
      <c r="A74" s="2">
        <f ca="1">IFERROR(__xludf.DUMMYFUNCTION("""COMPUTED_VALUE"""),44480.6458333333)</f>
        <v>44480.645833333299</v>
      </c>
      <c r="B74" s="1">
        <f ca="1">IFERROR(__xludf.DUMMYFUNCTION("""COMPUTED_VALUE"""),1690.95)</f>
        <v>1690.95</v>
      </c>
      <c r="C74" s="3">
        <f t="shared" ca="1" si="2"/>
        <v>-1.9085187226266707E-2</v>
      </c>
      <c r="D74">
        <f t="shared" ca="1" si="1"/>
        <v>1696.3591836734695</v>
      </c>
    </row>
    <row r="75" spans="1:4" x14ac:dyDescent="0.25">
      <c r="A75" s="2">
        <f ca="1">IFERROR(__xludf.DUMMYFUNCTION("""COMPUTED_VALUE"""),44481.6458333333)</f>
        <v>44481.645833333299</v>
      </c>
      <c r="B75" s="1">
        <f ca="1">IFERROR(__xludf.DUMMYFUNCTION("""COMPUTED_VALUE"""),1685.15)</f>
        <v>1685.15</v>
      </c>
      <c r="C75" s="3">
        <f t="shared" ca="1" si="2"/>
        <v>-3.4300245424169575E-3</v>
      </c>
      <c r="D75">
        <f t="shared" ca="1" si="1"/>
        <v>1698.0010204081634</v>
      </c>
    </row>
    <row r="76" spans="1:4" x14ac:dyDescent="0.25">
      <c r="A76" s="2">
        <f ca="1">IFERROR(__xludf.DUMMYFUNCTION("""COMPUTED_VALUE"""),44482.6458333333)</f>
        <v>44482.645833333299</v>
      </c>
      <c r="B76" s="1">
        <f ca="1">IFERROR(__xludf.DUMMYFUNCTION("""COMPUTED_VALUE"""),1709.2)</f>
        <v>1709.2</v>
      </c>
      <c r="C76" s="3">
        <f t="shared" ca="1" si="2"/>
        <v>1.4271726552532388E-2</v>
      </c>
      <c r="D76">
        <f t="shared" ca="1" si="1"/>
        <v>1699.0948979591835</v>
      </c>
    </row>
    <row r="77" spans="1:4" x14ac:dyDescent="0.25">
      <c r="A77" s="2">
        <f ca="1">IFERROR(__xludf.DUMMYFUNCTION("""COMPUTED_VALUE"""),44483.6458333333)</f>
        <v>44483.645833333299</v>
      </c>
      <c r="B77" s="1">
        <f ca="1">IFERROR(__xludf.DUMMYFUNCTION("""COMPUTED_VALUE"""),1715.75)</f>
        <v>1715.75</v>
      </c>
      <c r="C77" s="3">
        <f t="shared" ca="1" si="2"/>
        <v>3.8322021998595567E-3</v>
      </c>
      <c r="D77">
        <f t="shared" ca="1" si="1"/>
        <v>1700.19693877551</v>
      </c>
    </row>
    <row r="78" spans="1:4" x14ac:dyDescent="0.25">
      <c r="A78" s="2">
        <f ca="1">IFERROR(__xludf.DUMMYFUNCTION("""COMPUTED_VALUE"""),44487.6458333333)</f>
        <v>44487.645833333299</v>
      </c>
      <c r="B78" s="1">
        <f ca="1">IFERROR(__xludf.DUMMYFUNCTION("""COMPUTED_VALUE"""),1792.15)</f>
        <v>1792.15</v>
      </c>
      <c r="C78" s="3">
        <f t="shared" ca="1" si="2"/>
        <v>4.452863179367629E-2</v>
      </c>
      <c r="D78">
        <f t="shared" ca="1" si="1"/>
        <v>1701.5540816326529</v>
      </c>
    </row>
    <row r="79" spans="1:4" x14ac:dyDescent="0.25">
      <c r="A79" s="2">
        <f ca="1">IFERROR(__xludf.DUMMYFUNCTION("""COMPUTED_VALUE"""),44488.6458333333)</f>
        <v>44488.645833333299</v>
      </c>
      <c r="B79" s="1">
        <f ca="1">IFERROR(__xludf.DUMMYFUNCTION("""COMPUTED_VALUE"""),1822.15)</f>
        <v>1822.15</v>
      </c>
      <c r="C79" s="3">
        <f t="shared" ca="1" si="2"/>
        <v>1.6739670228496498E-2</v>
      </c>
      <c r="D79">
        <f t="shared" ca="1" si="1"/>
        <v>1704.3826530612241</v>
      </c>
    </row>
    <row r="80" spans="1:4" x14ac:dyDescent="0.25">
      <c r="A80" s="2">
        <f ca="1">IFERROR(__xludf.DUMMYFUNCTION("""COMPUTED_VALUE"""),44489.6458333333)</f>
        <v>44489.645833333299</v>
      </c>
      <c r="B80" s="1">
        <f ca="1">IFERROR(__xludf.DUMMYFUNCTION("""COMPUTED_VALUE"""),1802.35)</f>
        <v>1802.35</v>
      </c>
      <c r="C80" s="3">
        <f t="shared" ca="1" si="2"/>
        <v>-1.0866284334440184E-2</v>
      </c>
      <c r="D80">
        <f t="shared" ca="1" si="1"/>
        <v>1707.8918367346935</v>
      </c>
    </row>
    <row r="81" spans="1:4" x14ac:dyDescent="0.25">
      <c r="A81" s="2">
        <f ca="1">IFERROR(__xludf.DUMMYFUNCTION("""COMPUTED_VALUE"""),44490.6458333333)</f>
        <v>44490.645833333299</v>
      </c>
      <c r="B81" s="1">
        <f ca="1">IFERROR(__xludf.DUMMYFUNCTION("""COMPUTED_VALUE"""),1753.65)</f>
        <v>1753.65</v>
      </c>
      <c r="C81" s="3">
        <f t="shared" ca="1" si="2"/>
        <v>-2.7020279080089783E-2</v>
      </c>
      <c r="D81">
        <f t="shared" ca="1" si="1"/>
        <v>1710.7295918367345</v>
      </c>
    </row>
    <row r="82" spans="1:4" x14ac:dyDescent="0.25">
      <c r="A82" s="2">
        <f ca="1">IFERROR(__xludf.DUMMYFUNCTION("""COMPUTED_VALUE"""),44491.6458333333)</f>
        <v>44491.645833333299</v>
      </c>
      <c r="B82" s="1">
        <f ca="1">IFERROR(__xludf.DUMMYFUNCTION("""COMPUTED_VALUE"""),1719.8)</f>
        <v>1719.8</v>
      </c>
      <c r="C82" s="3">
        <f t="shared" ca="1" si="2"/>
        <v>-1.9302597439626E-2</v>
      </c>
      <c r="D82">
        <f t="shared" ca="1" si="1"/>
        <v>1712.2887755102038</v>
      </c>
    </row>
    <row r="83" spans="1:4" x14ac:dyDescent="0.25">
      <c r="A83" s="2">
        <f ca="1">IFERROR(__xludf.DUMMYFUNCTION("""COMPUTED_VALUE"""),44494.6458333333)</f>
        <v>44494.645833333299</v>
      </c>
      <c r="B83" s="1">
        <f ca="1">IFERROR(__xludf.DUMMYFUNCTION("""COMPUTED_VALUE"""),1707.55)</f>
        <v>1707.55</v>
      </c>
      <c r="C83" s="3">
        <f t="shared" ca="1" si="2"/>
        <v>-7.1229212699151067E-3</v>
      </c>
      <c r="D83">
        <f t="shared" ca="1" si="1"/>
        <v>1713.151020408163</v>
      </c>
    </row>
    <row r="84" spans="1:4" x14ac:dyDescent="0.25">
      <c r="A84" s="2">
        <f ca="1">IFERROR(__xludf.DUMMYFUNCTION("""COMPUTED_VALUE"""),44495.6458333333)</f>
        <v>44495.645833333299</v>
      </c>
      <c r="B84" s="1">
        <f ca="1">IFERROR(__xludf.DUMMYFUNCTION("""COMPUTED_VALUE"""),1703.7)</f>
        <v>1703.7</v>
      </c>
      <c r="C84" s="3">
        <f t="shared" ca="1" si="2"/>
        <v>-2.2546923955374127E-3</v>
      </c>
      <c r="D84">
        <f t="shared" ca="1" si="1"/>
        <v>1713.5173469387753</v>
      </c>
    </row>
    <row r="85" spans="1:4" x14ac:dyDescent="0.25">
      <c r="A85" s="2">
        <f ca="1">IFERROR(__xludf.DUMMYFUNCTION("""COMPUTED_VALUE"""),44496.6458333333)</f>
        <v>44496.645833333299</v>
      </c>
      <c r="B85" s="1">
        <f ca="1">IFERROR(__xludf.DUMMYFUNCTION("""COMPUTED_VALUE"""),1728.95)</f>
        <v>1728.95</v>
      </c>
      <c r="C85" s="3">
        <f t="shared" ca="1" si="2"/>
        <v>1.4820684392792157E-2</v>
      </c>
      <c r="D85">
        <f t="shared" ca="1" si="1"/>
        <v>1713.3438775510203</v>
      </c>
    </row>
    <row r="86" spans="1:4" x14ac:dyDescent="0.25">
      <c r="A86" s="2">
        <f ca="1">IFERROR(__xludf.DUMMYFUNCTION("""COMPUTED_VALUE"""),44497.6458333333)</f>
        <v>44497.645833333299</v>
      </c>
      <c r="B86" s="1">
        <f ca="1">IFERROR(__xludf.DUMMYFUNCTION("""COMPUTED_VALUE"""),1703.9)</f>
        <v>1703.9</v>
      </c>
      <c r="C86" s="3">
        <f t="shared" ca="1" si="2"/>
        <v>-1.4488562422279392E-2</v>
      </c>
      <c r="D86">
        <f t="shared" ca="1" si="1"/>
        <v>1713.8448979591833</v>
      </c>
    </row>
    <row r="87" spans="1:4" x14ac:dyDescent="0.25">
      <c r="A87" s="2">
        <f ca="1">IFERROR(__xludf.DUMMYFUNCTION("""COMPUTED_VALUE"""),44498.6458333333)</f>
        <v>44498.645833333299</v>
      </c>
      <c r="B87" s="1">
        <f ca="1">IFERROR(__xludf.DUMMYFUNCTION("""COMPUTED_VALUE"""),1667.75)</f>
        <v>1667.75</v>
      </c>
      <c r="C87" s="3">
        <f t="shared" ca="1" si="2"/>
        <v>-2.1216033804800805E-2</v>
      </c>
      <c r="D87">
        <f t="shared" ca="1" si="1"/>
        <v>1713.0744897959182</v>
      </c>
    </row>
    <row r="88" spans="1:4" x14ac:dyDescent="0.25">
      <c r="A88" s="2">
        <f ca="1">IFERROR(__xludf.DUMMYFUNCTION("""COMPUTED_VALUE"""),44501.6458333333)</f>
        <v>44501.645833333299</v>
      </c>
      <c r="B88" s="1">
        <f ca="1">IFERROR(__xludf.DUMMYFUNCTION("""COMPUTED_VALUE"""),1700.05)</f>
        <v>1700.05</v>
      </c>
      <c r="C88" s="3">
        <f t="shared" ca="1" si="2"/>
        <v>1.9367411182731196E-2</v>
      </c>
      <c r="D88">
        <f t="shared" ca="1" si="1"/>
        <v>1711.7336734693874</v>
      </c>
    </row>
    <row r="89" spans="1:4" x14ac:dyDescent="0.25">
      <c r="A89" s="2">
        <f ca="1">IFERROR(__xludf.DUMMYFUNCTION("""COMPUTED_VALUE"""),44502.6458333333)</f>
        <v>44502.645833333299</v>
      </c>
      <c r="B89" s="1">
        <f ca="1">IFERROR(__xludf.DUMMYFUNCTION("""COMPUTED_VALUE"""),1697.9)</f>
        <v>1697.9</v>
      </c>
      <c r="C89" s="3">
        <f t="shared" ca="1" si="2"/>
        <v>-1.264668686215031E-3</v>
      </c>
      <c r="D89">
        <f t="shared" ca="1" si="1"/>
        <v>1711.0622448979589</v>
      </c>
    </row>
    <row r="90" spans="1:4" x14ac:dyDescent="0.25">
      <c r="A90" s="2">
        <f ca="1">IFERROR(__xludf.DUMMYFUNCTION("""COMPUTED_VALUE"""),44503.6458333333)</f>
        <v>44503.645833333299</v>
      </c>
      <c r="B90" s="1">
        <f ca="1">IFERROR(__xludf.DUMMYFUNCTION("""COMPUTED_VALUE"""),1702.5)</f>
        <v>1702.5</v>
      </c>
      <c r="C90" s="3">
        <f t="shared" ca="1" si="2"/>
        <v>2.7092290476470396E-3</v>
      </c>
      <c r="D90">
        <f t="shared" ca="1" si="1"/>
        <v>1710.2285714285713</v>
      </c>
    </row>
    <row r="91" spans="1:4" x14ac:dyDescent="0.25">
      <c r="A91" s="2">
        <f ca="1">IFERROR(__xludf.DUMMYFUNCTION("""COMPUTED_VALUE"""),44504.8020833333)</f>
        <v>44504.802083333299</v>
      </c>
      <c r="B91" s="1">
        <f ca="1">IFERROR(__xludf.DUMMYFUNCTION("""COMPUTED_VALUE"""),1708.7)</f>
        <v>1708.7</v>
      </c>
      <c r="C91" s="3">
        <f t="shared" ca="1" si="2"/>
        <v>3.6417033773862234E-3</v>
      </c>
      <c r="D91">
        <f t="shared" ca="1" si="1"/>
        <v>1709.8540816326529</v>
      </c>
    </row>
    <row r="92" spans="1:4" x14ac:dyDescent="0.25">
      <c r="A92" s="2">
        <f ca="1">IFERROR(__xludf.DUMMYFUNCTION("""COMPUTED_VALUE"""),44508.6458333333)</f>
        <v>44508.645833333299</v>
      </c>
      <c r="B92" s="1">
        <f ca="1">IFERROR(__xludf.DUMMYFUNCTION("""COMPUTED_VALUE"""),1737.5)</f>
        <v>1737.5</v>
      </c>
      <c r="C92" s="3">
        <f t="shared" ca="1" si="2"/>
        <v>1.6854918944226579E-2</v>
      </c>
      <c r="D92">
        <f t="shared" ca="1" si="1"/>
        <v>1709.3061224489793</v>
      </c>
    </row>
    <row r="93" spans="1:4" x14ac:dyDescent="0.25">
      <c r="A93" s="2">
        <f ca="1">IFERROR(__xludf.DUMMYFUNCTION("""COMPUTED_VALUE"""),44509.6458333333)</f>
        <v>44509.645833333299</v>
      </c>
      <c r="B93" s="1">
        <f ca="1">IFERROR(__xludf.DUMMYFUNCTION("""COMPUTED_VALUE"""),1742.5)</f>
        <v>1742.5</v>
      </c>
      <c r="C93" s="3">
        <f t="shared" ca="1" si="2"/>
        <v>2.8776978417266188E-3</v>
      </c>
      <c r="D93">
        <f t="shared" ca="1" si="1"/>
        <v>1709.5061224489793</v>
      </c>
    </row>
    <row r="94" spans="1:4" x14ac:dyDescent="0.25">
      <c r="A94" s="2">
        <f ca="1">IFERROR(__xludf.DUMMYFUNCTION("""COMPUTED_VALUE"""),44510.6458333333)</f>
        <v>44510.645833333299</v>
      </c>
      <c r="B94" s="1">
        <f ca="1">IFERROR(__xludf.DUMMYFUNCTION("""COMPUTED_VALUE"""),1740.15)</f>
        <v>1740.15</v>
      </c>
      <c r="C94" s="3">
        <f t="shared" ca="1" si="2"/>
        <v>-1.3486370157818704E-3</v>
      </c>
      <c r="D94">
        <f t="shared" ca="1" si="1"/>
        <v>1710.19387755102</v>
      </c>
    </row>
    <row r="95" spans="1:4" x14ac:dyDescent="0.25">
      <c r="A95" s="2">
        <f ca="1">IFERROR(__xludf.DUMMYFUNCTION("""COMPUTED_VALUE"""),44511.6458333333)</f>
        <v>44511.645833333299</v>
      </c>
      <c r="B95" s="1">
        <f ca="1">IFERROR(__xludf.DUMMYFUNCTION("""COMPUTED_VALUE"""),1733.3)</f>
        <v>1733.3</v>
      </c>
      <c r="C95" s="3">
        <f t="shared" ca="1" si="2"/>
        <v>-3.9364422607247283E-3</v>
      </c>
      <c r="D95">
        <f t="shared" ca="1" si="1"/>
        <v>1711.0530612244895</v>
      </c>
    </row>
    <row r="96" spans="1:4" x14ac:dyDescent="0.25">
      <c r="A96" s="2">
        <f ca="1">IFERROR(__xludf.DUMMYFUNCTION("""COMPUTED_VALUE"""),44512.6458333333)</f>
        <v>44512.645833333299</v>
      </c>
      <c r="B96" s="1">
        <f ca="1">IFERROR(__xludf.DUMMYFUNCTION("""COMPUTED_VALUE"""),1780.2)</f>
        <v>1780.2</v>
      </c>
      <c r="C96" s="3">
        <f t="shared" ca="1" si="2"/>
        <v>2.7058212657935784E-2</v>
      </c>
      <c r="D96">
        <f t="shared" ca="1" si="1"/>
        <v>1711.6010204081629</v>
      </c>
    </row>
    <row r="97" spans="1:4" x14ac:dyDescent="0.25">
      <c r="A97" s="2">
        <f ca="1">IFERROR(__xludf.DUMMYFUNCTION("""COMPUTED_VALUE"""),44515.6458333333)</f>
        <v>44515.645833333299</v>
      </c>
      <c r="B97" s="1">
        <f ca="1">IFERROR(__xludf.DUMMYFUNCTION("""COMPUTED_VALUE"""),1787.15)</f>
        <v>1787.15</v>
      </c>
      <c r="C97" s="3">
        <f t="shared" ca="1" si="2"/>
        <v>3.9040557240759719E-3</v>
      </c>
      <c r="D97">
        <f t="shared" ca="1" si="1"/>
        <v>1713.6918367346937</v>
      </c>
    </row>
    <row r="98" spans="1:4" x14ac:dyDescent="0.25">
      <c r="A98" s="2">
        <f ca="1">IFERROR(__xludf.DUMMYFUNCTION("""COMPUTED_VALUE"""),44516.6458333333)</f>
        <v>44516.645833333299</v>
      </c>
      <c r="B98" s="1">
        <f ca="1">IFERROR(__xludf.DUMMYFUNCTION("""COMPUTED_VALUE"""),1792.3)</f>
        <v>1792.3</v>
      </c>
      <c r="C98" s="3">
        <f t="shared" ca="1" si="2"/>
        <v>2.8816831267660034E-3</v>
      </c>
      <c r="D98">
        <f t="shared" ca="1" si="1"/>
        <v>1715.6928571428568</v>
      </c>
    </row>
    <row r="99" spans="1:4" x14ac:dyDescent="0.25">
      <c r="A99" s="2">
        <f ca="1">IFERROR(__xludf.DUMMYFUNCTION("""COMPUTED_VALUE"""),44517.6458333333)</f>
        <v>44517.645833333299</v>
      </c>
      <c r="B99" s="1">
        <f ca="1">IFERROR(__xludf.DUMMYFUNCTION("""COMPUTED_VALUE"""),1787.45)</f>
        <v>1787.45</v>
      </c>
      <c r="C99" s="3">
        <f t="shared" ca="1" si="2"/>
        <v>-2.7060201975115266E-3</v>
      </c>
      <c r="D99">
        <f t="shared" ca="1" si="1"/>
        <v>1717.5632653061223</v>
      </c>
    </row>
    <row r="100" spans="1:4" x14ac:dyDescent="0.25">
      <c r="A100" s="2">
        <f ca="1">IFERROR(__xludf.DUMMYFUNCTION("""COMPUTED_VALUE"""),44518.6458333333)</f>
        <v>44518.645833333299</v>
      </c>
      <c r="B100" s="1">
        <f ca="1">IFERROR(__xludf.DUMMYFUNCTION("""COMPUTED_VALUE"""),1779.4)</f>
        <v>1779.4</v>
      </c>
      <c r="C100" s="3">
        <f t="shared" ca="1" si="2"/>
        <v>-4.5036224789504345E-3</v>
      </c>
      <c r="D100">
        <f t="shared" ca="1" si="1"/>
        <v>1718.7275510204081</v>
      </c>
    </row>
    <row r="101" spans="1:4" x14ac:dyDescent="0.25">
      <c r="A101" s="2">
        <f ca="1">IFERROR(__xludf.DUMMYFUNCTION("""COMPUTED_VALUE"""),44522.6458333333)</f>
        <v>44522.645833333299</v>
      </c>
      <c r="B101" s="1">
        <f ca="1">IFERROR(__xludf.DUMMYFUNCTION("""COMPUTED_VALUE"""),1759.4)</f>
        <v>1759.4</v>
      </c>
      <c r="C101" s="3">
        <f t="shared" ca="1" si="2"/>
        <v>-1.1239743733842868E-2</v>
      </c>
      <c r="D101">
        <f t="shared" ca="1" si="1"/>
        <v>1720.2122448979587</v>
      </c>
    </row>
    <row r="102" spans="1:4" x14ac:dyDescent="0.25">
      <c r="A102" s="2">
        <f ca="1">IFERROR(__xludf.DUMMYFUNCTION("""COMPUTED_VALUE"""),44523.6458333333)</f>
        <v>44523.645833333299</v>
      </c>
      <c r="B102" s="1">
        <f ca="1">IFERROR(__xludf.DUMMYFUNCTION("""COMPUTED_VALUE"""),1736.9)</f>
        <v>1736.9</v>
      </c>
      <c r="C102" s="3">
        <f t="shared" ca="1" si="2"/>
        <v>-1.2788450608161873E-2</v>
      </c>
      <c r="D102">
        <f t="shared" ca="1" si="1"/>
        <v>1721.5622448979586</v>
      </c>
    </row>
    <row r="103" spans="1:4" x14ac:dyDescent="0.25">
      <c r="A103" s="2">
        <f ca="1">IFERROR(__xludf.DUMMYFUNCTION("""COMPUTED_VALUE"""),44524.6458333333)</f>
        <v>44524.645833333299</v>
      </c>
      <c r="B103" s="1">
        <f ca="1">IFERROR(__xludf.DUMMYFUNCTION("""COMPUTED_VALUE"""),1696)</f>
        <v>1696</v>
      </c>
      <c r="C103" s="3">
        <f t="shared" ca="1" si="2"/>
        <v>-2.3547699925154063E-2</v>
      </c>
      <c r="D103">
        <f t="shared" ca="1" si="1"/>
        <v>1722.486734693877</v>
      </c>
    </row>
    <row r="104" spans="1:4" x14ac:dyDescent="0.25">
      <c r="A104" s="2">
        <f ca="1">IFERROR(__xludf.DUMMYFUNCTION("""COMPUTED_VALUE"""),44525.6458333333)</f>
        <v>44525.645833333299</v>
      </c>
      <c r="B104" s="1">
        <f ca="1">IFERROR(__xludf.DUMMYFUNCTION("""COMPUTED_VALUE"""),1722.4)</f>
        <v>1722.4</v>
      </c>
      <c r="C104" s="3">
        <f t="shared" ca="1" si="2"/>
        <v>1.556603773584911E-2</v>
      </c>
      <c r="D104">
        <f t="shared" ca="1" si="1"/>
        <v>1722.570408163265</v>
      </c>
    </row>
    <row r="105" spans="1:4" x14ac:dyDescent="0.25">
      <c r="A105" s="2">
        <f ca="1">IFERROR(__xludf.DUMMYFUNCTION("""COMPUTED_VALUE"""),44526.6458333333)</f>
        <v>44526.645833333299</v>
      </c>
      <c r="B105" s="1">
        <f ca="1">IFERROR(__xludf.DUMMYFUNCTION("""COMPUTED_VALUE"""),1691.65)</f>
        <v>1691.65</v>
      </c>
      <c r="C105" s="3">
        <f t="shared" ca="1" si="2"/>
        <v>-1.7852995819786343E-2</v>
      </c>
      <c r="D105">
        <f t="shared" ca="1" si="1"/>
        <v>1723.310204081632</v>
      </c>
    </row>
    <row r="106" spans="1:4" x14ac:dyDescent="0.25">
      <c r="A106" s="2">
        <f ca="1">IFERROR(__xludf.DUMMYFUNCTION("""COMPUTED_VALUE"""),44529.6458333333)</f>
        <v>44529.645833333299</v>
      </c>
      <c r="B106" s="1">
        <f ca="1">IFERROR(__xludf.DUMMYFUNCTION("""COMPUTED_VALUE"""),1696.35)</f>
        <v>1696.35</v>
      </c>
      <c r="C106" s="3">
        <f t="shared" ca="1" si="2"/>
        <v>2.7783524960835974E-3</v>
      </c>
      <c r="D106">
        <f t="shared" ca="1" si="1"/>
        <v>1722.906122448979</v>
      </c>
    </row>
    <row r="107" spans="1:4" x14ac:dyDescent="0.25">
      <c r="A107" s="2">
        <f ca="1">IFERROR(__xludf.DUMMYFUNCTION("""COMPUTED_VALUE"""),44530.6458333333)</f>
        <v>44530.645833333299</v>
      </c>
      <c r="B107" s="1">
        <f ca="1">IFERROR(__xludf.DUMMYFUNCTION("""COMPUTED_VALUE"""),1712.65)</f>
        <v>1712.65</v>
      </c>
      <c r="C107" s="3">
        <f t="shared" ca="1" si="2"/>
        <v>9.6088660948508171E-3</v>
      </c>
      <c r="D107">
        <f t="shared" ca="1" si="1"/>
        <v>1722.785714285714</v>
      </c>
    </row>
    <row r="108" spans="1:4" x14ac:dyDescent="0.25">
      <c r="A108" s="2">
        <f ca="1">IFERROR(__xludf.DUMMYFUNCTION("""COMPUTED_VALUE"""),44531.6458333333)</f>
        <v>44531.645833333299</v>
      </c>
      <c r="B108" s="1">
        <f ca="1">IFERROR(__xludf.DUMMYFUNCTION("""COMPUTED_VALUE"""),1714.9)</f>
        <v>1714.9</v>
      </c>
      <c r="C108" s="3">
        <f t="shared" ca="1" si="2"/>
        <v>1.3137535398359268E-3</v>
      </c>
      <c r="D108">
        <f t="shared" ca="1" si="1"/>
        <v>1723.2214285714281</v>
      </c>
    </row>
    <row r="109" spans="1:4" x14ac:dyDescent="0.25">
      <c r="A109" s="2">
        <f ca="1">IFERROR(__xludf.DUMMYFUNCTION("""COMPUTED_VALUE"""),44532.6458333333)</f>
        <v>44532.645833333299</v>
      </c>
      <c r="B109" s="1">
        <f ca="1">IFERROR(__xludf.DUMMYFUNCTION("""COMPUTED_VALUE"""),1748.25)</f>
        <v>1748.25</v>
      </c>
      <c r="C109" s="3">
        <f t="shared" ca="1" si="2"/>
        <v>1.9447198087351979E-2</v>
      </c>
      <c r="D109">
        <f t="shared" ca="1" si="1"/>
        <v>1723.7734693877544</v>
      </c>
    </row>
    <row r="110" spans="1:4" x14ac:dyDescent="0.25">
      <c r="A110" s="2">
        <f ca="1">IFERROR(__xludf.DUMMYFUNCTION("""COMPUTED_VALUE"""),44533.6458333333)</f>
        <v>44533.645833333299</v>
      </c>
      <c r="B110" s="1">
        <f ca="1">IFERROR(__xludf.DUMMYFUNCTION("""COMPUTED_VALUE"""),1735.55)</f>
        <v>1735.55</v>
      </c>
      <c r="C110" s="3">
        <f t="shared" ca="1" si="2"/>
        <v>-7.2644072644072908E-3</v>
      </c>
      <c r="D110">
        <f t="shared" ca="1" si="1"/>
        <v>1724.3816326530609</v>
      </c>
    </row>
    <row r="111" spans="1:4" x14ac:dyDescent="0.25">
      <c r="A111" s="2">
        <f ca="1">IFERROR(__xludf.DUMMYFUNCTION("""COMPUTED_VALUE"""),44536.6458333333)</f>
        <v>44536.645833333299</v>
      </c>
      <c r="B111" s="1">
        <f ca="1">IFERROR(__xludf.DUMMYFUNCTION("""COMPUTED_VALUE"""),1695.3)</f>
        <v>1695.3</v>
      </c>
      <c r="C111" s="3">
        <f t="shared" ca="1" si="2"/>
        <v>-2.3191495491342803E-2</v>
      </c>
      <c r="D111">
        <f t="shared" ca="1" si="1"/>
        <v>1724.7622448979587</v>
      </c>
    </row>
    <row r="112" spans="1:4" x14ac:dyDescent="0.25">
      <c r="A112" s="2">
        <f ca="1">IFERROR(__xludf.DUMMYFUNCTION("""COMPUTED_VALUE"""),44537.6458333333)</f>
        <v>44537.645833333299</v>
      </c>
      <c r="B112" s="1">
        <f ca="1">IFERROR(__xludf.DUMMYFUNCTION("""COMPUTED_VALUE"""),1711.65)</f>
        <v>1711.65</v>
      </c>
      <c r="C112" s="3">
        <f t="shared" ca="1" si="2"/>
        <v>9.6443107414617684E-3</v>
      </c>
      <c r="D112">
        <f t="shared" ca="1" si="1"/>
        <v>1723.7979591836729</v>
      </c>
    </row>
    <row r="113" spans="1:4" x14ac:dyDescent="0.25">
      <c r="A113" s="2">
        <f ca="1">IFERROR(__xludf.DUMMYFUNCTION("""COMPUTED_VALUE"""),44538.6458333333)</f>
        <v>44538.645833333299</v>
      </c>
      <c r="B113" s="1">
        <f ca="1">IFERROR(__xludf.DUMMYFUNCTION("""COMPUTED_VALUE"""),1753.35)</f>
        <v>1753.35</v>
      </c>
      <c r="C113" s="3">
        <f t="shared" ca="1" si="2"/>
        <v>2.4362457278064919E-2</v>
      </c>
      <c r="D113">
        <f t="shared" ca="1" si="1"/>
        <v>1722.732653061224</v>
      </c>
    </row>
    <row r="114" spans="1:4" x14ac:dyDescent="0.25">
      <c r="A114" s="2">
        <f ca="1">IFERROR(__xludf.DUMMYFUNCTION("""COMPUTED_VALUE"""),44539.6458333333)</f>
        <v>44539.645833333299</v>
      </c>
      <c r="B114" s="1">
        <f ca="1">IFERROR(__xludf.DUMMYFUNCTION("""COMPUTED_VALUE"""),1763.45)</f>
        <v>1763.45</v>
      </c>
      <c r="C114" s="3">
        <f t="shared" ca="1" si="2"/>
        <v>5.7604015170959234E-3</v>
      </c>
      <c r="D114">
        <f t="shared" ca="1" si="1"/>
        <v>1723.3897959183671</v>
      </c>
    </row>
    <row r="115" spans="1:4" x14ac:dyDescent="0.25">
      <c r="A115" s="2">
        <f ca="1">IFERROR(__xludf.DUMMYFUNCTION("""COMPUTED_VALUE"""),44540.6458333333)</f>
        <v>44540.645833333299</v>
      </c>
      <c r="B115" s="1">
        <f ca="1">IFERROR(__xludf.DUMMYFUNCTION("""COMPUTED_VALUE"""),1759.25)</f>
        <v>1759.25</v>
      </c>
      <c r="C115" s="3">
        <f t="shared" ca="1" si="2"/>
        <v>-2.3816949729224221E-3</v>
      </c>
      <c r="D115">
        <f t="shared" ca="1" si="1"/>
        <v>1724.9479591836734</v>
      </c>
    </row>
    <row r="116" spans="1:4" x14ac:dyDescent="0.25">
      <c r="A116" s="2">
        <f ca="1">IFERROR(__xludf.DUMMYFUNCTION("""COMPUTED_VALUE"""),44543.6458333333)</f>
        <v>44543.645833333299</v>
      </c>
      <c r="B116" s="1">
        <f ca="1">IFERROR(__xludf.DUMMYFUNCTION("""COMPUTED_VALUE"""),1744.65)</f>
        <v>1744.65</v>
      </c>
      <c r="C116" s="3">
        <f t="shared" ca="1" si="2"/>
        <v>-8.2989910473212497E-3</v>
      </c>
      <c r="D116">
        <f t="shared" ref="D116:D179" ca="1" si="3">AVERAGE(B67:B115)</f>
        <v>1726.3153061224489</v>
      </c>
    </row>
    <row r="117" spans="1:4" x14ac:dyDescent="0.25">
      <c r="A117" s="2">
        <f ca="1">IFERROR(__xludf.DUMMYFUNCTION("""COMPUTED_VALUE"""),44544.6458333333)</f>
        <v>44544.645833333299</v>
      </c>
      <c r="B117" s="1">
        <f ca="1">IFERROR(__xludf.DUMMYFUNCTION("""COMPUTED_VALUE"""),1752.15)</f>
        <v>1752.15</v>
      </c>
      <c r="C117" s="3">
        <f t="shared" ca="1" si="2"/>
        <v>4.2988565041698909E-3</v>
      </c>
      <c r="D117">
        <f t="shared" ca="1" si="3"/>
        <v>1727.7326530612247</v>
      </c>
    </row>
    <row r="118" spans="1:4" x14ac:dyDescent="0.25">
      <c r="A118" s="2">
        <f ca="1">IFERROR(__xludf.DUMMYFUNCTION("""COMPUTED_VALUE"""),44545.6458333333)</f>
        <v>44545.645833333299</v>
      </c>
      <c r="B118" s="1">
        <f ca="1">IFERROR(__xludf.DUMMYFUNCTION("""COMPUTED_VALUE"""),1734.2)</f>
        <v>1734.2</v>
      </c>
      <c r="C118" s="3">
        <f t="shared" ca="1" si="2"/>
        <v>-1.0244556687498243E-2</v>
      </c>
      <c r="D118">
        <f t="shared" ca="1" si="3"/>
        <v>1729.5081632653059</v>
      </c>
    </row>
    <row r="119" spans="1:4" x14ac:dyDescent="0.25">
      <c r="A119" s="2">
        <f ca="1">IFERROR(__xludf.DUMMYFUNCTION("""COMPUTED_VALUE"""),44546.6458333333)</f>
        <v>44546.645833333299</v>
      </c>
      <c r="B119" s="1">
        <f ca="1">IFERROR(__xludf.DUMMYFUNCTION("""COMPUTED_VALUE"""),1771.6)</f>
        <v>1771.6</v>
      </c>
      <c r="C119" s="3">
        <f t="shared" ca="1" si="2"/>
        <v>2.1566140006919539E-2</v>
      </c>
      <c r="D119">
        <f t="shared" ca="1" si="3"/>
        <v>1730.6397959183671</v>
      </c>
    </row>
    <row r="120" spans="1:4" x14ac:dyDescent="0.25">
      <c r="A120" s="2">
        <f ca="1">IFERROR(__xludf.DUMMYFUNCTION("""COMPUTED_VALUE"""),44547.6458333333)</f>
        <v>44547.645833333299</v>
      </c>
      <c r="B120" s="1">
        <f ca="1">IFERROR(__xludf.DUMMYFUNCTION("""COMPUTED_VALUE"""),1820.85)</f>
        <v>1820.85</v>
      </c>
      <c r="C120" s="3">
        <f t="shared" ca="1" si="2"/>
        <v>2.7799729058478214E-2</v>
      </c>
      <c r="D120">
        <f t="shared" ca="1" si="3"/>
        <v>1732.2479591836736</v>
      </c>
    </row>
    <row r="121" spans="1:4" x14ac:dyDescent="0.25">
      <c r="A121" s="2">
        <f ca="1">IFERROR(__xludf.DUMMYFUNCTION("""COMPUTED_VALUE"""),44550.6458333333)</f>
        <v>44550.645833333299</v>
      </c>
      <c r="B121" s="1">
        <f ca="1">IFERROR(__xludf.DUMMYFUNCTION("""COMPUTED_VALUE"""),1798.9)</f>
        <v>1798.9</v>
      </c>
      <c r="C121" s="3">
        <f t="shared" ca="1" si="2"/>
        <v>-1.2054809566960386E-2</v>
      </c>
      <c r="D121">
        <f t="shared" ca="1" si="3"/>
        <v>1735.2540816326532</v>
      </c>
    </row>
    <row r="122" spans="1:4" x14ac:dyDescent="0.25">
      <c r="A122" s="2">
        <f ca="1">IFERROR(__xludf.DUMMYFUNCTION("""COMPUTED_VALUE"""),44551.6458333333)</f>
        <v>44551.645833333299</v>
      </c>
      <c r="B122" s="1">
        <f ca="1">IFERROR(__xludf.DUMMYFUNCTION("""COMPUTED_VALUE"""),1811.6)</f>
        <v>1811.6</v>
      </c>
      <c r="C122" s="3">
        <f t="shared" ca="1" si="2"/>
        <v>7.0598699205068746E-3</v>
      </c>
      <c r="D122">
        <f t="shared" ca="1" si="3"/>
        <v>1737.4561224489796</v>
      </c>
    </row>
    <row r="123" spans="1:4" x14ac:dyDescent="0.25">
      <c r="A123" s="2">
        <f ca="1">IFERROR(__xludf.DUMMYFUNCTION("""COMPUTED_VALUE"""),44552.6458333333)</f>
        <v>44552.645833333299</v>
      </c>
      <c r="B123" s="1">
        <f ca="1">IFERROR(__xludf.DUMMYFUNCTION("""COMPUTED_VALUE"""),1824.7)</f>
        <v>1824.7</v>
      </c>
      <c r="C123" s="3">
        <f t="shared" ca="1" si="2"/>
        <v>7.2311768602341233E-3</v>
      </c>
      <c r="D123">
        <f t="shared" ca="1" si="3"/>
        <v>1739.2469387755107</v>
      </c>
    </row>
    <row r="124" spans="1:4" x14ac:dyDescent="0.25">
      <c r="A124" s="2">
        <f ca="1">IFERROR(__xludf.DUMMYFUNCTION("""COMPUTED_VALUE"""),44553.6458333333)</f>
        <v>44553.645833333299</v>
      </c>
      <c r="B124" s="1">
        <f ca="1">IFERROR(__xludf.DUMMYFUNCTION("""COMPUTED_VALUE"""),1857.6)</f>
        <v>1857.6</v>
      </c>
      <c r="C124" s="3">
        <f t="shared" ca="1" si="2"/>
        <v>1.8030361155258322E-2</v>
      </c>
      <c r="D124">
        <f t="shared" ca="1" si="3"/>
        <v>1741.9765306122449</v>
      </c>
    </row>
    <row r="125" spans="1:4" x14ac:dyDescent="0.25">
      <c r="A125" s="2">
        <f ca="1">IFERROR(__xludf.DUMMYFUNCTION("""COMPUTED_VALUE"""),44554.6458333333)</f>
        <v>44554.645833333299</v>
      </c>
      <c r="B125" s="1">
        <f ca="1">IFERROR(__xludf.DUMMYFUNCTION("""COMPUTED_VALUE"""),1863.5)</f>
        <v>1863.5</v>
      </c>
      <c r="C125" s="3">
        <f t="shared" ca="1" si="2"/>
        <v>3.1761412575366556E-3</v>
      </c>
      <c r="D125">
        <f t="shared" ca="1" si="3"/>
        <v>1745.4959183673473</v>
      </c>
    </row>
    <row r="126" spans="1:4" x14ac:dyDescent="0.25">
      <c r="A126" s="2">
        <f ca="1">IFERROR(__xludf.DUMMYFUNCTION("""COMPUTED_VALUE"""),44557.6458333333)</f>
        <v>44557.645833333299</v>
      </c>
      <c r="B126" s="1">
        <f ca="1">IFERROR(__xludf.DUMMYFUNCTION("""COMPUTED_VALUE"""),1866.15)</f>
        <v>1866.15</v>
      </c>
      <c r="C126" s="3">
        <f t="shared" ca="1" si="2"/>
        <v>1.4220552723370492E-3</v>
      </c>
      <c r="D126">
        <f t="shared" ca="1" si="3"/>
        <v>1748.6448979591842</v>
      </c>
    </row>
    <row r="127" spans="1:4" x14ac:dyDescent="0.25">
      <c r="A127" s="2">
        <f ca="1">IFERROR(__xludf.DUMMYFUNCTION("""COMPUTED_VALUE"""),44558.6458333333)</f>
        <v>44558.645833333299</v>
      </c>
      <c r="B127" s="1">
        <f ca="1">IFERROR(__xludf.DUMMYFUNCTION("""COMPUTED_VALUE"""),1888)</f>
        <v>1888</v>
      </c>
      <c r="C127" s="3">
        <f t="shared" ca="1" si="2"/>
        <v>1.1708597915494418E-2</v>
      </c>
      <c r="D127">
        <f t="shared" ca="1" si="3"/>
        <v>1751.7142857142858</v>
      </c>
    </row>
    <row r="128" spans="1:4" x14ac:dyDescent="0.25">
      <c r="A128" s="2">
        <f ca="1">IFERROR(__xludf.DUMMYFUNCTION("""COMPUTED_VALUE"""),44559.6458333333)</f>
        <v>44559.645833333299</v>
      </c>
      <c r="B128" s="1">
        <f ca="1">IFERROR(__xludf.DUMMYFUNCTION("""COMPUTED_VALUE"""),1885.55)</f>
        <v>1885.55</v>
      </c>
      <c r="C128" s="3">
        <f t="shared" ca="1" si="2"/>
        <v>-1.2976694915254477E-3</v>
      </c>
      <c r="D128">
        <f t="shared" ca="1" si="3"/>
        <v>1753.6704081632656</v>
      </c>
    </row>
    <row r="129" spans="1:4" x14ac:dyDescent="0.25">
      <c r="A129" s="2">
        <f ca="1">IFERROR(__xludf.DUMMYFUNCTION("""COMPUTED_VALUE"""),44560.6458333333)</f>
        <v>44560.645833333299</v>
      </c>
      <c r="B129" s="1">
        <f ca="1">IFERROR(__xludf.DUMMYFUNCTION("""COMPUTED_VALUE"""),1892.85)</f>
        <v>1892.85</v>
      </c>
      <c r="C129" s="3">
        <f t="shared" ca="1" si="2"/>
        <v>3.8715494152899445E-3</v>
      </c>
      <c r="D129">
        <f t="shared" ca="1" si="3"/>
        <v>1754.9642857142862</v>
      </c>
    </row>
    <row r="130" spans="1:4" x14ac:dyDescent="0.25">
      <c r="A130" s="2">
        <f ca="1">IFERROR(__xludf.DUMMYFUNCTION("""COMPUTED_VALUE"""),44561.6458333333)</f>
        <v>44561.645833333299</v>
      </c>
      <c r="B130" s="1">
        <f ca="1">IFERROR(__xludf.DUMMYFUNCTION("""COMPUTED_VALUE"""),1887.75)</f>
        <v>1887.75</v>
      </c>
      <c r="C130" s="3">
        <f t="shared" ca="1" si="2"/>
        <v>-2.6943497899991598E-3</v>
      </c>
      <c r="D130">
        <f t="shared" ca="1" si="3"/>
        <v>1756.8112244897966</v>
      </c>
    </row>
    <row r="131" spans="1:4" x14ac:dyDescent="0.25">
      <c r="A131" s="2">
        <f ca="1">IFERROR(__xludf.DUMMYFUNCTION("""COMPUTED_VALUE"""),44564.6458333333)</f>
        <v>44564.645833333299</v>
      </c>
      <c r="B131" s="1">
        <f ca="1">IFERROR(__xludf.DUMMYFUNCTION("""COMPUTED_VALUE"""),1898.45)</f>
        <v>1898.45</v>
      </c>
      <c r="C131" s="3">
        <f t="shared" ca="1" si="2"/>
        <v>5.6681234273606388E-3</v>
      </c>
      <c r="D131">
        <f t="shared" ca="1" si="3"/>
        <v>1759.5479591836738</v>
      </c>
    </row>
    <row r="132" spans="1:4" x14ac:dyDescent="0.25">
      <c r="A132" s="2">
        <f ca="1">IFERROR(__xludf.DUMMYFUNCTION("""COMPUTED_VALUE"""),44565.6458333333)</f>
        <v>44565.645833333299</v>
      </c>
      <c r="B132" s="1">
        <f ca="1">IFERROR(__xludf.DUMMYFUNCTION("""COMPUTED_VALUE"""),1899.15)</f>
        <v>1899.15</v>
      </c>
      <c r="C132" s="3">
        <f t="shared" ref="C132:C195" ca="1" si="4">(B132-B131)/B131</f>
        <v>3.6872185203721218E-4</v>
      </c>
      <c r="D132">
        <f t="shared" ca="1" si="3"/>
        <v>1763.1938775510207</v>
      </c>
    </row>
    <row r="133" spans="1:4" x14ac:dyDescent="0.25">
      <c r="A133" s="2">
        <f ca="1">IFERROR(__xludf.DUMMYFUNCTION("""COMPUTED_VALUE"""),44566.6458333333)</f>
        <v>44566.645833333299</v>
      </c>
      <c r="B133" s="1">
        <f ca="1">IFERROR(__xludf.DUMMYFUNCTION("""COMPUTED_VALUE"""),1844.65)</f>
        <v>1844.65</v>
      </c>
      <c r="C133" s="3">
        <f t="shared" ca="1" si="4"/>
        <v>-2.8697048679672484E-2</v>
      </c>
      <c r="D133">
        <f t="shared" ca="1" si="3"/>
        <v>1767.1040816326531</v>
      </c>
    </row>
    <row r="134" spans="1:4" x14ac:dyDescent="0.25">
      <c r="A134" s="2">
        <f ca="1">IFERROR(__xludf.DUMMYFUNCTION("""COMPUTED_VALUE"""),44567.6458333333)</f>
        <v>44567.645833333299</v>
      </c>
      <c r="B134" s="1">
        <f ca="1">IFERROR(__xludf.DUMMYFUNCTION("""COMPUTED_VALUE"""),1817.8)</f>
        <v>1817.8</v>
      </c>
      <c r="C134" s="3">
        <f t="shared" ca="1" si="4"/>
        <v>-1.4555606754668981E-2</v>
      </c>
      <c r="D134">
        <f t="shared" ca="1" si="3"/>
        <v>1769.9806122448981</v>
      </c>
    </row>
    <row r="135" spans="1:4" x14ac:dyDescent="0.25">
      <c r="A135" s="2">
        <f ca="1">IFERROR(__xludf.DUMMYFUNCTION("""COMPUTED_VALUE"""),44568.6458333333)</f>
        <v>44568.645833333299</v>
      </c>
      <c r="B135" s="1">
        <f ca="1">IFERROR(__xludf.DUMMYFUNCTION("""COMPUTED_VALUE"""),1814.3)</f>
        <v>1814.3</v>
      </c>
      <c r="C135" s="3">
        <f t="shared" ca="1" si="4"/>
        <v>-1.9254043349103312E-3</v>
      </c>
      <c r="D135">
        <f t="shared" ca="1" si="3"/>
        <v>1771.7938775510206</v>
      </c>
    </row>
    <row r="136" spans="1:4" x14ac:dyDescent="0.25">
      <c r="A136" s="2">
        <f ca="1">IFERROR(__xludf.DUMMYFUNCTION("""COMPUTED_VALUE"""),44571.6458333333)</f>
        <v>44571.645833333299</v>
      </c>
      <c r="B136" s="1">
        <f ca="1">IFERROR(__xludf.DUMMYFUNCTION("""COMPUTED_VALUE"""),1850.75)</f>
        <v>1850.75</v>
      </c>
      <c r="C136" s="3">
        <f t="shared" ca="1" si="4"/>
        <v>2.0090392989031609E-2</v>
      </c>
      <c r="D136">
        <f t="shared" ca="1" si="3"/>
        <v>1774.0469387755102</v>
      </c>
    </row>
    <row r="137" spans="1:4" x14ac:dyDescent="0.25">
      <c r="A137" s="2">
        <f ca="1">IFERROR(__xludf.DUMMYFUNCTION("""COMPUTED_VALUE"""),44572.6458333333)</f>
        <v>44572.645833333299</v>
      </c>
      <c r="B137" s="1">
        <f ca="1">IFERROR(__xludf.DUMMYFUNCTION("""COMPUTED_VALUE"""),1855.6)</f>
        <v>1855.6</v>
      </c>
      <c r="C137" s="3">
        <f t="shared" ca="1" si="4"/>
        <v>2.6205592327434332E-3</v>
      </c>
      <c r="D137">
        <f t="shared" ca="1" si="3"/>
        <v>1777.7816326530613</v>
      </c>
    </row>
    <row r="138" spans="1:4" x14ac:dyDescent="0.25">
      <c r="A138" s="2">
        <f ca="1">IFERROR(__xludf.DUMMYFUNCTION("""COMPUTED_VALUE"""),44573.6458333333)</f>
        <v>44573.645833333299</v>
      </c>
      <c r="B138" s="1">
        <f ca="1">IFERROR(__xludf.DUMMYFUNCTION("""COMPUTED_VALUE"""),1877.45)</f>
        <v>1877.45</v>
      </c>
      <c r="C138" s="3">
        <f t="shared" ca="1" si="4"/>
        <v>1.1775167061866855E-2</v>
      </c>
      <c r="D138">
        <f t="shared" ca="1" si="3"/>
        <v>1780.9561224489796</v>
      </c>
    </row>
    <row r="139" spans="1:4" x14ac:dyDescent="0.25">
      <c r="A139" s="2">
        <f ca="1">IFERROR(__xludf.DUMMYFUNCTION("""COMPUTED_VALUE"""),44574.6458333333)</f>
        <v>44574.645833333299</v>
      </c>
      <c r="B139" s="1">
        <f ca="1">IFERROR(__xludf.DUMMYFUNCTION("""COMPUTED_VALUE"""),1896.8)</f>
        <v>1896.8</v>
      </c>
      <c r="C139" s="3">
        <f t="shared" ca="1" si="4"/>
        <v>1.0306532797145015E-2</v>
      </c>
      <c r="D139">
        <f t="shared" ca="1" si="3"/>
        <v>1784.6204081632654</v>
      </c>
    </row>
    <row r="140" spans="1:4" x14ac:dyDescent="0.25">
      <c r="A140" s="2">
        <f ca="1">IFERROR(__xludf.DUMMYFUNCTION("""COMPUTED_VALUE"""),44575.6458333333)</f>
        <v>44575.645833333299</v>
      </c>
      <c r="B140" s="1">
        <f ca="1">IFERROR(__xludf.DUMMYFUNCTION("""COMPUTED_VALUE"""),1929.35)</f>
        <v>1929.35</v>
      </c>
      <c r="C140" s="3">
        <f t="shared" ca="1" si="4"/>
        <v>1.7160480809784877E-2</v>
      </c>
      <c r="D140">
        <f t="shared" ca="1" si="3"/>
        <v>1788.5857142857146</v>
      </c>
    </row>
    <row r="141" spans="1:4" x14ac:dyDescent="0.25">
      <c r="A141" s="2">
        <f ca="1">IFERROR(__xludf.DUMMYFUNCTION("""COMPUTED_VALUE"""),44578.6458333333)</f>
        <v>44578.645833333299</v>
      </c>
      <c r="B141" s="1">
        <f ca="1">IFERROR(__xludf.DUMMYFUNCTION("""COMPUTED_VALUE"""),1939.5)</f>
        <v>1939.5</v>
      </c>
      <c r="C141" s="3">
        <f t="shared" ca="1" si="4"/>
        <v>5.2608391427165059E-3</v>
      </c>
      <c r="D141">
        <f t="shared" ca="1" si="3"/>
        <v>1793.0887755102042</v>
      </c>
    </row>
    <row r="142" spans="1:4" x14ac:dyDescent="0.25">
      <c r="A142" s="2">
        <f ca="1">IFERROR(__xludf.DUMMYFUNCTION("""COMPUTED_VALUE"""),44579.6458333333)</f>
        <v>44579.645833333299</v>
      </c>
      <c r="B142" s="1">
        <f ca="1">IFERROR(__xludf.DUMMYFUNCTION("""COMPUTED_VALUE"""),1920.75)</f>
        <v>1920.75</v>
      </c>
      <c r="C142" s="3">
        <f t="shared" ca="1" si="4"/>
        <v>-9.6674400618716166E-3</v>
      </c>
      <c r="D142">
        <f t="shared" ca="1" si="3"/>
        <v>1797.211224489796</v>
      </c>
    </row>
    <row r="143" spans="1:4" x14ac:dyDescent="0.25">
      <c r="A143" s="2">
        <f ca="1">IFERROR(__xludf.DUMMYFUNCTION("""COMPUTED_VALUE"""),44580.6458333333)</f>
        <v>44580.645833333299</v>
      </c>
      <c r="B143" s="1">
        <f ca="1">IFERROR(__xludf.DUMMYFUNCTION("""COMPUTED_VALUE"""),1867.05)</f>
        <v>1867.05</v>
      </c>
      <c r="C143" s="3">
        <f t="shared" ca="1" si="4"/>
        <v>-2.7957828973057423E-2</v>
      </c>
      <c r="D143">
        <f t="shared" ca="1" si="3"/>
        <v>1800.8489795918365</v>
      </c>
    </row>
    <row r="144" spans="1:4" x14ac:dyDescent="0.25">
      <c r="A144" s="2">
        <f ca="1">IFERROR(__xludf.DUMMYFUNCTION("""COMPUTED_VALUE"""),44581.6458333333)</f>
        <v>44581.645833333299</v>
      </c>
      <c r="B144" s="1">
        <f ca="1">IFERROR(__xludf.DUMMYFUNCTION("""COMPUTED_VALUE"""),1823.7)</f>
        <v>1823.7</v>
      </c>
      <c r="C144" s="3">
        <f t="shared" ca="1" si="4"/>
        <v>-2.3218446211938571E-2</v>
      </c>
      <c r="D144">
        <f t="shared" ca="1" si="3"/>
        <v>1803.4387755102041</v>
      </c>
    </row>
    <row r="145" spans="1:4" x14ac:dyDescent="0.25">
      <c r="A145" s="2">
        <f ca="1">IFERROR(__xludf.DUMMYFUNCTION("""COMPUTED_VALUE"""),44582.6458333333)</f>
        <v>44582.645833333299</v>
      </c>
      <c r="B145" s="1">
        <f ca="1">IFERROR(__xludf.DUMMYFUNCTION("""COMPUTED_VALUE"""),1785.7)</f>
        <v>1785.7</v>
      </c>
      <c r="C145" s="3">
        <f t="shared" ca="1" si="4"/>
        <v>-2.0836760432088611E-2</v>
      </c>
      <c r="D145">
        <f t="shared" ca="1" si="3"/>
        <v>1805.2836734693876</v>
      </c>
    </row>
    <row r="146" spans="1:4" x14ac:dyDescent="0.25">
      <c r="A146" s="2">
        <f ca="1">IFERROR(__xludf.DUMMYFUNCTION("""COMPUTED_VALUE"""),44585.6458333333)</f>
        <v>44585.645833333299</v>
      </c>
      <c r="B146" s="1">
        <f ca="1">IFERROR(__xludf.DUMMYFUNCTION("""COMPUTED_VALUE"""),1736.8)</f>
        <v>1736.8</v>
      </c>
      <c r="C146" s="3">
        <f t="shared" ca="1" si="4"/>
        <v>-2.7384219073752641E-2</v>
      </c>
      <c r="D146">
        <f t="shared" ca="1" si="3"/>
        <v>1805.3959183673471</v>
      </c>
    </row>
    <row r="147" spans="1:4" x14ac:dyDescent="0.25">
      <c r="A147" s="2">
        <f ca="1">IFERROR(__xludf.DUMMYFUNCTION("""COMPUTED_VALUE"""),44586.6458333333)</f>
        <v>44586.645833333299</v>
      </c>
      <c r="B147" s="1">
        <f ca="1">IFERROR(__xludf.DUMMYFUNCTION("""COMPUTED_VALUE"""),1722.15)</f>
        <v>1722.15</v>
      </c>
      <c r="C147" s="3">
        <f t="shared" ca="1" si="4"/>
        <v>-8.4350529709810371E-3</v>
      </c>
      <c r="D147">
        <f t="shared" ca="1" si="3"/>
        <v>1804.3683673469388</v>
      </c>
    </row>
    <row r="148" spans="1:4" x14ac:dyDescent="0.25">
      <c r="A148" s="2">
        <f ca="1">IFERROR(__xludf.DUMMYFUNCTION("""COMPUTED_VALUE"""),44588.6458333333)</f>
        <v>44588.645833333299</v>
      </c>
      <c r="B148" s="1">
        <f ca="1">IFERROR(__xludf.DUMMYFUNCTION("""COMPUTED_VALUE"""),1678.6)</f>
        <v>1678.6</v>
      </c>
      <c r="C148" s="3">
        <f t="shared" ca="1" si="4"/>
        <v>-2.5288157245303939E-2</v>
      </c>
      <c r="D148">
        <f t="shared" ca="1" si="3"/>
        <v>1802.9367346938775</v>
      </c>
    </row>
    <row r="149" spans="1:4" x14ac:dyDescent="0.25">
      <c r="A149" s="2">
        <f ca="1">IFERROR(__xludf.DUMMYFUNCTION("""COMPUTED_VALUE"""),44589.6458333333)</f>
        <v>44589.645833333299</v>
      </c>
      <c r="B149" s="1">
        <f ca="1">IFERROR(__xludf.DUMMYFUNCTION("""COMPUTED_VALUE"""),1686.2)</f>
        <v>1686.2</v>
      </c>
      <c r="C149" s="3">
        <f t="shared" ca="1" si="4"/>
        <v>4.5275825092339671E-3</v>
      </c>
      <c r="D149">
        <f t="shared" ca="1" si="3"/>
        <v>1800.7153061224494</v>
      </c>
    </row>
    <row r="150" spans="1:4" x14ac:dyDescent="0.25">
      <c r="A150" s="2">
        <f ca="1">IFERROR(__xludf.DUMMYFUNCTION("""COMPUTED_VALUE"""),44592.6458333333)</f>
        <v>44592.645833333299</v>
      </c>
      <c r="B150" s="1">
        <f ca="1">IFERROR(__xludf.DUMMYFUNCTION("""COMPUTED_VALUE"""),1736.2)</f>
        <v>1736.2</v>
      </c>
      <c r="C150" s="3">
        <f t="shared" ca="1" si="4"/>
        <v>2.9652473016249556E-2</v>
      </c>
      <c r="D150">
        <f t="shared" ca="1" si="3"/>
        <v>1798.8132653061225</v>
      </c>
    </row>
    <row r="151" spans="1:4" x14ac:dyDescent="0.25">
      <c r="A151" s="2">
        <f ca="1">IFERROR(__xludf.DUMMYFUNCTION("""COMPUTED_VALUE"""),44593.6458333333)</f>
        <v>44593.645833333299</v>
      </c>
      <c r="B151" s="1">
        <f ca="1">IFERROR(__xludf.DUMMYFUNCTION("""COMPUTED_VALUE"""),1772.05)</f>
        <v>1772.05</v>
      </c>
      <c r="C151" s="3">
        <f t="shared" ca="1" si="4"/>
        <v>2.0648542794608864E-2</v>
      </c>
      <c r="D151">
        <f t="shared" ca="1" si="3"/>
        <v>1798.3397959183676</v>
      </c>
    </row>
    <row r="152" spans="1:4" x14ac:dyDescent="0.25">
      <c r="A152" s="2">
        <f ca="1">IFERROR(__xludf.DUMMYFUNCTION("""COMPUTED_VALUE"""),44594.6458333333)</f>
        <v>44594.645833333299</v>
      </c>
      <c r="B152" s="1">
        <f ca="1">IFERROR(__xludf.DUMMYFUNCTION("""COMPUTED_VALUE"""),1787.1)</f>
        <v>1787.1</v>
      </c>
      <c r="C152" s="3">
        <f t="shared" ca="1" si="4"/>
        <v>8.4929883468299171E-3</v>
      </c>
      <c r="D152">
        <f t="shared" ca="1" si="3"/>
        <v>1799.0571428571429</v>
      </c>
    </row>
    <row r="153" spans="1:4" x14ac:dyDescent="0.25">
      <c r="A153" s="2">
        <f ca="1">IFERROR(__xludf.DUMMYFUNCTION("""COMPUTED_VALUE"""),44595.6458333333)</f>
        <v>44595.645833333299</v>
      </c>
      <c r="B153" s="1">
        <f ca="1">IFERROR(__xludf.DUMMYFUNCTION("""COMPUTED_VALUE"""),1738.55)</f>
        <v>1738.55</v>
      </c>
      <c r="C153" s="3">
        <f t="shared" ca="1" si="4"/>
        <v>-2.7166918471266274E-2</v>
      </c>
      <c r="D153">
        <f t="shared" ca="1" si="3"/>
        <v>1800.9163265306124</v>
      </c>
    </row>
    <row r="154" spans="1:4" x14ac:dyDescent="0.25">
      <c r="A154" s="2">
        <f ca="1">IFERROR(__xludf.DUMMYFUNCTION("""COMPUTED_VALUE"""),44596.6458333333)</f>
        <v>44596.645833333299</v>
      </c>
      <c r="B154" s="1">
        <f ca="1">IFERROR(__xludf.DUMMYFUNCTION("""COMPUTED_VALUE"""),1741.1)</f>
        <v>1741.1</v>
      </c>
      <c r="C154" s="3">
        <f t="shared" ca="1" si="4"/>
        <v>1.4667395243162145E-3</v>
      </c>
      <c r="D154">
        <f t="shared" ca="1" si="3"/>
        <v>1801.2459183673473</v>
      </c>
    </row>
    <row r="155" spans="1:4" x14ac:dyDescent="0.25">
      <c r="A155" s="2">
        <f ca="1">IFERROR(__xludf.DUMMYFUNCTION("""COMPUTED_VALUE"""),44599.6458333333)</f>
        <v>44599.645833333299</v>
      </c>
      <c r="B155" s="1">
        <f ca="1">IFERROR(__xludf.DUMMYFUNCTION("""COMPUTED_VALUE"""),1715)</f>
        <v>1715</v>
      </c>
      <c r="C155" s="3">
        <f t="shared" ca="1" si="4"/>
        <v>-1.4990523232439211E-2</v>
      </c>
      <c r="D155">
        <f t="shared" ca="1" si="3"/>
        <v>1802.2551020408166</v>
      </c>
    </row>
    <row r="156" spans="1:4" x14ac:dyDescent="0.25">
      <c r="A156" s="2">
        <f ca="1">IFERROR(__xludf.DUMMYFUNCTION("""COMPUTED_VALUE"""),44600.6458333333)</f>
        <v>44600.645833333299</v>
      </c>
      <c r="B156" s="1">
        <f ca="1">IFERROR(__xludf.DUMMYFUNCTION("""COMPUTED_VALUE"""),1717.3)</f>
        <v>1717.3</v>
      </c>
      <c r="C156" s="3">
        <f t="shared" ca="1" si="4"/>
        <v>1.34110787172009E-3</v>
      </c>
      <c r="D156">
        <f t="shared" ca="1" si="3"/>
        <v>1802.6357142857148</v>
      </c>
    </row>
    <row r="157" spans="1:4" x14ac:dyDescent="0.25">
      <c r="A157" s="2">
        <f ca="1">IFERROR(__xludf.DUMMYFUNCTION("""COMPUTED_VALUE"""),44601.6458333333)</f>
        <v>44601.645833333299</v>
      </c>
      <c r="B157" s="1">
        <f ca="1">IFERROR(__xludf.DUMMYFUNCTION("""COMPUTED_VALUE"""),1737.3)</f>
        <v>1737.3</v>
      </c>
      <c r="C157" s="3">
        <f t="shared" ca="1" si="4"/>
        <v>1.16461887847202E-2</v>
      </c>
      <c r="D157">
        <f t="shared" ca="1" si="3"/>
        <v>1802.7306122448983</v>
      </c>
    </row>
    <row r="158" spans="1:4" x14ac:dyDescent="0.25">
      <c r="A158" s="2">
        <f ca="1">IFERROR(__xludf.DUMMYFUNCTION("""COMPUTED_VALUE"""),44602.6458333333)</f>
        <v>44602.645833333299</v>
      </c>
      <c r="B158" s="1">
        <f ca="1">IFERROR(__xludf.DUMMYFUNCTION("""COMPUTED_VALUE"""),1769.6)</f>
        <v>1769.6</v>
      </c>
      <c r="C158" s="3">
        <f t="shared" ca="1" si="4"/>
        <v>1.859206815172967E-2</v>
      </c>
      <c r="D158">
        <f t="shared" ca="1" si="3"/>
        <v>1803.1877551020414</v>
      </c>
    </row>
    <row r="159" spans="1:4" x14ac:dyDescent="0.25">
      <c r="A159" s="2">
        <f ca="1">IFERROR(__xludf.DUMMYFUNCTION("""COMPUTED_VALUE"""),44603.6458333333)</f>
        <v>44603.645833333299</v>
      </c>
      <c r="B159" s="1">
        <f ca="1">IFERROR(__xludf.DUMMYFUNCTION("""COMPUTED_VALUE"""),1721.35)</f>
        <v>1721.35</v>
      </c>
      <c r="C159" s="3">
        <f t="shared" ca="1" si="4"/>
        <v>-2.7266048824593131E-2</v>
      </c>
      <c r="D159">
        <f t="shared" ca="1" si="3"/>
        <v>1803.6234693877557</v>
      </c>
    </row>
    <row r="160" spans="1:4" x14ac:dyDescent="0.25">
      <c r="A160" s="2">
        <f ca="1">IFERROR(__xludf.DUMMYFUNCTION("""COMPUTED_VALUE"""),44606.6458333333)</f>
        <v>44606.645833333299</v>
      </c>
      <c r="B160" s="1">
        <f ca="1">IFERROR(__xludf.DUMMYFUNCTION("""COMPUTED_VALUE"""),1682.2)</f>
        <v>1682.2</v>
      </c>
      <c r="C160" s="3">
        <f t="shared" ca="1" si="4"/>
        <v>-2.2743776686902643E-2</v>
      </c>
      <c r="D160">
        <f t="shared" ca="1" si="3"/>
        <v>1803.3336734693885</v>
      </c>
    </row>
    <row r="161" spans="1:4" x14ac:dyDescent="0.25">
      <c r="A161" s="2">
        <f ca="1">IFERROR(__xludf.DUMMYFUNCTION("""COMPUTED_VALUE"""),44607.6458333333)</f>
        <v>44607.645833333299</v>
      </c>
      <c r="B161" s="1">
        <f ca="1">IFERROR(__xludf.DUMMYFUNCTION("""COMPUTED_VALUE"""),1738.25)</f>
        <v>1738.25</v>
      </c>
      <c r="C161" s="3">
        <f t="shared" ca="1" si="4"/>
        <v>3.3319462608488858E-2</v>
      </c>
      <c r="D161">
        <f t="shared" ca="1" si="3"/>
        <v>1803.0663265306127</v>
      </c>
    </row>
    <row r="162" spans="1:4" x14ac:dyDescent="0.25">
      <c r="A162" s="2">
        <f ca="1">IFERROR(__xludf.DUMMYFUNCTION("""COMPUTED_VALUE"""),44608.6458333333)</f>
        <v>44608.645833333299</v>
      </c>
      <c r="B162" s="1">
        <f ca="1">IFERROR(__xludf.DUMMYFUNCTION("""COMPUTED_VALUE"""),1733.3)</f>
        <v>1733.3</v>
      </c>
      <c r="C162" s="3">
        <f t="shared" ca="1" si="4"/>
        <v>-2.8476916438947477E-3</v>
      </c>
      <c r="D162">
        <f t="shared" ca="1" si="3"/>
        <v>1803.6091836734702</v>
      </c>
    </row>
    <row r="163" spans="1:4" x14ac:dyDescent="0.25">
      <c r="A163" s="2">
        <f ca="1">IFERROR(__xludf.DUMMYFUNCTION("""COMPUTED_VALUE"""),44609.6458333333)</f>
        <v>44609.645833333299</v>
      </c>
      <c r="B163" s="1">
        <f ca="1">IFERROR(__xludf.DUMMYFUNCTION("""COMPUTED_VALUE"""),1724.8)</f>
        <v>1724.8</v>
      </c>
      <c r="C163" s="3">
        <f t="shared" ca="1" si="4"/>
        <v>-4.9039404603934689E-3</v>
      </c>
      <c r="D163">
        <f t="shared" ca="1" si="3"/>
        <v>1803.2000000000007</v>
      </c>
    </row>
    <row r="164" spans="1:4" x14ac:dyDescent="0.25">
      <c r="A164" s="2">
        <f ca="1">IFERROR(__xludf.DUMMYFUNCTION("""COMPUTED_VALUE"""),44610.6458333333)</f>
        <v>44610.645833333299</v>
      </c>
      <c r="B164" s="1">
        <f ca="1">IFERROR(__xludf.DUMMYFUNCTION("""COMPUTED_VALUE"""),1706.95)</f>
        <v>1706.95</v>
      </c>
      <c r="C164" s="3">
        <f t="shared" ca="1" si="4"/>
        <v>-1.0349025974025922E-2</v>
      </c>
      <c r="D164">
        <f t="shared" ca="1" si="3"/>
        <v>1802.4112244897967</v>
      </c>
    </row>
    <row r="165" spans="1:4" x14ac:dyDescent="0.25">
      <c r="A165" s="2">
        <f ca="1">IFERROR(__xludf.DUMMYFUNCTION("""COMPUTED_VALUE"""),44613.6458333333)</f>
        <v>44613.645833333299</v>
      </c>
      <c r="B165" s="1">
        <f ca="1">IFERROR(__xludf.DUMMYFUNCTION("""COMPUTED_VALUE"""),1730.7)</f>
        <v>1730.7</v>
      </c>
      <c r="C165" s="3">
        <f t="shared" ca="1" si="4"/>
        <v>1.3913705732446761E-2</v>
      </c>
      <c r="D165">
        <f t="shared" ca="1" si="3"/>
        <v>1801.343877551021</v>
      </c>
    </row>
    <row r="166" spans="1:4" x14ac:dyDescent="0.25">
      <c r="A166" s="2">
        <f ca="1">IFERROR(__xludf.DUMMYFUNCTION("""COMPUTED_VALUE"""),44614.6458333333)</f>
        <v>44614.645833333299</v>
      </c>
      <c r="B166" s="1">
        <f ca="1">IFERROR(__xludf.DUMMYFUNCTION("""COMPUTED_VALUE"""),1734.35)</f>
        <v>1734.35</v>
      </c>
      <c r="C166" s="3">
        <f t="shared" ca="1" si="4"/>
        <v>2.1089732478187227E-3</v>
      </c>
      <c r="D166">
        <f t="shared" ca="1" si="3"/>
        <v>1801.0591836734698</v>
      </c>
    </row>
    <row r="167" spans="1:4" x14ac:dyDescent="0.25">
      <c r="A167" s="2">
        <f ca="1">IFERROR(__xludf.DUMMYFUNCTION("""COMPUTED_VALUE"""),44615.6458333333)</f>
        <v>44615.645833333299</v>
      </c>
      <c r="B167" s="1">
        <f ca="1">IFERROR(__xludf.DUMMYFUNCTION("""COMPUTED_VALUE"""),1742.85)</f>
        <v>1742.85</v>
      </c>
      <c r="C167" s="3">
        <f t="shared" ca="1" si="4"/>
        <v>4.9009715455357915E-3</v>
      </c>
      <c r="D167">
        <f t="shared" ca="1" si="3"/>
        <v>1800.6959183673473</v>
      </c>
    </row>
    <row r="168" spans="1:4" x14ac:dyDescent="0.25">
      <c r="A168" s="2">
        <f ca="1">IFERROR(__xludf.DUMMYFUNCTION("""COMPUTED_VALUE"""),44616.6458333333)</f>
        <v>44616.645833333299</v>
      </c>
      <c r="B168" s="1">
        <f ca="1">IFERROR(__xludf.DUMMYFUNCTION("""COMPUTED_VALUE"""),1678.15)</f>
        <v>1678.15</v>
      </c>
      <c r="C168" s="3">
        <f t="shared" ca="1" si="4"/>
        <v>-3.7123102963536631E-2</v>
      </c>
      <c r="D168">
        <f t="shared" ca="1" si="3"/>
        <v>1800.8724489795925</v>
      </c>
    </row>
    <row r="169" spans="1:4" x14ac:dyDescent="0.25">
      <c r="A169" s="2">
        <f ca="1">IFERROR(__xludf.DUMMYFUNCTION("""COMPUTED_VALUE"""),44617.6458333333)</f>
        <v>44617.645833333299</v>
      </c>
      <c r="B169" s="1">
        <f ca="1">IFERROR(__xludf.DUMMYFUNCTION("""COMPUTED_VALUE"""),1694.6)</f>
        <v>1694.6</v>
      </c>
      <c r="C169" s="3">
        <f t="shared" ca="1" si="4"/>
        <v>9.8024610434107907E-3</v>
      </c>
      <c r="D169">
        <f t="shared" ca="1" si="3"/>
        <v>1798.9653061224494</v>
      </c>
    </row>
    <row r="170" spans="1:4" x14ac:dyDescent="0.25">
      <c r="A170" s="2">
        <f ca="1">IFERROR(__xludf.DUMMYFUNCTION("""COMPUTED_VALUE"""),44620.6458333333)</f>
        <v>44620.645833333299</v>
      </c>
      <c r="B170" s="1">
        <f ca="1">IFERROR(__xludf.DUMMYFUNCTION("""COMPUTED_VALUE"""),1715.6)</f>
        <v>1715.6</v>
      </c>
      <c r="C170" s="3">
        <f t="shared" ca="1" si="4"/>
        <v>1.2392304968724184E-2</v>
      </c>
      <c r="D170">
        <f t="shared" ca="1" si="3"/>
        <v>1796.3887755102044</v>
      </c>
    </row>
    <row r="171" spans="1:4" x14ac:dyDescent="0.25">
      <c r="A171" s="2">
        <f ca="1">IFERROR(__xludf.DUMMYFUNCTION("""COMPUTED_VALUE"""),44622.6458333333)</f>
        <v>44622.645833333299</v>
      </c>
      <c r="B171" s="1">
        <f ca="1">IFERROR(__xludf.DUMMYFUNCTION("""COMPUTED_VALUE"""),1702.8)</f>
        <v>1702.8</v>
      </c>
      <c r="C171" s="3">
        <f t="shared" ca="1" si="4"/>
        <v>-7.460946607600813E-3</v>
      </c>
      <c r="D171">
        <f t="shared" ca="1" si="3"/>
        <v>1794.6887755102048</v>
      </c>
    </row>
    <row r="172" spans="1:4" x14ac:dyDescent="0.25">
      <c r="A172" s="2">
        <f ca="1">IFERROR(__xludf.DUMMYFUNCTION("""COMPUTED_VALUE"""),44623.6458333333)</f>
        <v>44623.645833333299</v>
      </c>
      <c r="B172" s="1">
        <f ca="1">IFERROR(__xludf.DUMMYFUNCTION("""COMPUTED_VALUE"""),1720.85)</f>
        <v>1720.85</v>
      </c>
      <c r="C172" s="3">
        <f t="shared" ca="1" si="4"/>
        <v>1.0600187925769295E-2</v>
      </c>
      <c r="D172">
        <f t="shared" ca="1" si="3"/>
        <v>1792.4683673469392</v>
      </c>
    </row>
    <row r="173" spans="1:4" x14ac:dyDescent="0.25">
      <c r="A173" s="2">
        <f ca="1">IFERROR(__xludf.DUMMYFUNCTION("""COMPUTED_VALUE"""),44624.6458333333)</f>
        <v>44624.645833333299</v>
      </c>
      <c r="B173" s="1">
        <f ca="1">IFERROR(__xludf.DUMMYFUNCTION("""COMPUTED_VALUE"""),1723.3)</f>
        <v>1723.3</v>
      </c>
      <c r="C173" s="3">
        <f t="shared" ca="1" si="4"/>
        <v>1.4237150245518468E-3</v>
      </c>
      <c r="D173">
        <f t="shared" ca="1" si="3"/>
        <v>1790.3489795918372</v>
      </c>
    </row>
    <row r="174" spans="1:4" x14ac:dyDescent="0.25">
      <c r="A174" s="2">
        <f ca="1">IFERROR(__xludf.DUMMYFUNCTION("""COMPUTED_VALUE"""),44627.6458333333)</f>
        <v>44627.645833333299</v>
      </c>
      <c r="B174" s="1">
        <f ca="1">IFERROR(__xludf.DUMMYFUNCTION("""COMPUTED_VALUE"""),1739.85)</f>
        <v>1739.85</v>
      </c>
      <c r="C174" s="3">
        <f t="shared" ca="1" si="4"/>
        <v>9.6036673823477955E-3</v>
      </c>
      <c r="D174">
        <f t="shared" ca="1" si="3"/>
        <v>1787.6081632653065</v>
      </c>
    </row>
    <row r="175" spans="1:4" x14ac:dyDescent="0.25">
      <c r="A175" s="2">
        <f ca="1">IFERROR(__xludf.DUMMYFUNCTION("""COMPUTED_VALUE"""),44628.6458333333)</f>
        <v>44628.645833333299</v>
      </c>
      <c r="B175" s="1">
        <f ca="1">IFERROR(__xludf.DUMMYFUNCTION("""COMPUTED_VALUE"""),1778.2)</f>
        <v>1778.2</v>
      </c>
      <c r="C175" s="3">
        <f t="shared" ca="1" si="4"/>
        <v>2.2042130068684163E-2</v>
      </c>
      <c r="D175">
        <f t="shared" ca="1" si="3"/>
        <v>1785.0846938775514</v>
      </c>
    </row>
    <row r="176" spans="1:4" x14ac:dyDescent="0.25">
      <c r="A176" s="2">
        <f ca="1">IFERROR(__xludf.DUMMYFUNCTION("""COMPUTED_VALUE"""),44629.6458333333)</f>
        <v>44629.645833333299</v>
      </c>
      <c r="B176" s="1">
        <f ca="1">IFERROR(__xludf.DUMMYFUNCTION("""COMPUTED_VALUE"""),1813.35)</f>
        <v>1813.35</v>
      </c>
      <c r="C176" s="3">
        <f t="shared" ca="1" si="4"/>
        <v>1.9767180294679935E-2</v>
      </c>
      <c r="D176">
        <f t="shared" ca="1" si="3"/>
        <v>1783.2897959183679</v>
      </c>
    </row>
    <row r="177" spans="1:4" x14ac:dyDescent="0.25">
      <c r="A177" s="2">
        <f ca="1">IFERROR(__xludf.DUMMYFUNCTION("""COMPUTED_VALUE"""),44630.6458333333)</f>
        <v>44630.645833333299</v>
      </c>
      <c r="B177" s="1">
        <f ca="1">IFERROR(__xludf.DUMMYFUNCTION("""COMPUTED_VALUE"""),1825.9)</f>
        <v>1825.9</v>
      </c>
      <c r="C177" s="3">
        <f t="shared" ca="1" si="4"/>
        <v>6.9208922712108434E-3</v>
      </c>
      <c r="D177">
        <f t="shared" ca="1" si="3"/>
        <v>1781.7663265306128</v>
      </c>
    </row>
    <row r="178" spans="1:4" x14ac:dyDescent="0.25">
      <c r="A178" s="2">
        <f ca="1">IFERROR(__xludf.DUMMYFUNCTION("""COMPUTED_VALUE"""),44631.6458333333)</f>
        <v>44631.645833333299</v>
      </c>
      <c r="B178" s="1">
        <f ca="1">IFERROR(__xludf.DUMMYFUNCTION("""COMPUTED_VALUE"""),1822)</f>
        <v>1822</v>
      </c>
      <c r="C178" s="3">
        <f t="shared" ca="1" si="4"/>
        <v>-2.1359329645654697E-3</v>
      </c>
      <c r="D178">
        <f t="shared" ca="1" si="3"/>
        <v>1780.5489795918375</v>
      </c>
    </row>
    <row r="179" spans="1:4" x14ac:dyDescent="0.25">
      <c r="A179" s="2">
        <f ca="1">IFERROR(__xludf.DUMMYFUNCTION("""COMPUTED_VALUE"""),44634.6458333333)</f>
        <v>44634.645833333299</v>
      </c>
      <c r="B179" s="1">
        <f ca="1">IFERROR(__xludf.DUMMYFUNCTION("""COMPUTED_VALUE"""),1890.7)</f>
        <v>1890.7</v>
      </c>
      <c r="C179" s="3">
        <f t="shared" ca="1" si="4"/>
        <v>3.7705817782656449E-2</v>
      </c>
      <c r="D179">
        <f t="shared" ca="1" si="3"/>
        <v>1779.1030612244901</v>
      </c>
    </row>
    <row r="180" spans="1:4" x14ac:dyDescent="0.25">
      <c r="A180" s="2">
        <f ca="1">IFERROR(__xludf.DUMMYFUNCTION("""COMPUTED_VALUE"""),44635.6458333333)</f>
        <v>44635.645833333299</v>
      </c>
      <c r="B180" s="1">
        <f ca="1">IFERROR(__xludf.DUMMYFUNCTION("""COMPUTED_VALUE"""),1839.3)</f>
        <v>1839.3</v>
      </c>
      <c r="C180" s="3">
        <f t="shared" ca="1" si="4"/>
        <v>-2.7185698418575179E-2</v>
      </c>
      <c r="D180">
        <f t="shared" ref="D180:D243" ca="1" si="5">AVERAGE(B131:B179)</f>
        <v>1779.1632653061226</v>
      </c>
    </row>
    <row r="181" spans="1:4" x14ac:dyDescent="0.25">
      <c r="A181" s="2">
        <f ca="1">IFERROR(__xludf.DUMMYFUNCTION("""COMPUTED_VALUE"""),44636.6458333333)</f>
        <v>44636.645833333299</v>
      </c>
      <c r="B181" s="1">
        <f ca="1">IFERROR(__xludf.DUMMYFUNCTION("""COMPUTED_VALUE"""),1889.4)</f>
        <v>1889.4</v>
      </c>
      <c r="C181" s="3">
        <f t="shared" ca="1" si="4"/>
        <v>2.7238623389332972E-2</v>
      </c>
      <c r="D181">
        <f t="shared" ca="1" si="5"/>
        <v>1777.9561224489801</v>
      </c>
    </row>
    <row r="182" spans="1:4" x14ac:dyDescent="0.25">
      <c r="A182" s="2">
        <f ca="1">IFERROR(__xludf.DUMMYFUNCTION("""COMPUTED_VALUE"""),44637.6458333333)</f>
        <v>44637.645833333299</v>
      </c>
      <c r="B182" s="1">
        <f ca="1">IFERROR(__xludf.DUMMYFUNCTION("""COMPUTED_VALUE"""),1854.6)</f>
        <v>1854.6</v>
      </c>
      <c r="C182" s="3">
        <f t="shared" ca="1" si="4"/>
        <v>-1.8418545570022326E-2</v>
      </c>
      <c r="D182">
        <f t="shared" ca="1" si="5"/>
        <v>1777.7571428571432</v>
      </c>
    </row>
    <row r="183" spans="1:4" x14ac:dyDescent="0.25">
      <c r="A183" s="2">
        <f ca="1">IFERROR(__xludf.DUMMYFUNCTION("""COMPUTED_VALUE"""),44641.6458333333)</f>
        <v>44641.645833333299</v>
      </c>
      <c r="B183" s="1">
        <f ca="1">IFERROR(__xludf.DUMMYFUNCTION("""COMPUTED_VALUE"""),1853.05)</f>
        <v>1853.05</v>
      </c>
      <c r="C183" s="3">
        <f t="shared" ca="1" si="4"/>
        <v>-8.3575973255686114E-4</v>
      </c>
      <c r="D183">
        <f t="shared" ca="1" si="5"/>
        <v>1777.960204081633</v>
      </c>
    </row>
    <row r="184" spans="1:4" x14ac:dyDescent="0.25">
      <c r="A184" s="2">
        <f ca="1">IFERROR(__xludf.DUMMYFUNCTION("""COMPUTED_VALUE"""),44642.6458333333)</f>
        <v>44642.645833333299</v>
      </c>
      <c r="B184" s="1">
        <f ca="1">IFERROR(__xludf.DUMMYFUNCTION("""COMPUTED_VALUE"""),1887.4)</f>
        <v>1887.4</v>
      </c>
      <c r="C184" s="3">
        <f t="shared" ca="1" si="4"/>
        <v>1.8537006556757853E-2</v>
      </c>
      <c r="D184">
        <f t="shared" ca="1" si="5"/>
        <v>1778.6795918367347</v>
      </c>
    </row>
    <row r="185" spans="1:4" x14ac:dyDescent="0.25">
      <c r="A185" s="2">
        <f ca="1">IFERROR(__xludf.DUMMYFUNCTION("""COMPUTED_VALUE"""),44643.6458333333)</f>
        <v>44643.645833333299</v>
      </c>
      <c r="B185" s="1">
        <f ca="1">IFERROR(__xludf.DUMMYFUNCTION("""COMPUTED_VALUE"""),1872.4)</f>
        <v>1872.4</v>
      </c>
      <c r="C185" s="3">
        <f t="shared" ca="1" si="4"/>
        <v>-7.9474409240224645E-3</v>
      </c>
      <c r="D185">
        <f t="shared" ca="1" si="5"/>
        <v>1780.1714285714284</v>
      </c>
    </row>
    <row r="186" spans="1:4" x14ac:dyDescent="0.25">
      <c r="A186" s="2">
        <f ca="1">IFERROR(__xludf.DUMMYFUNCTION("""COMPUTED_VALUE"""),44644.6458333333)</f>
        <v>44644.645833333299</v>
      </c>
      <c r="B186" s="1">
        <f ca="1">IFERROR(__xludf.DUMMYFUNCTION("""COMPUTED_VALUE"""),1886.7)</f>
        <v>1886.7</v>
      </c>
      <c r="C186" s="3">
        <f t="shared" ca="1" si="4"/>
        <v>7.6372569963682729E-3</v>
      </c>
      <c r="D186">
        <f t="shared" ca="1" si="5"/>
        <v>1780.6132653061222</v>
      </c>
    </row>
    <row r="187" spans="1:4" x14ac:dyDescent="0.25">
      <c r="A187" s="2">
        <f ca="1">IFERROR(__xludf.DUMMYFUNCTION("""COMPUTED_VALUE"""),44645.6458333333)</f>
        <v>44645.645833333299</v>
      </c>
      <c r="B187" s="1">
        <f ca="1">IFERROR(__xludf.DUMMYFUNCTION("""COMPUTED_VALUE"""),1876.55)</f>
        <v>1876.55</v>
      </c>
      <c r="C187" s="3">
        <f t="shared" ca="1" si="4"/>
        <v>-5.3797636084168604E-3</v>
      </c>
      <c r="D187">
        <f t="shared" ca="1" si="5"/>
        <v>1781.2479591836729</v>
      </c>
    </row>
    <row r="188" spans="1:4" x14ac:dyDescent="0.25">
      <c r="A188" s="2">
        <f ca="1">IFERROR(__xludf.DUMMYFUNCTION("""COMPUTED_VALUE"""),44648.6458333333)</f>
        <v>44648.645833333299</v>
      </c>
      <c r="B188" s="1">
        <f ca="1">IFERROR(__xludf.DUMMYFUNCTION("""COMPUTED_VALUE"""),1873.9)</f>
        <v>1873.9</v>
      </c>
      <c r="C188" s="3">
        <f t="shared" ca="1" si="4"/>
        <v>-1.4121659428205291E-3</v>
      </c>
      <c r="D188">
        <f t="shared" ca="1" si="5"/>
        <v>1781.229591836734</v>
      </c>
    </row>
    <row r="189" spans="1:4" x14ac:dyDescent="0.25">
      <c r="A189" s="2">
        <f ca="1">IFERROR(__xludf.DUMMYFUNCTION("""COMPUTED_VALUE"""),44649.6458333333)</f>
        <v>44649.645833333299</v>
      </c>
      <c r="B189" s="1">
        <f ca="1">IFERROR(__xludf.DUMMYFUNCTION("""COMPUTED_VALUE"""),1886)</f>
        <v>1886</v>
      </c>
      <c r="C189" s="3">
        <f t="shared" ca="1" si="4"/>
        <v>6.4571215112865727E-3</v>
      </c>
      <c r="D189">
        <f t="shared" ca="1" si="5"/>
        <v>1780.7622448979585</v>
      </c>
    </row>
    <row r="190" spans="1:4" x14ac:dyDescent="0.25">
      <c r="A190" s="2">
        <f ca="1">IFERROR(__xludf.DUMMYFUNCTION("""COMPUTED_VALUE"""),44650.6458333333)</f>
        <v>44650.645833333299</v>
      </c>
      <c r="B190" s="1">
        <f ca="1">IFERROR(__xludf.DUMMYFUNCTION("""COMPUTED_VALUE"""),1903.95)</f>
        <v>1903.95</v>
      </c>
      <c r="C190" s="3">
        <f t="shared" ca="1" si="4"/>
        <v>9.5174973488865566E-3</v>
      </c>
      <c r="D190">
        <f t="shared" ca="1" si="5"/>
        <v>1779.8775510204075</v>
      </c>
    </row>
    <row r="191" spans="1:4" x14ac:dyDescent="0.25">
      <c r="A191" s="2">
        <f ca="1">IFERROR(__xludf.DUMMYFUNCTION("""COMPUTED_VALUE"""),44651.6458333333)</f>
        <v>44651.645833333299</v>
      </c>
      <c r="B191" s="1">
        <f ca="1">IFERROR(__xludf.DUMMYFUNCTION("""COMPUTED_VALUE"""),1906.85)</f>
        <v>1906.85</v>
      </c>
      <c r="C191" s="3">
        <f t="shared" ca="1" si="4"/>
        <v>1.5231492423644862E-3</v>
      </c>
      <c r="D191">
        <f t="shared" ca="1" si="5"/>
        <v>1779.1520408163258</v>
      </c>
    </row>
    <row r="192" spans="1:4" x14ac:dyDescent="0.25">
      <c r="A192" s="2">
        <f ca="1">IFERROR(__xludf.DUMMYFUNCTION("""COMPUTED_VALUE"""),44652.6458333333)</f>
        <v>44652.645833333299</v>
      </c>
      <c r="B192" s="1">
        <f ca="1">IFERROR(__xludf.DUMMYFUNCTION("""COMPUTED_VALUE"""),1903.55)</f>
        <v>1903.55</v>
      </c>
      <c r="C192" s="3">
        <f t="shared" ca="1" si="4"/>
        <v>-1.7306028266512597E-3</v>
      </c>
      <c r="D192">
        <f t="shared" ca="1" si="5"/>
        <v>1778.8683673469382</v>
      </c>
    </row>
    <row r="193" spans="1:4" x14ac:dyDescent="0.25">
      <c r="A193" s="2">
        <f ca="1">IFERROR(__xludf.DUMMYFUNCTION("""COMPUTED_VALUE"""),44655.6458333333)</f>
        <v>44655.645833333299</v>
      </c>
      <c r="B193" s="1">
        <f ca="1">IFERROR(__xludf.DUMMYFUNCTION("""COMPUTED_VALUE"""),1882.95)</f>
        <v>1882.95</v>
      </c>
      <c r="C193" s="3">
        <f t="shared" ca="1" si="4"/>
        <v>-1.0821885424601356E-2</v>
      </c>
      <c r="D193">
        <f t="shared" ca="1" si="5"/>
        <v>1779.6132653061222</v>
      </c>
    </row>
    <row r="194" spans="1:4" x14ac:dyDescent="0.25">
      <c r="A194" s="2">
        <f ca="1">IFERROR(__xludf.DUMMYFUNCTION("""COMPUTED_VALUE"""),44656.6458333333)</f>
        <v>44656.645833333299</v>
      </c>
      <c r="B194" s="1">
        <f ca="1">IFERROR(__xludf.DUMMYFUNCTION("""COMPUTED_VALUE"""),1861.1)</f>
        <v>1861.1</v>
      </c>
      <c r="C194" s="3">
        <f t="shared" ca="1" si="4"/>
        <v>-1.1604131814440179E-2</v>
      </c>
      <c r="D194">
        <f t="shared" ca="1" si="5"/>
        <v>1780.8224489795914</v>
      </c>
    </row>
    <row r="195" spans="1:4" x14ac:dyDescent="0.25">
      <c r="A195" s="2">
        <f ca="1">IFERROR(__xludf.DUMMYFUNCTION("""COMPUTED_VALUE"""),44657.6458333333)</f>
        <v>44657.645833333299</v>
      </c>
      <c r="B195" s="1">
        <f ca="1">IFERROR(__xludf.DUMMYFUNCTION("""COMPUTED_VALUE"""),1828.85)</f>
        <v>1828.85</v>
      </c>
      <c r="C195" s="3">
        <f t="shared" ca="1" si="4"/>
        <v>-1.7328461662457686E-2</v>
      </c>
      <c r="D195">
        <f t="shared" ca="1" si="5"/>
        <v>1782.3612244897956</v>
      </c>
    </row>
    <row r="196" spans="1:4" x14ac:dyDescent="0.25">
      <c r="A196" s="2">
        <f ca="1">IFERROR(__xludf.DUMMYFUNCTION("""COMPUTED_VALUE"""),44658.6458333333)</f>
        <v>44658.645833333299</v>
      </c>
      <c r="B196" s="1">
        <f ca="1">IFERROR(__xludf.DUMMYFUNCTION("""COMPUTED_VALUE"""),1811)</f>
        <v>1811</v>
      </c>
      <c r="C196" s="3">
        <f t="shared" ref="C196:C259" ca="1" si="6">(B196-B195)/B195</f>
        <v>-9.7602318396806248E-3</v>
      </c>
      <c r="D196">
        <f t="shared" ca="1" si="5"/>
        <v>1784.2397959183672</v>
      </c>
    </row>
    <row r="197" spans="1:4" x14ac:dyDescent="0.25">
      <c r="A197" s="2">
        <f ca="1">IFERROR(__xludf.DUMMYFUNCTION("""COMPUTED_VALUE"""),44659.6458333333)</f>
        <v>44659.645833333299</v>
      </c>
      <c r="B197" s="1">
        <f ca="1">IFERROR(__xludf.DUMMYFUNCTION("""COMPUTED_VALUE"""),1814.6)</f>
        <v>1814.6</v>
      </c>
      <c r="C197" s="3">
        <f t="shared" ca="1" si="6"/>
        <v>1.9878520154610209E-3</v>
      </c>
      <c r="D197">
        <f t="shared" ca="1" si="5"/>
        <v>1786.05306122449</v>
      </c>
    </row>
    <row r="198" spans="1:4" x14ac:dyDescent="0.25">
      <c r="A198" s="2">
        <f ca="1">IFERROR(__xludf.DUMMYFUNCTION("""COMPUTED_VALUE"""),44662.6458333333)</f>
        <v>44662.645833333299</v>
      </c>
      <c r="B198" s="1">
        <f ca="1">IFERROR(__xludf.DUMMYFUNCTION("""COMPUTED_VALUE"""),1766.55)</f>
        <v>1766.55</v>
      </c>
      <c r="C198" s="3">
        <f t="shared" ca="1" si="6"/>
        <v>-2.6479664939931643E-2</v>
      </c>
      <c r="D198">
        <f t="shared" ca="1" si="5"/>
        <v>1788.8285714285719</v>
      </c>
    </row>
    <row r="199" spans="1:4" x14ac:dyDescent="0.25">
      <c r="A199" s="2">
        <f ca="1">IFERROR(__xludf.DUMMYFUNCTION("""COMPUTED_VALUE"""),44663.6458333333)</f>
        <v>44663.645833333299</v>
      </c>
      <c r="B199" s="1">
        <f ca="1">IFERROR(__xludf.DUMMYFUNCTION("""COMPUTED_VALUE"""),1742.45)</f>
        <v>1742.45</v>
      </c>
      <c r="C199" s="3">
        <f t="shared" ca="1" si="6"/>
        <v>-1.364241034785311E-2</v>
      </c>
      <c r="D199">
        <f t="shared" ca="1" si="5"/>
        <v>1790.468367346939</v>
      </c>
    </row>
    <row r="200" spans="1:4" x14ac:dyDescent="0.25">
      <c r="A200" s="2">
        <f ca="1">IFERROR(__xludf.DUMMYFUNCTION("""COMPUTED_VALUE"""),44664.6458333333)</f>
        <v>44664.645833333299</v>
      </c>
      <c r="B200" s="1">
        <f ca="1">IFERROR(__xludf.DUMMYFUNCTION("""COMPUTED_VALUE"""),1748.55)</f>
        <v>1748.55</v>
      </c>
      <c r="C200" s="3">
        <f t="shared" ca="1" si="6"/>
        <v>3.5008178139974799E-3</v>
      </c>
      <c r="D200">
        <f t="shared" ca="1" si="5"/>
        <v>1790.5959183673472</v>
      </c>
    </row>
    <row r="201" spans="1:4" x14ac:dyDescent="0.25">
      <c r="A201" s="2">
        <f ca="1">IFERROR(__xludf.DUMMYFUNCTION("""COMPUTED_VALUE"""),44669.6458333333)</f>
        <v>44669.645833333299</v>
      </c>
      <c r="B201" s="1">
        <f ca="1">IFERROR(__xludf.DUMMYFUNCTION("""COMPUTED_VALUE"""),1621.4)</f>
        <v>1621.4</v>
      </c>
      <c r="C201" s="3">
        <f t="shared" ca="1" si="6"/>
        <v>-7.2717394412513153E-2</v>
      </c>
      <c r="D201">
        <f t="shared" ca="1" si="5"/>
        <v>1790.1163265306127</v>
      </c>
    </row>
    <row r="202" spans="1:4" x14ac:dyDescent="0.25">
      <c r="A202" s="2">
        <f ca="1">IFERROR(__xludf.DUMMYFUNCTION("""COMPUTED_VALUE"""),44670.6458333333)</f>
        <v>44670.645833333299</v>
      </c>
      <c r="B202" s="1">
        <f ca="1">IFERROR(__xludf.DUMMYFUNCTION("""COMPUTED_VALUE"""),1562)</f>
        <v>1562</v>
      </c>
      <c r="C202" s="3">
        <f t="shared" ca="1" si="6"/>
        <v>-3.6635006784260571E-2</v>
      </c>
      <c r="D202">
        <f t="shared" ca="1" si="5"/>
        <v>1786.7346938775515</v>
      </c>
    </row>
    <row r="203" spans="1:4" x14ac:dyDescent="0.25">
      <c r="A203" s="2">
        <f ca="1">IFERROR(__xludf.DUMMYFUNCTION("""COMPUTED_VALUE"""),44671.6458333333)</f>
        <v>44671.645833333299</v>
      </c>
      <c r="B203" s="1">
        <f ca="1">IFERROR(__xludf.DUMMYFUNCTION("""COMPUTED_VALUE"""),1587.7)</f>
        <v>1587.7</v>
      </c>
      <c r="C203" s="3">
        <f t="shared" ca="1" si="6"/>
        <v>1.6453265044814369E-2</v>
      </c>
      <c r="D203">
        <f t="shared" ca="1" si="5"/>
        <v>1783.1316326530618</v>
      </c>
    </row>
    <row r="204" spans="1:4" x14ac:dyDescent="0.25">
      <c r="A204" s="2">
        <f ca="1">IFERROR(__xludf.DUMMYFUNCTION("""COMPUTED_VALUE"""),44672.6458333333)</f>
        <v>44672.645833333299</v>
      </c>
      <c r="B204" s="1">
        <f ca="1">IFERROR(__xludf.DUMMYFUNCTION("""COMPUTED_VALUE"""),1618.8)</f>
        <v>1618.8</v>
      </c>
      <c r="C204" s="3">
        <f t="shared" ca="1" si="6"/>
        <v>1.9588083391068784E-2</v>
      </c>
      <c r="D204">
        <f t="shared" ca="1" si="5"/>
        <v>1780.0010204081634</v>
      </c>
    </row>
    <row r="205" spans="1:4" x14ac:dyDescent="0.25">
      <c r="A205" s="2">
        <f ca="1">IFERROR(__xludf.DUMMYFUNCTION("""COMPUTED_VALUE"""),44673.6458333333)</f>
        <v>44673.645833333299</v>
      </c>
      <c r="B205" s="1">
        <f ca="1">IFERROR(__xludf.DUMMYFUNCTION("""COMPUTED_VALUE"""),1585.45)</f>
        <v>1585.45</v>
      </c>
      <c r="C205" s="3">
        <f t="shared" ca="1" si="6"/>
        <v>-2.0601680256980424E-2</v>
      </c>
      <c r="D205">
        <f t="shared" ca="1" si="5"/>
        <v>1778.037755102041</v>
      </c>
    </row>
    <row r="206" spans="1:4" x14ac:dyDescent="0.25">
      <c r="A206" s="2">
        <f ca="1">IFERROR(__xludf.DUMMYFUNCTION("""COMPUTED_VALUE"""),44676.6458333333)</f>
        <v>44676.645833333299</v>
      </c>
      <c r="B206" s="1">
        <f ca="1">IFERROR(__xludf.DUMMYFUNCTION("""COMPUTED_VALUE"""),1561.1)</f>
        <v>1561.1</v>
      </c>
      <c r="C206" s="3">
        <f t="shared" ca="1" si="6"/>
        <v>-1.5358415591787905E-2</v>
      </c>
      <c r="D206">
        <f t="shared" ca="1" si="5"/>
        <v>1775.3469387755106</v>
      </c>
    </row>
    <row r="207" spans="1:4" x14ac:dyDescent="0.25">
      <c r="A207" s="2">
        <f ca="1">IFERROR(__xludf.DUMMYFUNCTION("""COMPUTED_VALUE"""),44677.6458333333)</f>
        <v>44677.645833333299</v>
      </c>
      <c r="B207" s="1">
        <f ca="1">IFERROR(__xludf.DUMMYFUNCTION("""COMPUTED_VALUE"""),1581)</f>
        <v>1581</v>
      </c>
      <c r="C207" s="3">
        <f t="shared" ca="1" si="6"/>
        <v>1.274742168983415E-2</v>
      </c>
      <c r="D207">
        <f t="shared" ca="1" si="5"/>
        <v>1771.7510204081636</v>
      </c>
    </row>
    <row r="208" spans="1:4" x14ac:dyDescent="0.25">
      <c r="A208" s="2">
        <f ca="1">IFERROR(__xludf.DUMMYFUNCTION("""COMPUTED_VALUE"""),44678.6458333333)</f>
        <v>44678.645833333299</v>
      </c>
      <c r="B208" s="1">
        <f ca="1">IFERROR(__xludf.DUMMYFUNCTION("""COMPUTED_VALUE"""),1552.8)</f>
        <v>1552.8</v>
      </c>
      <c r="C208" s="3">
        <f t="shared" ca="1" si="6"/>
        <v>-1.7836812144212552E-2</v>
      </c>
      <c r="D208">
        <f t="shared" ca="1" si="5"/>
        <v>1767.9020408163265</v>
      </c>
    </row>
    <row r="209" spans="1:4" x14ac:dyDescent="0.25">
      <c r="A209" s="2">
        <f ca="1">IFERROR(__xludf.DUMMYFUNCTION("""COMPUTED_VALUE"""),44679.6458333333)</f>
        <v>44679.645833333299</v>
      </c>
      <c r="B209" s="1">
        <f ca="1">IFERROR(__xludf.DUMMYFUNCTION("""COMPUTED_VALUE"""),1582.6)</f>
        <v>1582.6</v>
      </c>
      <c r="C209" s="3">
        <f t="shared" ca="1" si="6"/>
        <v>1.9191138588356488E-2</v>
      </c>
      <c r="D209">
        <f t="shared" ca="1" si="5"/>
        <v>1764.4622448979594</v>
      </c>
    </row>
    <row r="210" spans="1:4" x14ac:dyDescent="0.25">
      <c r="A210" s="2">
        <f ca="1">IFERROR(__xludf.DUMMYFUNCTION("""COMPUTED_VALUE"""),44680.6458333333)</f>
        <v>44680.645833333299</v>
      </c>
      <c r="B210" s="1">
        <f ca="1">IFERROR(__xludf.DUMMYFUNCTION("""COMPUTED_VALUE"""),1567.55)</f>
        <v>1567.55</v>
      </c>
      <c r="C210" s="3">
        <f t="shared" ca="1" si="6"/>
        <v>-9.5096676355364302E-3</v>
      </c>
      <c r="D210">
        <f t="shared" ca="1" si="5"/>
        <v>1762.4295918367347</v>
      </c>
    </row>
    <row r="211" spans="1:4" x14ac:dyDescent="0.25">
      <c r="A211" s="2">
        <f ca="1">IFERROR(__xludf.DUMMYFUNCTION("""COMPUTED_VALUE"""),44683.6458333333)</f>
        <v>44683.645833333299</v>
      </c>
      <c r="B211" s="1">
        <f ca="1">IFERROR(__xludf.DUMMYFUNCTION("""COMPUTED_VALUE"""),1541)</f>
        <v>1541</v>
      </c>
      <c r="C211" s="3">
        <f t="shared" ca="1" si="6"/>
        <v>-1.6937258779624226E-2</v>
      </c>
      <c r="D211">
        <f t="shared" ca="1" si="5"/>
        <v>1758.9459183673471</v>
      </c>
    </row>
    <row r="212" spans="1:4" x14ac:dyDescent="0.25">
      <c r="A212" s="2">
        <f ca="1">IFERROR(__xludf.DUMMYFUNCTION("""COMPUTED_VALUE"""),44685.6458333333)</f>
        <v>44685.645833333299</v>
      </c>
      <c r="B212" s="1">
        <f ca="1">IFERROR(__xludf.DUMMYFUNCTION("""COMPUTED_VALUE"""),1535.55)</f>
        <v>1535.55</v>
      </c>
      <c r="C212" s="3">
        <f t="shared" ca="1" si="6"/>
        <v>-3.5366645035691405E-3</v>
      </c>
      <c r="D212">
        <f t="shared" ca="1" si="5"/>
        <v>1755.0214285714287</v>
      </c>
    </row>
    <row r="213" spans="1:4" x14ac:dyDescent="0.25">
      <c r="A213" s="2">
        <f ca="1">IFERROR(__xludf.DUMMYFUNCTION("""COMPUTED_VALUE"""),44686.6458333333)</f>
        <v>44686.645833333299</v>
      </c>
      <c r="B213" s="1">
        <f ca="1">IFERROR(__xludf.DUMMYFUNCTION("""COMPUTED_VALUE"""),1585.15)</f>
        <v>1585.15</v>
      </c>
      <c r="C213" s="3">
        <f t="shared" ca="1" si="6"/>
        <v>3.2301129888313726E-2</v>
      </c>
      <c r="D213">
        <f t="shared" ca="1" si="5"/>
        <v>1751.1591836734697</v>
      </c>
    </row>
    <row r="214" spans="1:4" x14ac:dyDescent="0.25">
      <c r="A214" s="2">
        <f ca="1">IFERROR(__xludf.DUMMYFUNCTION("""COMPUTED_VALUE"""),44687.6458333333)</f>
        <v>44687.645833333299</v>
      </c>
      <c r="B214" s="1">
        <f ca="1">IFERROR(__xludf.DUMMYFUNCTION("""COMPUTED_VALUE"""),1542.85)</f>
        <v>1542.85</v>
      </c>
      <c r="C214" s="3">
        <f t="shared" ca="1" si="6"/>
        <v>-2.6685171750307653E-2</v>
      </c>
      <c r="D214">
        <f t="shared" ca="1" si="5"/>
        <v>1748.6734693877554</v>
      </c>
    </row>
    <row r="215" spans="1:4" x14ac:dyDescent="0.25">
      <c r="A215" s="2">
        <f ca="1">IFERROR(__xludf.DUMMYFUNCTION("""COMPUTED_VALUE"""),44690.6458333333)</f>
        <v>44690.645833333299</v>
      </c>
      <c r="B215" s="1">
        <f ca="1">IFERROR(__xludf.DUMMYFUNCTION("""COMPUTED_VALUE"""),1570.35)</f>
        <v>1570.35</v>
      </c>
      <c r="C215" s="3">
        <f t="shared" ca="1" si="6"/>
        <v>1.7824156593317562E-2</v>
      </c>
      <c r="D215">
        <f t="shared" ca="1" si="5"/>
        <v>1744.8397959183678</v>
      </c>
    </row>
    <row r="216" spans="1:4" x14ac:dyDescent="0.25">
      <c r="A216" s="2">
        <f ca="1">IFERROR(__xludf.DUMMYFUNCTION("""COMPUTED_VALUE"""),44691.6458333333)</f>
        <v>44691.645833333299</v>
      </c>
      <c r="B216" s="1">
        <f ca="1">IFERROR(__xludf.DUMMYFUNCTION("""COMPUTED_VALUE"""),1553)</f>
        <v>1553</v>
      </c>
      <c r="C216" s="3">
        <f t="shared" ca="1" si="6"/>
        <v>-1.1048492374311401E-2</v>
      </c>
      <c r="D216">
        <f t="shared" ca="1" si="5"/>
        <v>1741.4928571428577</v>
      </c>
    </row>
    <row r="217" spans="1:4" x14ac:dyDescent="0.25">
      <c r="A217" s="2">
        <f ca="1">IFERROR(__xludf.DUMMYFUNCTION("""COMPUTED_VALUE"""),44692.6458333333)</f>
        <v>44692.645833333299</v>
      </c>
      <c r="B217" s="1">
        <f ca="1">IFERROR(__xludf.DUMMYFUNCTION("""COMPUTED_VALUE"""),1526.75)</f>
        <v>1526.75</v>
      </c>
      <c r="C217" s="3">
        <f t="shared" ca="1" si="6"/>
        <v>-1.6902768834513845E-2</v>
      </c>
      <c r="D217">
        <f t="shared" ca="1" si="5"/>
        <v>1737.6183673469391</v>
      </c>
    </row>
    <row r="218" spans="1:4" x14ac:dyDescent="0.25">
      <c r="A218" s="2">
        <f ca="1">IFERROR(__xludf.DUMMYFUNCTION("""COMPUTED_VALUE"""),44693.6458333333)</f>
        <v>44693.645833333299</v>
      </c>
      <c r="B218" s="1">
        <f ca="1">IFERROR(__xludf.DUMMYFUNCTION("""COMPUTED_VALUE"""),1508.8)</f>
        <v>1508.8</v>
      </c>
      <c r="C218" s="3">
        <f t="shared" ca="1" si="6"/>
        <v>-1.1757000163746549E-2</v>
      </c>
      <c r="D218">
        <f t="shared" ca="1" si="5"/>
        <v>1734.5285714285719</v>
      </c>
    </row>
    <row r="219" spans="1:4" x14ac:dyDescent="0.25">
      <c r="A219" s="2">
        <f ca="1">IFERROR(__xludf.DUMMYFUNCTION("""COMPUTED_VALUE"""),44694.6458333333)</f>
        <v>44694.645833333299</v>
      </c>
      <c r="B219" s="1">
        <f ca="1">IFERROR(__xludf.DUMMYFUNCTION("""COMPUTED_VALUE"""),1504.4)</f>
        <v>1504.4</v>
      </c>
      <c r="C219" s="3">
        <f t="shared" ca="1" si="6"/>
        <v>-2.9162248144219667E-3</v>
      </c>
      <c r="D219">
        <f t="shared" ca="1" si="5"/>
        <v>1730.7367346938779</v>
      </c>
    </row>
    <row r="220" spans="1:4" x14ac:dyDescent="0.25">
      <c r="A220" s="2">
        <f ca="1">IFERROR(__xludf.DUMMYFUNCTION("""COMPUTED_VALUE"""),44697.6458333333)</f>
        <v>44697.645833333299</v>
      </c>
      <c r="B220" s="1">
        <f ca="1">IFERROR(__xludf.DUMMYFUNCTION("""COMPUTED_VALUE"""),1489.1)</f>
        <v>1489.1</v>
      </c>
      <c r="C220" s="3">
        <f t="shared" ca="1" si="6"/>
        <v>-1.0170167508641439E-2</v>
      </c>
      <c r="D220">
        <f t="shared" ca="1" si="5"/>
        <v>1726.4265306122452</v>
      </c>
    </row>
    <row r="221" spans="1:4" x14ac:dyDescent="0.25">
      <c r="A221" s="2">
        <f ca="1">IFERROR(__xludf.DUMMYFUNCTION("""COMPUTED_VALUE"""),44698.6458333333)</f>
        <v>44698.645833333299</v>
      </c>
      <c r="B221" s="1">
        <f ca="1">IFERROR(__xludf.DUMMYFUNCTION("""COMPUTED_VALUE"""),1518.45)</f>
        <v>1518.45</v>
      </c>
      <c r="C221" s="3">
        <f t="shared" ca="1" si="6"/>
        <v>1.9709891881002039E-2</v>
      </c>
      <c r="D221">
        <f t="shared" ca="1" si="5"/>
        <v>1722.0653061224493</v>
      </c>
    </row>
    <row r="222" spans="1:4" x14ac:dyDescent="0.25">
      <c r="A222" s="2">
        <f ca="1">IFERROR(__xludf.DUMMYFUNCTION("""COMPUTED_VALUE"""),44699.6458333333)</f>
        <v>44699.645833333299</v>
      </c>
      <c r="B222" s="1">
        <f ca="1">IFERROR(__xludf.DUMMYFUNCTION("""COMPUTED_VALUE"""),1509.2)</f>
        <v>1509.2</v>
      </c>
      <c r="C222" s="3">
        <f t="shared" ca="1" si="6"/>
        <v>-6.091738285751918E-3</v>
      </c>
      <c r="D222">
        <f t="shared" ca="1" si="5"/>
        <v>1717.9346938775514</v>
      </c>
    </row>
    <row r="223" spans="1:4" x14ac:dyDescent="0.25">
      <c r="A223" s="2">
        <f ca="1">IFERROR(__xludf.DUMMYFUNCTION("""COMPUTED_VALUE"""),44700.6458333333)</f>
        <v>44700.645833333299</v>
      </c>
      <c r="B223" s="1">
        <f ca="1">IFERROR(__xludf.DUMMYFUNCTION("""COMPUTED_VALUE"""),1427.15)</f>
        <v>1427.15</v>
      </c>
      <c r="C223" s="3">
        <f t="shared" ca="1" si="6"/>
        <v>-5.4366551815531378E-2</v>
      </c>
      <c r="D223">
        <f t="shared" ca="1" si="5"/>
        <v>1713.5653061224493</v>
      </c>
    </row>
    <row r="224" spans="1:4" x14ac:dyDescent="0.25">
      <c r="A224" s="2">
        <f ca="1">IFERROR(__xludf.DUMMYFUNCTION("""COMPUTED_VALUE"""),44701.6458333333)</f>
        <v>44701.645833333299</v>
      </c>
      <c r="B224" s="1">
        <f ca="1">IFERROR(__xludf.DUMMYFUNCTION("""COMPUTED_VALUE"""),1455.15)</f>
        <v>1455.15</v>
      </c>
      <c r="C224" s="3">
        <f t="shared" ca="1" si="6"/>
        <v>1.9619521423816698E-2</v>
      </c>
      <c r="D224">
        <f t="shared" ca="1" si="5"/>
        <v>1707.1836734693877</v>
      </c>
    </row>
    <row r="225" spans="1:4" x14ac:dyDescent="0.25">
      <c r="A225" s="2">
        <f ca="1">IFERROR(__xludf.DUMMYFUNCTION("""COMPUTED_VALUE"""),44704.6458333333)</f>
        <v>44704.645833333299</v>
      </c>
      <c r="B225" s="1">
        <f ca="1">IFERROR(__xludf.DUMMYFUNCTION("""COMPUTED_VALUE"""),1468.4)</f>
        <v>1468.4</v>
      </c>
      <c r="C225" s="3">
        <f t="shared" ca="1" si="6"/>
        <v>9.1055904889530276E-3</v>
      </c>
      <c r="D225">
        <f t="shared" ca="1" si="5"/>
        <v>1700.5908163265306</v>
      </c>
    </row>
    <row r="226" spans="1:4" x14ac:dyDescent="0.25">
      <c r="A226" s="2">
        <f ca="1">IFERROR(__xludf.DUMMYFUNCTION("""COMPUTED_VALUE"""),44705.6458333333)</f>
        <v>44705.645833333299</v>
      </c>
      <c r="B226" s="1">
        <f ca="1">IFERROR(__xludf.DUMMYFUNCTION("""COMPUTED_VALUE"""),1441)</f>
        <v>1441</v>
      </c>
      <c r="C226" s="3">
        <f t="shared" ca="1" si="6"/>
        <v>-1.8659765731408397E-2</v>
      </c>
      <c r="D226">
        <f t="shared" ca="1" si="5"/>
        <v>1693.5510204081634</v>
      </c>
    </row>
    <row r="227" spans="1:4" x14ac:dyDescent="0.25">
      <c r="A227" s="2">
        <f ca="1">IFERROR(__xludf.DUMMYFUNCTION("""COMPUTED_VALUE"""),44706.6458333333)</f>
        <v>44706.645833333299</v>
      </c>
      <c r="B227" s="1">
        <f ca="1">IFERROR(__xludf.DUMMYFUNCTION("""COMPUTED_VALUE"""),1410.45)</f>
        <v>1410.45</v>
      </c>
      <c r="C227" s="3">
        <f t="shared" ca="1" si="6"/>
        <v>-2.1200555170020789E-2</v>
      </c>
      <c r="D227">
        <f t="shared" ca="1" si="5"/>
        <v>1685.6959183673468</v>
      </c>
    </row>
    <row r="228" spans="1:4" x14ac:dyDescent="0.25">
      <c r="A228" s="2">
        <f ca="1">IFERROR(__xludf.DUMMYFUNCTION("""COMPUTED_VALUE"""),44707.6458333333)</f>
        <v>44707.645833333299</v>
      </c>
      <c r="B228" s="1">
        <f ca="1">IFERROR(__xludf.DUMMYFUNCTION("""COMPUTED_VALUE"""),1423.95)</f>
        <v>1423.95</v>
      </c>
      <c r="C228" s="3">
        <f t="shared" ca="1" si="6"/>
        <v>9.5714133787089227E-3</v>
      </c>
      <c r="D228">
        <f t="shared" ca="1" si="5"/>
        <v>1677.2969387755099</v>
      </c>
    </row>
    <row r="229" spans="1:4" x14ac:dyDescent="0.25">
      <c r="A229" s="2">
        <f ca="1">IFERROR(__xludf.DUMMYFUNCTION("""COMPUTED_VALUE"""),44708.6458333333)</f>
        <v>44708.645833333299</v>
      </c>
      <c r="B229" s="1">
        <f ca="1">IFERROR(__xludf.DUMMYFUNCTION("""COMPUTED_VALUE"""),1461.35)</f>
        <v>1461.35</v>
      </c>
      <c r="C229" s="3">
        <f t="shared" ca="1" si="6"/>
        <v>2.6264967168790943E-2</v>
      </c>
      <c r="D229">
        <f t="shared" ca="1" si="5"/>
        <v>1667.771428571428</v>
      </c>
    </row>
    <row r="230" spans="1:4" x14ac:dyDescent="0.25">
      <c r="A230" s="2">
        <f ca="1">IFERROR(__xludf.DUMMYFUNCTION("""COMPUTED_VALUE"""),44711.6458333333)</f>
        <v>44711.645833333299</v>
      </c>
      <c r="B230" s="1">
        <f ca="1">IFERROR(__xludf.DUMMYFUNCTION("""COMPUTED_VALUE"""),1526.8)</f>
        <v>1526.8</v>
      </c>
      <c r="C230" s="3">
        <f t="shared" ca="1" si="6"/>
        <v>4.478735415882578E-2</v>
      </c>
      <c r="D230">
        <f t="shared" ca="1" si="5"/>
        <v>1660.0581632653057</v>
      </c>
    </row>
    <row r="231" spans="1:4" x14ac:dyDescent="0.25">
      <c r="A231" s="2">
        <f ca="1">IFERROR(__xludf.DUMMYFUNCTION("""COMPUTED_VALUE"""),44712.6458333333)</f>
        <v>44712.645833333299</v>
      </c>
      <c r="B231" s="1">
        <f ca="1">IFERROR(__xludf.DUMMYFUNCTION("""COMPUTED_VALUE"""),1503.6)</f>
        <v>1503.6</v>
      </c>
      <c r="C231" s="3">
        <f t="shared" ca="1" si="6"/>
        <v>-1.5195179460309174E-2</v>
      </c>
      <c r="D231">
        <f t="shared" ca="1" si="5"/>
        <v>1652.6581632653058</v>
      </c>
    </row>
    <row r="232" spans="1:4" x14ac:dyDescent="0.25">
      <c r="A232" s="2">
        <f ca="1">IFERROR(__xludf.DUMMYFUNCTION("""COMPUTED_VALUE"""),44713.6458333333)</f>
        <v>44713.645833333299</v>
      </c>
      <c r="B232" s="1">
        <f ca="1">IFERROR(__xludf.DUMMYFUNCTION("""COMPUTED_VALUE"""),1478.55)</f>
        <v>1478.55</v>
      </c>
      <c r="C232" s="3">
        <f t="shared" ca="1" si="6"/>
        <v>-1.666001596169191E-2</v>
      </c>
      <c r="D232">
        <f t="shared" ca="1" si="5"/>
        <v>1645.4948979591834</v>
      </c>
    </row>
    <row r="233" spans="1:4" x14ac:dyDescent="0.25">
      <c r="A233" s="2">
        <f ca="1">IFERROR(__xludf.DUMMYFUNCTION("""COMPUTED_VALUE"""),44714.6458333333)</f>
        <v>44714.645833333299</v>
      </c>
      <c r="B233" s="1">
        <f ca="1">IFERROR(__xludf.DUMMYFUNCTION("""COMPUTED_VALUE"""),1508)</f>
        <v>1508</v>
      </c>
      <c r="C233" s="3">
        <f t="shared" ca="1" si="6"/>
        <v>1.9918163065165227E-2</v>
      </c>
      <c r="D233">
        <f t="shared" ca="1" si="5"/>
        <v>1637.8520408163265</v>
      </c>
    </row>
    <row r="234" spans="1:4" x14ac:dyDescent="0.25">
      <c r="A234" s="2">
        <f ca="1">IFERROR(__xludf.DUMMYFUNCTION("""COMPUTED_VALUE"""),44715.6458333333)</f>
        <v>44715.645833333299</v>
      </c>
      <c r="B234" s="1">
        <f ca="1">IFERROR(__xludf.DUMMYFUNCTION("""COMPUTED_VALUE"""),1521.7)</f>
        <v>1521.7</v>
      </c>
      <c r="C234" s="3">
        <f t="shared" ca="1" si="6"/>
        <v>9.0848806366048054E-3</v>
      </c>
      <c r="D234">
        <f t="shared" ca="1" si="5"/>
        <v>1630.1091836734695</v>
      </c>
    </row>
    <row r="235" spans="1:4" x14ac:dyDescent="0.25">
      <c r="A235" s="2">
        <f ca="1">IFERROR(__xludf.DUMMYFUNCTION("""COMPUTED_VALUE"""),44718.6458333333)</f>
        <v>44718.645833333299</v>
      </c>
      <c r="B235" s="1">
        <f ca="1">IFERROR(__xludf.DUMMYFUNCTION("""COMPUTED_VALUE"""),1530.05)</f>
        <v>1530.05</v>
      </c>
      <c r="C235" s="3">
        <f t="shared" ca="1" si="6"/>
        <v>5.4872839587303077E-3</v>
      </c>
      <c r="D235">
        <f t="shared" ca="1" si="5"/>
        <v>1622.9520408163266</v>
      </c>
    </row>
    <row r="236" spans="1:4" x14ac:dyDescent="0.25">
      <c r="A236" s="2">
        <f ca="1">IFERROR(__xludf.DUMMYFUNCTION("""COMPUTED_VALUE"""),44719.6458333333)</f>
        <v>44719.645833333299</v>
      </c>
      <c r="B236" s="1">
        <f ca="1">IFERROR(__xludf.DUMMYFUNCTION("""COMPUTED_VALUE"""),1506.7)</f>
        <v>1506.7</v>
      </c>
      <c r="C236" s="3">
        <f t="shared" ca="1" si="6"/>
        <v>-1.5260939184993895E-2</v>
      </c>
      <c r="D236">
        <f t="shared" ca="1" si="5"/>
        <v>1615.6734693877554</v>
      </c>
    </row>
    <row r="237" spans="1:4" x14ac:dyDescent="0.25">
      <c r="A237" s="2">
        <f ca="1">IFERROR(__xludf.DUMMYFUNCTION("""COMPUTED_VALUE"""),44720.6458333333)</f>
        <v>44720.645833333299</v>
      </c>
      <c r="B237" s="1">
        <f ca="1">IFERROR(__xludf.DUMMYFUNCTION("""COMPUTED_VALUE"""),1500)</f>
        <v>1500</v>
      </c>
      <c r="C237" s="3">
        <f t="shared" ca="1" si="6"/>
        <v>-4.4468042742417504E-3</v>
      </c>
      <c r="D237">
        <f t="shared" ca="1" si="5"/>
        <v>1608.125510204082</v>
      </c>
    </row>
    <row r="238" spans="1:4" x14ac:dyDescent="0.25">
      <c r="A238" s="2">
        <f ca="1">IFERROR(__xludf.DUMMYFUNCTION("""COMPUTED_VALUE"""),44721.6458333333)</f>
        <v>44721.645833333299</v>
      </c>
      <c r="B238" s="1">
        <f ca="1">IFERROR(__xludf.DUMMYFUNCTION("""COMPUTED_VALUE"""),1515)</f>
        <v>1515</v>
      </c>
      <c r="C238" s="3">
        <f t="shared" ca="1" si="6"/>
        <v>0.01</v>
      </c>
      <c r="D238">
        <f t="shared" ca="1" si="5"/>
        <v>1600.4948979591841</v>
      </c>
    </row>
    <row r="239" spans="1:4" x14ac:dyDescent="0.25">
      <c r="A239" s="2">
        <f ca="1">IFERROR(__xludf.DUMMYFUNCTION("""COMPUTED_VALUE"""),44722.6458333333)</f>
        <v>44722.645833333299</v>
      </c>
      <c r="B239" s="1">
        <f ca="1">IFERROR(__xludf.DUMMYFUNCTION("""COMPUTED_VALUE"""),1476.8)</f>
        <v>1476.8</v>
      </c>
      <c r="C239" s="3">
        <f t="shared" ca="1" si="6"/>
        <v>-2.5214521452145245E-2</v>
      </c>
      <c r="D239">
        <f t="shared" ca="1" si="5"/>
        <v>1592.9234693877552</v>
      </c>
    </row>
    <row r="240" spans="1:4" x14ac:dyDescent="0.25">
      <c r="A240" s="2">
        <f ca="1">IFERROR(__xludf.DUMMYFUNCTION("""COMPUTED_VALUE"""),44725.6458333333)</f>
        <v>44725.645833333299</v>
      </c>
      <c r="B240" s="1">
        <f ca="1">IFERROR(__xludf.DUMMYFUNCTION("""COMPUTED_VALUE"""),1424.5)</f>
        <v>1424.5</v>
      </c>
      <c r="C240" s="3">
        <f t="shared" ca="1" si="6"/>
        <v>-3.5414409534127812E-2</v>
      </c>
      <c r="D240">
        <f t="shared" ca="1" si="5"/>
        <v>1584.2061224489796</v>
      </c>
    </row>
    <row r="241" spans="1:4" x14ac:dyDescent="0.25">
      <c r="A241" s="2">
        <f ca="1">IFERROR(__xludf.DUMMYFUNCTION("""COMPUTED_VALUE"""),44726.6458333333)</f>
        <v>44726.645833333299</v>
      </c>
      <c r="B241" s="1">
        <f ca="1">IFERROR(__xludf.DUMMYFUNCTION("""COMPUTED_VALUE"""),1440.55)</f>
        <v>1440.55</v>
      </c>
      <c r="C241" s="3">
        <f t="shared" ca="1" si="6"/>
        <v>1.1267111267111236E-2</v>
      </c>
      <c r="D241">
        <f t="shared" ca="1" si="5"/>
        <v>1574.3622448979593</v>
      </c>
    </row>
    <row r="242" spans="1:4" x14ac:dyDescent="0.25">
      <c r="A242" s="2">
        <f ca="1">IFERROR(__xludf.DUMMYFUNCTION("""COMPUTED_VALUE"""),44727.6458333333)</f>
        <v>44727.645833333299</v>
      </c>
      <c r="B242" s="1">
        <f ca="1">IFERROR(__xludf.DUMMYFUNCTION("""COMPUTED_VALUE"""),1422.2)</f>
        <v>1422.2</v>
      </c>
      <c r="C242" s="3">
        <f t="shared" ca="1" si="6"/>
        <v>-1.2738190274547853E-2</v>
      </c>
      <c r="D242">
        <f t="shared" ca="1" si="5"/>
        <v>1564.9132653061224</v>
      </c>
    </row>
    <row r="243" spans="1:4" x14ac:dyDescent="0.25">
      <c r="A243" s="2">
        <f ca="1">IFERROR(__xludf.DUMMYFUNCTION("""COMPUTED_VALUE"""),44728.6458333333)</f>
        <v>44728.645833333299</v>
      </c>
      <c r="B243" s="1">
        <f ca="1">IFERROR(__xludf.DUMMYFUNCTION("""COMPUTED_VALUE"""),1397.2)</f>
        <v>1397.2</v>
      </c>
      <c r="C243" s="3">
        <f t="shared" ca="1" si="6"/>
        <v>-1.7578399662494727E-2</v>
      </c>
      <c r="D243">
        <f t="shared" ca="1" si="5"/>
        <v>1555.5102040816323</v>
      </c>
    </row>
    <row r="244" spans="1:4" x14ac:dyDescent="0.25">
      <c r="A244" s="2">
        <f ca="1">IFERROR(__xludf.DUMMYFUNCTION("""COMPUTED_VALUE"""),44729.6458333333)</f>
        <v>44729.645833333299</v>
      </c>
      <c r="B244" s="1">
        <f ca="1">IFERROR(__xludf.DUMMYFUNCTION("""COMPUTED_VALUE"""),1387.3)</f>
        <v>1387.3</v>
      </c>
      <c r="C244" s="3">
        <f t="shared" ca="1" si="6"/>
        <v>-7.085599770970577E-3</v>
      </c>
      <c r="D244">
        <f t="shared" ref="D244:D307" ca="1" si="7">AVERAGE(B195:B243)</f>
        <v>1546.042857142857</v>
      </c>
    </row>
    <row r="245" spans="1:4" x14ac:dyDescent="0.25">
      <c r="A245" s="2">
        <f ca="1">IFERROR(__xludf.DUMMYFUNCTION("""COMPUTED_VALUE"""),44732.6458333333)</f>
        <v>44732.645833333299</v>
      </c>
      <c r="B245" s="1">
        <f ca="1">IFERROR(__xludf.DUMMYFUNCTION("""COMPUTED_VALUE"""),1414.15)</f>
        <v>1414.15</v>
      </c>
      <c r="C245" s="3">
        <f t="shared" ca="1" si="6"/>
        <v>1.9354141137461353E-2</v>
      </c>
      <c r="D245">
        <f t="shared" ca="1" si="7"/>
        <v>1537.0316326530613</v>
      </c>
    </row>
    <row r="246" spans="1:4" x14ac:dyDescent="0.25">
      <c r="A246" s="2">
        <f ca="1">IFERROR(__xludf.DUMMYFUNCTION("""COMPUTED_VALUE"""),44733.6458333333)</f>
        <v>44733.645833333299</v>
      </c>
      <c r="B246" s="1">
        <f ca="1">IFERROR(__xludf.DUMMYFUNCTION("""COMPUTED_VALUE"""),1449.9)</f>
        <v>1449.9</v>
      </c>
      <c r="C246" s="3">
        <f t="shared" ca="1" si="6"/>
        <v>2.5280203655906372E-2</v>
      </c>
      <c r="D246">
        <f t="shared" ca="1" si="7"/>
        <v>1528.9326530612241</v>
      </c>
    </row>
    <row r="247" spans="1:4" x14ac:dyDescent="0.25">
      <c r="A247" s="2">
        <f ca="1">IFERROR(__xludf.DUMMYFUNCTION("""COMPUTED_VALUE"""),44734.6458333333)</f>
        <v>44734.645833333299</v>
      </c>
      <c r="B247" s="1">
        <f ca="1">IFERROR(__xludf.DUMMYFUNCTION("""COMPUTED_VALUE"""),1437.25)</f>
        <v>1437.25</v>
      </c>
      <c r="C247" s="3">
        <f t="shared" ca="1" si="6"/>
        <v>-8.7247396372164224E-3</v>
      </c>
      <c r="D247">
        <f t="shared" ca="1" si="7"/>
        <v>1521.489795918367</v>
      </c>
    </row>
    <row r="248" spans="1:4" x14ac:dyDescent="0.25">
      <c r="A248" s="2">
        <f ca="1">IFERROR(__xludf.DUMMYFUNCTION("""COMPUTED_VALUE"""),44735.6458333333)</f>
        <v>44735.645833333299</v>
      </c>
      <c r="B248" s="1">
        <f ca="1">IFERROR(__xludf.DUMMYFUNCTION("""COMPUTED_VALUE"""),1452.45)</f>
        <v>1452.45</v>
      </c>
      <c r="C248" s="3">
        <f t="shared" ca="1" si="6"/>
        <v>1.0575752304748684E-2</v>
      </c>
      <c r="D248">
        <f t="shared" ca="1" si="7"/>
        <v>1514.7693877551014</v>
      </c>
    </row>
    <row r="249" spans="1:4" x14ac:dyDescent="0.25">
      <c r="A249" s="2">
        <f ca="1">IFERROR(__xludf.DUMMYFUNCTION("""COMPUTED_VALUE"""),44736.6458333333)</f>
        <v>44736.645833333299</v>
      </c>
      <c r="B249" s="1">
        <f ca="1">IFERROR(__xludf.DUMMYFUNCTION("""COMPUTED_VALUE"""),1441.1)</f>
        <v>1441.1</v>
      </c>
      <c r="C249" s="3">
        <f t="shared" ca="1" si="6"/>
        <v>-7.8143825949259088E-3</v>
      </c>
      <c r="D249">
        <f t="shared" ca="1" si="7"/>
        <v>1508.8510204081629</v>
      </c>
    </row>
    <row r="250" spans="1:4" x14ac:dyDescent="0.25">
      <c r="A250" s="2">
        <f ca="1">IFERROR(__xludf.DUMMYFUNCTION("""COMPUTED_VALUE"""),44739.6458333333)</f>
        <v>44739.645833333299</v>
      </c>
      <c r="B250" s="1">
        <f ca="1">IFERROR(__xludf.DUMMYFUNCTION("""COMPUTED_VALUE"""),1474.6)</f>
        <v>1474.6</v>
      </c>
      <c r="C250" s="3">
        <f t="shared" ca="1" si="6"/>
        <v>2.3246131427381862E-2</v>
      </c>
      <c r="D250">
        <f t="shared" ca="1" si="7"/>
        <v>1502.5765306122446</v>
      </c>
    </row>
    <row r="251" spans="1:4" x14ac:dyDescent="0.25">
      <c r="A251" s="2">
        <f ca="1">IFERROR(__xludf.DUMMYFUNCTION("""COMPUTED_VALUE"""),44740.6458333333)</f>
        <v>44740.645833333299</v>
      </c>
      <c r="B251" s="1">
        <f ca="1">IFERROR(__xludf.DUMMYFUNCTION("""COMPUTED_VALUE"""),1480.15)</f>
        <v>1480.15</v>
      </c>
      <c r="C251" s="3">
        <f t="shared" ca="1" si="6"/>
        <v>3.763732537637449E-3</v>
      </c>
      <c r="D251">
        <f t="shared" ca="1" si="7"/>
        <v>1499.5806122448978</v>
      </c>
    </row>
    <row r="252" spans="1:4" x14ac:dyDescent="0.25">
      <c r="A252" s="2">
        <f ca="1">IFERROR(__xludf.DUMMYFUNCTION("""COMPUTED_VALUE"""),44741.6458333333)</f>
        <v>44741.645833333299</v>
      </c>
      <c r="B252" s="1">
        <f ca="1">IFERROR(__xludf.DUMMYFUNCTION("""COMPUTED_VALUE"""),1463.25)</f>
        <v>1463.25</v>
      </c>
      <c r="C252" s="3">
        <f t="shared" ca="1" si="6"/>
        <v>-1.1417761713339926E-2</v>
      </c>
      <c r="D252">
        <f t="shared" ca="1" si="7"/>
        <v>1497.9102040816324</v>
      </c>
    </row>
    <row r="253" spans="1:4" x14ac:dyDescent="0.25">
      <c r="A253" s="2">
        <f ca="1">IFERROR(__xludf.DUMMYFUNCTION("""COMPUTED_VALUE"""),44742.6458333333)</f>
        <v>44742.645833333299</v>
      </c>
      <c r="B253" s="1">
        <f ca="1">IFERROR(__xludf.DUMMYFUNCTION("""COMPUTED_VALUE"""),1461.9)</f>
        <v>1461.9</v>
      </c>
      <c r="C253" s="3">
        <f t="shared" ca="1" si="6"/>
        <v>-9.2260379292664213E-4</v>
      </c>
      <c r="D253">
        <f t="shared" ca="1" si="7"/>
        <v>1495.3704081632654</v>
      </c>
    </row>
    <row r="254" spans="1:4" x14ac:dyDescent="0.25">
      <c r="A254" s="2">
        <f ca="1">IFERROR(__xludf.DUMMYFUNCTION("""COMPUTED_VALUE"""),44743.6458333333)</f>
        <v>44743.645833333299</v>
      </c>
      <c r="B254" s="1">
        <f ca="1">IFERROR(__xludf.DUMMYFUNCTION("""COMPUTED_VALUE"""),1479.4)</f>
        <v>1479.4</v>
      </c>
      <c r="C254" s="3">
        <f t="shared" ca="1" si="6"/>
        <v>1.1970723031671113E-2</v>
      </c>
      <c r="D254">
        <f t="shared" ca="1" si="7"/>
        <v>1492.1683673469388</v>
      </c>
    </row>
    <row r="255" spans="1:4" x14ac:dyDescent="0.25">
      <c r="A255" s="2">
        <f ca="1">IFERROR(__xludf.DUMMYFUNCTION("""COMPUTED_VALUE"""),44746.6458333333)</f>
        <v>44746.645833333299</v>
      </c>
      <c r="B255" s="1">
        <f ca="1">IFERROR(__xludf.DUMMYFUNCTION("""COMPUTED_VALUE"""),1488)</f>
        <v>1488</v>
      </c>
      <c r="C255" s="3">
        <f t="shared" ca="1" si="6"/>
        <v>5.8131675003379128E-3</v>
      </c>
      <c r="D255">
        <f t="shared" ca="1" si="7"/>
        <v>1490.004081632653</v>
      </c>
    </row>
    <row r="256" spans="1:4" x14ac:dyDescent="0.25">
      <c r="A256" s="2">
        <f ca="1">IFERROR(__xludf.DUMMYFUNCTION("""COMPUTED_VALUE"""),44747.6458333333)</f>
        <v>44747.645833333299</v>
      </c>
      <c r="B256" s="1">
        <f ca="1">IFERROR(__xludf.DUMMYFUNCTION("""COMPUTED_VALUE"""),1475.95)</f>
        <v>1475.95</v>
      </c>
      <c r="C256" s="3">
        <f t="shared" ca="1" si="6"/>
        <v>-8.0981182795698617E-3</v>
      </c>
      <c r="D256">
        <f t="shared" ca="1" si="7"/>
        <v>1488.5122448979589</v>
      </c>
    </row>
    <row r="257" spans="1:4" x14ac:dyDescent="0.25">
      <c r="A257" s="2">
        <f ca="1">IFERROR(__xludf.DUMMYFUNCTION("""COMPUTED_VALUE"""),44748.6458333333)</f>
        <v>44748.645833333299</v>
      </c>
      <c r="B257" s="1">
        <f ca="1">IFERROR(__xludf.DUMMYFUNCTION("""COMPUTED_VALUE"""),1491.65)</f>
        <v>1491.65</v>
      </c>
      <c r="C257" s="3">
        <f t="shared" ca="1" si="6"/>
        <v>1.0637216707883089E-2</v>
      </c>
      <c r="D257">
        <f t="shared" ca="1" si="7"/>
        <v>1486.3683673469388</v>
      </c>
    </row>
    <row r="258" spans="1:4" x14ac:dyDescent="0.25">
      <c r="A258" s="2">
        <f ca="1">IFERROR(__xludf.DUMMYFUNCTION("""COMPUTED_VALUE"""),44749.6458333333)</f>
        <v>44749.645833333299</v>
      </c>
      <c r="B258" s="1">
        <f ca="1">IFERROR(__xludf.DUMMYFUNCTION("""COMPUTED_VALUE"""),1498.7)</f>
        <v>1498.7</v>
      </c>
      <c r="C258" s="3">
        <f t="shared" ca="1" si="6"/>
        <v>4.7263097911708204E-3</v>
      </c>
      <c r="D258">
        <f t="shared" ca="1" si="7"/>
        <v>1485.1204081632652</v>
      </c>
    </row>
    <row r="259" spans="1:4" x14ac:dyDescent="0.25">
      <c r="A259" s="2">
        <f ca="1">IFERROR(__xludf.DUMMYFUNCTION("""COMPUTED_VALUE"""),44750.6458333333)</f>
        <v>44750.645833333299</v>
      </c>
      <c r="B259" s="1">
        <f ca="1">IFERROR(__xludf.DUMMYFUNCTION("""COMPUTED_VALUE"""),1514.45)</f>
        <v>1514.45</v>
      </c>
      <c r="C259" s="3">
        <f t="shared" ca="1" si="6"/>
        <v>1.0509107893507705E-2</v>
      </c>
      <c r="D259">
        <f t="shared" ca="1" si="7"/>
        <v>1483.408163265306</v>
      </c>
    </row>
    <row r="260" spans="1:4" x14ac:dyDescent="0.25">
      <c r="A260" s="2">
        <f ca="1">IFERROR(__xludf.DUMMYFUNCTION("""COMPUTED_VALUE"""),44753.6458333333)</f>
        <v>44753.645833333299</v>
      </c>
      <c r="B260" s="1">
        <f ca="1">IFERROR(__xludf.DUMMYFUNCTION("""COMPUTED_VALUE"""),1473.15)</f>
        <v>1473.15</v>
      </c>
      <c r="C260" s="3">
        <f t="shared" ref="C260:C323" ca="1" si="8">(B260-B259)/B259</f>
        <v>-2.7270626299976859E-2</v>
      </c>
      <c r="D260">
        <f t="shared" ca="1" si="7"/>
        <v>1482.3244897959182</v>
      </c>
    </row>
    <row r="261" spans="1:4" x14ac:dyDescent="0.25">
      <c r="A261" s="2">
        <f ca="1">IFERROR(__xludf.DUMMYFUNCTION("""COMPUTED_VALUE"""),44754.6458333333)</f>
        <v>44754.645833333299</v>
      </c>
      <c r="B261" s="1">
        <f ca="1">IFERROR(__xludf.DUMMYFUNCTION("""COMPUTED_VALUE"""),1438.6)</f>
        <v>1438.6</v>
      </c>
      <c r="C261" s="3">
        <f t="shared" ca="1" si="8"/>
        <v>-2.3453144622068479E-2</v>
      </c>
      <c r="D261">
        <f t="shared" ca="1" si="7"/>
        <v>1480.9397959183671</v>
      </c>
    </row>
    <row r="262" spans="1:4" x14ac:dyDescent="0.25">
      <c r="A262" s="2">
        <f ca="1">IFERROR(__xludf.DUMMYFUNCTION("""COMPUTED_VALUE"""),44755.6458333333)</f>
        <v>44755.645833333299</v>
      </c>
      <c r="B262" s="1">
        <f ca="1">IFERROR(__xludf.DUMMYFUNCTION("""COMPUTED_VALUE"""),1444.45)</f>
        <v>1444.45</v>
      </c>
      <c r="C262" s="3">
        <f t="shared" ca="1" si="8"/>
        <v>4.0664534964549815E-3</v>
      </c>
      <c r="D262">
        <f t="shared" ca="1" si="7"/>
        <v>1478.9612244897958</v>
      </c>
    </row>
    <row r="263" spans="1:4" x14ac:dyDescent="0.25">
      <c r="A263" s="2">
        <f ca="1">IFERROR(__xludf.DUMMYFUNCTION("""COMPUTED_VALUE"""),44756.6458333333)</f>
        <v>44756.645833333299</v>
      </c>
      <c r="B263" s="1">
        <f ca="1">IFERROR(__xludf.DUMMYFUNCTION("""COMPUTED_VALUE"""),1428.85)</f>
        <v>1428.85</v>
      </c>
      <c r="C263" s="3">
        <f t="shared" ca="1" si="8"/>
        <v>-1.0799958461698319E-2</v>
      </c>
      <c r="D263">
        <f t="shared" ca="1" si="7"/>
        <v>1476.0897959183671</v>
      </c>
    </row>
    <row r="264" spans="1:4" x14ac:dyDescent="0.25">
      <c r="A264" s="2">
        <f ca="1">IFERROR(__xludf.DUMMYFUNCTION("""COMPUTED_VALUE"""),44757.6458333333)</f>
        <v>44757.645833333299</v>
      </c>
      <c r="B264" s="1">
        <f ca="1">IFERROR(__xludf.DUMMYFUNCTION("""COMPUTED_VALUE"""),1430.35)</f>
        <v>1430.35</v>
      </c>
      <c r="C264" s="3">
        <f t="shared" ca="1" si="8"/>
        <v>1.049795289918466E-3</v>
      </c>
      <c r="D264">
        <f t="shared" ca="1" si="7"/>
        <v>1473.7632653061225</v>
      </c>
    </row>
    <row r="265" spans="1:4" x14ac:dyDescent="0.25">
      <c r="A265" s="2">
        <f ca="1">IFERROR(__xludf.DUMMYFUNCTION("""COMPUTED_VALUE"""),44760.6458333333)</f>
        <v>44760.645833333299</v>
      </c>
      <c r="B265" s="1">
        <f ca="1">IFERROR(__xludf.DUMMYFUNCTION("""COMPUTED_VALUE"""),1489.9)</f>
        <v>1489.9</v>
      </c>
      <c r="C265" s="3">
        <f t="shared" ca="1" si="8"/>
        <v>4.1633166707449355E-2</v>
      </c>
      <c r="D265">
        <f t="shared" ca="1" si="7"/>
        <v>1470.9061224489797</v>
      </c>
    </row>
    <row r="266" spans="1:4" x14ac:dyDescent="0.25">
      <c r="A266" s="2">
        <f ca="1">IFERROR(__xludf.DUMMYFUNCTION("""COMPUTED_VALUE"""),44761.6458333333)</f>
        <v>44761.645833333299</v>
      </c>
      <c r="B266" s="1">
        <f ca="1">IFERROR(__xludf.DUMMYFUNCTION("""COMPUTED_VALUE"""),1484.15)</f>
        <v>1484.15</v>
      </c>
      <c r="C266" s="3">
        <f t="shared" ca="1" si="8"/>
        <v>-3.8593194174105644E-3</v>
      </c>
      <c r="D266">
        <f t="shared" ca="1" si="7"/>
        <v>1469.6183673469388</v>
      </c>
    </row>
    <row r="267" spans="1:4" x14ac:dyDescent="0.25">
      <c r="A267" s="2">
        <f ca="1">IFERROR(__xludf.DUMMYFUNCTION("""COMPUTED_VALUE"""),44762.6458333333)</f>
        <v>44762.645833333299</v>
      </c>
      <c r="B267" s="1">
        <f ca="1">IFERROR(__xludf.DUMMYFUNCTION("""COMPUTED_VALUE"""),1515.3)</f>
        <v>1515.3</v>
      </c>
      <c r="C267" s="3">
        <f t="shared" ca="1" si="8"/>
        <v>2.0988444564228589E-2</v>
      </c>
      <c r="D267">
        <f t="shared" ca="1" si="7"/>
        <v>1468.7489795918364</v>
      </c>
    </row>
    <row r="268" spans="1:4" x14ac:dyDescent="0.25">
      <c r="A268" s="2">
        <f ca="1">IFERROR(__xludf.DUMMYFUNCTION("""COMPUTED_VALUE"""),44763.6458333333)</f>
        <v>44763.645833333299</v>
      </c>
      <c r="B268" s="1">
        <f ca="1">IFERROR(__xludf.DUMMYFUNCTION("""COMPUTED_VALUE"""),1532.9)</f>
        <v>1532.9</v>
      </c>
      <c r="C268" s="3">
        <f t="shared" ca="1" si="8"/>
        <v>1.1614861743549223E-2</v>
      </c>
      <c r="D268">
        <f t="shared" ca="1" si="7"/>
        <v>1468.8816326530609</v>
      </c>
    </row>
    <row r="269" spans="1:4" x14ac:dyDescent="0.25">
      <c r="A269" s="2">
        <f ca="1">IFERROR(__xludf.DUMMYFUNCTION("""COMPUTED_VALUE"""),44764.6458333333)</f>
        <v>44764.645833333299</v>
      </c>
      <c r="B269" s="1">
        <f ca="1">IFERROR(__xludf.DUMMYFUNCTION("""COMPUTED_VALUE"""),1506.3)</f>
        <v>1506.3</v>
      </c>
      <c r="C269" s="3">
        <f t="shared" ca="1" si="8"/>
        <v>-1.7352730119381651E-2</v>
      </c>
      <c r="D269">
        <f t="shared" ca="1" si="7"/>
        <v>1469.4632653061217</v>
      </c>
    </row>
    <row r="270" spans="1:4" x14ac:dyDescent="0.25">
      <c r="A270" s="2">
        <f ca="1">IFERROR(__xludf.DUMMYFUNCTION("""COMPUTED_VALUE"""),44767.6458333333)</f>
        <v>44767.645833333299</v>
      </c>
      <c r="B270" s="1">
        <f ca="1">IFERROR(__xludf.DUMMYFUNCTION("""COMPUTED_VALUE"""),1503.6)</f>
        <v>1503.6</v>
      </c>
      <c r="C270" s="3">
        <f t="shared" ca="1" si="8"/>
        <v>-1.7924716191993928E-3</v>
      </c>
      <c r="D270">
        <f t="shared" ca="1" si="7"/>
        <v>1469.8142857142852</v>
      </c>
    </row>
    <row r="271" spans="1:4" x14ac:dyDescent="0.25">
      <c r="A271" s="2">
        <f ca="1">IFERROR(__xludf.DUMMYFUNCTION("""COMPUTED_VALUE"""),44768.6458333333)</f>
        <v>44768.645833333299</v>
      </c>
      <c r="B271" s="1">
        <f ca="1">IFERROR(__xludf.DUMMYFUNCTION("""COMPUTED_VALUE"""),1451.15)</f>
        <v>1451.15</v>
      </c>
      <c r="C271" s="3">
        <f t="shared" ca="1" si="8"/>
        <v>-3.4882947592444681E-2</v>
      </c>
      <c r="D271">
        <f t="shared" ca="1" si="7"/>
        <v>1469.5112244897957</v>
      </c>
    </row>
    <row r="272" spans="1:4" x14ac:dyDescent="0.25">
      <c r="A272" s="2">
        <f ca="1">IFERROR(__xludf.DUMMYFUNCTION("""COMPUTED_VALUE"""),44769.6458333333)</f>
        <v>44769.645833333299</v>
      </c>
      <c r="B272" s="1">
        <f ca="1">IFERROR(__xludf.DUMMYFUNCTION("""COMPUTED_VALUE"""),1471.05)</f>
        <v>1471.05</v>
      </c>
      <c r="C272" s="3">
        <f t="shared" ca="1" si="8"/>
        <v>1.3713261895737768E-2</v>
      </c>
      <c r="D272">
        <f t="shared" ca="1" si="7"/>
        <v>1468.3265306122446</v>
      </c>
    </row>
    <row r="273" spans="1:4" x14ac:dyDescent="0.25">
      <c r="A273" s="2">
        <f ca="1">IFERROR(__xludf.DUMMYFUNCTION("""COMPUTED_VALUE"""),44770.6458333333)</f>
        <v>44770.645833333299</v>
      </c>
      <c r="B273" s="1">
        <f ca="1">IFERROR(__xludf.DUMMYFUNCTION("""COMPUTED_VALUE"""),1517.4)</f>
        <v>1517.4</v>
      </c>
      <c r="C273" s="3">
        <f t="shared" ca="1" si="8"/>
        <v>3.1508106454573359E-2</v>
      </c>
      <c r="D273">
        <f t="shared" ca="1" si="7"/>
        <v>1469.2224489795917</v>
      </c>
    </row>
    <row r="274" spans="1:4" x14ac:dyDescent="0.25">
      <c r="A274" s="2">
        <f ca="1">IFERROR(__xludf.DUMMYFUNCTION("""COMPUTED_VALUE"""),44771.6458333333)</f>
        <v>44771.645833333299</v>
      </c>
      <c r="B274" s="1">
        <f ca="1">IFERROR(__xludf.DUMMYFUNCTION("""COMPUTED_VALUE"""),1549.7)</f>
        <v>1549.7</v>
      </c>
      <c r="C274" s="3">
        <f t="shared" ca="1" si="8"/>
        <v>2.1286410966126237E-2</v>
      </c>
      <c r="D274">
        <f t="shared" ca="1" si="7"/>
        <v>1470.492857142857</v>
      </c>
    </row>
    <row r="275" spans="1:4" x14ac:dyDescent="0.25">
      <c r="A275" s="2">
        <f ca="1">IFERROR(__xludf.DUMMYFUNCTION("""COMPUTED_VALUE"""),44774.6458333333)</f>
        <v>44774.645833333299</v>
      </c>
      <c r="B275" s="1">
        <f ca="1">IFERROR(__xludf.DUMMYFUNCTION("""COMPUTED_VALUE"""),1551.05)</f>
        <v>1551.05</v>
      </c>
      <c r="C275" s="3">
        <f t="shared" ca="1" si="8"/>
        <v>8.7113634897070986E-4</v>
      </c>
      <c r="D275">
        <f t="shared" ca="1" si="7"/>
        <v>1472.1520408163265</v>
      </c>
    </row>
    <row r="276" spans="1:4" x14ac:dyDescent="0.25">
      <c r="A276" s="2">
        <f ca="1">IFERROR(__xludf.DUMMYFUNCTION("""COMPUTED_VALUE"""),44775.6458333333)</f>
        <v>44775.645833333299</v>
      </c>
      <c r="B276" s="1">
        <f ca="1">IFERROR(__xludf.DUMMYFUNCTION("""COMPUTED_VALUE"""),1543.6)</f>
        <v>1543.6</v>
      </c>
      <c r="C276" s="3">
        <f t="shared" ca="1" si="8"/>
        <v>-4.8031978337255699E-3</v>
      </c>
      <c r="D276">
        <f t="shared" ca="1" si="7"/>
        <v>1474.3979591836735</v>
      </c>
    </row>
    <row r="277" spans="1:4" x14ac:dyDescent="0.25">
      <c r="A277" s="2">
        <f ca="1">IFERROR(__xludf.DUMMYFUNCTION("""COMPUTED_VALUE"""),44776.6458333333)</f>
        <v>44776.645833333299</v>
      </c>
      <c r="B277" s="1">
        <f ca="1">IFERROR(__xludf.DUMMYFUNCTION("""COMPUTED_VALUE"""),1566.1)</f>
        <v>1566.1</v>
      </c>
      <c r="C277" s="3">
        <f t="shared" ca="1" si="8"/>
        <v>1.4576315107540814E-2</v>
      </c>
      <c r="D277">
        <f t="shared" ca="1" si="7"/>
        <v>1477.1153061224491</v>
      </c>
    </row>
    <row r="278" spans="1:4" x14ac:dyDescent="0.25">
      <c r="A278" s="2">
        <f ca="1">IFERROR(__xludf.DUMMYFUNCTION("""COMPUTED_VALUE"""),44777.6458333333)</f>
        <v>44777.645833333299</v>
      </c>
      <c r="B278" s="1">
        <f ca="1">IFERROR(__xludf.DUMMYFUNCTION("""COMPUTED_VALUE"""),1599.9)</f>
        <v>1599.9</v>
      </c>
      <c r="C278" s="3">
        <f t="shared" ca="1" si="8"/>
        <v>2.158227443969107E-2</v>
      </c>
      <c r="D278">
        <f t="shared" ca="1" si="7"/>
        <v>1480.0163265306126</v>
      </c>
    </row>
    <row r="279" spans="1:4" x14ac:dyDescent="0.25">
      <c r="A279" s="2">
        <f ca="1">IFERROR(__xludf.DUMMYFUNCTION("""COMPUTED_VALUE"""),44778.6458333333)</f>
        <v>44778.645833333299</v>
      </c>
      <c r="B279" s="1">
        <f ca="1">IFERROR(__xludf.DUMMYFUNCTION("""COMPUTED_VALUE"""),1616.65)</f>
        <v>1616.65</v>
      </c>
      <c r="C279" s="3">
        <f t="shared" ca="1" si="8"/>
        <v>1.046940433777111E-2</v>
      </c>
      <c r="D279">
        <f t="shared" ca="1" si="7"/>
        <v>1482.8438775510208</v>
      </c>
    </row>
    <row r="280" spans="1:4" x14ac:dyDescent="0.25">
      <c r="A280" s="2">
        <f ca="1">IFERROR(__xludf.DUMMYFUNCTION("""COMPUTED_VALUE"""),44781.6458333333)</f>
        <v>44781.645833333299</v>
      </c>
      <c r="B280" s="1">
        <f ca="1">IFERROR(__xludf.DUMMYFUNCTION("""COMPUTED_VALUE"""),1619.4)</f>
        <v>1619.4</v>
      </c>
      <c r="C280" s="3">
        <f t="shared" ca="1" si="8"/>
        <v>1.7010484644171587E-3</v>
      </c>
      <c r="D280">
        <f t="shared" ca="1" si="7"/>
        <v>1484.6775510204081</v>
      </c>
    </row>
    <row r="281" spans="1:4" x14ac:dyDescent="0.25">
      <c r="A281" s="2">
        <f ca="1">IFERROR(__xludf.DUMMYFUNCTION("""COMPUTED_VALUE"""),44783.6458333333)</f>
        <v>44783.645833333299</v>
      </c>
      <c r="B281" s="1">
        <f ca="1">IFERROR(__xludf.DUMMYFUNCTION("""COMPUTED_VALUE"""),1602.45)</f>
        <v>1602.45</v>
      </c>
      <c r="C281" s="3">
        <f t="shared" ca="1" si="8"/>
        <v>-1.0466839570211217E-2</v>
      </c>
      <c r="D281">
        <f t="shared" ca="1" si="7"/>
        <v>1487.0408163265306</v>
      </c>
    </row>
    <row r="282" spans="1:4" x14ac:dyDescent="0.25">
      <c r="A282" s="2">
        <f ca="1">IFERROR(__xludf.DUMMYFUNCTION("""COMPUTED_VALUE"""),44784.6458333333)</f>
        <v>44784.645833333299</v>
      </c>
      <c r="B282" s="1">
        <f ca="1">IFERROR(__xludf.DUMMYFUNCTION("""COMPUTED_VALUE"""),1619.95)</f>
        <v>1619.95</v>
      </c>
      <c r="C282" s="3">
        <f t="shared" ca="1" si="8"/>
        <v>1.0920777559362226E-2</v>
      </c>
      <c r="D282">
        <f t="shared" ca="1" si="7"/>
        <v>1489.5693877551018</v>
      </c>
    </row>
    <row r="283" spans="1:4" x14ac:dyDescent="0.25">
      <c r="A283" s="2">
        <f ca="1">IFERROR(__xludf.DUMMYFUNCTION("""COMPUTED_VALUE"""),44785.6458333333)</f>
        <v>44785.645833333299</v>
      </c>
      <c r="B283" s="1">
        <f ca="1">IFERROR(__xludf.DUMMYFUNCTION("""COMPUTED_VALUE"""),1594.1)</f>
        <v>1594.1</v>
      </c>
      <c r="C283" s="3">
        <f t="shared" ca="1" si="8"/>
        <v>-1.5957282632180089E-2</v>
      </c>
      <c r="D283">
        <f t="shared" ca="1" si="7"/>
        <v>1491.8540816326529</v>
      </c>
    </row>
    <row r="284" spans="1:4" x14ac:dyDescent="0.25">
      <c r="A284" s="2">
        <f ca="1">IFERROR(__xludf.DUMMYFUNCTION("""COMPUTED_VALUE"""),44789.6458333333)</f>
        <v>44789.645833333299</v>
      </c>
      <c r="B284" s="1">
        <f ca="1">IFERROR(__xludf.DUMMYFUNCTION("""COMPUTED_VALUE"""),1596.45)</f>
        <v>1596.45</v>
      </c>
      <c r="C284" s="3">
        <f t="shared" ca="1" si="8"/>
        <v>1.4741860611003931E-3</v>
      </c>
      <c r="D284">
        <f t="shared" ca="1" si="7"/>
        <v>1493.3316326530612</v>
      </c>
    </row>
    <row r="285" spans="1:4" x14ac:dyDescent="0.25">
      <c r="A285" s="2">
        <f ca="1">IFERROR(__xludf.DUMMYFUNCTION("""COMPUTED_VALUE"""),44790.6458333333)</f>
        <v>44790.645833333299</v>
      </c>
      <c r="B285" s="1">
        <f ca="1">IFERROR(__xludf.DUMMYFUNCTION("""COMPUTED_VALUE"""),1606.25)</f>
        <v>1606.25</v>
      </c>
      <c r="C285" s="3">
        <f t="shared" ca="1" si="8"/>
        <v>6.1386200632653418E-3</v>
      </c>
      <c r="D285">
        <f t="shared" ca="1" si="7"/>
        <v>1494.6867346938777</v>
      </c>
    </row>
    <row r="286" spans="1:4" x14ac:dyDescent="0.25">
      <c r="A286" s="2">
        <f ca="1">IFERROR(__xludf.DUMMYFUNCTION("""COMPUTED_VALUE"""),44791.6458333333)</f>
        <v>44791.645833333299</v>
      </c>
      <c r="B286" s="1">
        <f ca="1">IFERROR(__xludf.DUMMYFUNCTION("""COMPUTED_VALUE"""),1582.95)</f>
        <v>1582.95</v>
      </c>
      <c r="C286" s="3">
        <f t="shared" ca="1" si="8"/>
        <v>-1.4505836575875458E-2</v>
      </c>
      <c r="D286">
        <f t="shared" ca="1" si="7"/>
        <v>1496.718367346939</v>
      </c>
    </row>
    <row r="287" spans="1:4" x14ac:dyDescent="0.25">
      <c r="A287" s="2">
        <f ca="1">IFERROR(__xludf.DUMMYFUNCTION("""COMPUTED_VALUE"""),44792.6458333333)</f>
        <v>44792.645833333299</v>
      </c>
      <c r="B287" s="1">
        <f ca="1">IFERROR(__xludf.DUMMYFUNCTION("""COMPUTED_VALUE"""),1597.1)</f>
        <v>1597.1</v>
      </c>
      <c r="C287" s="3">
        <f t="shared" ca="1" si="8"/>
        <v>8.939006285732248E-3</v>
      </c>
      <c r="D287">
        <f t="shared" ca="1" si="7"/>
        <v>1498.411224489796</v>
      </c>
    </row>
    <row r="288" spans="1:4" x14ac:dyDescent="0.25">
      <c r="A288" s="2">
        <f ca="1">IFERROR(__xludf.DUMMYFUNCTION("""COMPUTED_VALUE"""),44795.6458333333)</f>
        <v>44795.645833333299</v>
      </c>
      <c r="B288" s="1">
        <f ca="1">IFERROR(__xludf.DUMMYFUNCTION("""COMPUTED_VALUE"""),1575.65)</f>
        <v>1575.65</v>
      </c>
      <c r="C288" s="3">
        <f t="shared" ca="1" si="8"/>
        <v>-1.3430592949721256E-2</v>
      </c>
      <c r="D288">
        <f t="shared" ca="1" si="7"/>
        <v>1500.0867346938778</v>
      </c>
    </row>
    <row r="289" spans="1:4" x14ac:dyDescent="0.25">
      <c r="A289" s="2">
        <f ca="1">IFERROR(__xludf.DUMMYFUNCTION("""COMPUTED_VALUE"""),44796.6458333333)</f>
        <v>44796.645833333299</v>
      </c>
      <c r="B289" s="1">
        <f ca="1">IFERROR(__xludf.DUMMYFUNCTION("""COMPUTED_VALUE"""),1542.4)</f>
        <v>1542.4</v>
      </c>
      <c r="C289" s="3">
        <f t="shared" ca="1" si="8"/>
        <v>-2.1102402183225968E-2</v>
      </c>
      <c r="D289">
        <f t="shared" ca="1" si="7"/>
        <v>1502.1040816326531</v>
      </c>
    </row>
    <row r="290" spans="1:4" x14ac:dyDescent="0.25">
      <c r="A290" s="2">
        <f ca="1">IFERROR(__xludf.DUMMYFUNCTION("""COMPUTED_VALUE"""),44797.6458333333)</f>
        <v>44797.645833333299</v>
      </c>
      <c r="B290" s="1">
        <f ca="1">IFERROR(__xludf.DUMMYFUNCTION("""COMPUTED_VALUE"""),1537.5)</f>
        <v>1537.5</v>
      </c>
      <c r="C290" s="3">
        <f t="shared" ca="1" si="8"/>
        <v>-3.1768672199170714E-3</v>
      </c>
      <c r="D290">
        <f t="shared" ca="1" si="7"/>
        <v>1504.5102040816328</v>
      </c>
    </row>
    <row r="291" spans="1:4" x14ac:dyDescent="0.25">
      <c r="A291" s="2">
        <f ca="1">IFERROR(__xludf.DUMMYFUNCTION("""COMPUTED_VALUE"""),44798.6458333333)</f>
        <v>44798.645833333299</v>
      </c>
      <c r="B291" s="1">
        <f ca="1">IFERROR(__xludf.DUMMYFUNCTION("""COMPUTED_VALUE"""),1518.15)</f>
        <v>1518.15</v>
      </c>
      <c r="C291" s="3">
        <f t="shared" ca="1" si="8"/>
        <v>-1.2585365853658477E-2</v>
      </c>
      <c r="D291">
        <f t="shared" ca="1" si="7"/>
        <v>1506.4887755102041</v>
      </c>
    </row>
    <row r="292" spans="1:4" x14ac:dyDescent="0.25">
      <c r="A292" s="2">
        <f ca="1">IFERROR(__xludf.DUMMYFUNCTION("""COMPUTED_VALUE"""),44799.6458333333)</f>
        <v>44799.645833333299</v>
      </c>
      <c r="B292" s="1">
        <f ca="1">IFERROR(__xludf.DUMMYFUNCTION("""COMPUTED_VALUE"""),1521.55)</f>
        <v>1521.55</v>
      </c>
      <c r="C292" s="3">
        <f t="shared" ca="1" si="8"/>
        <v>2.2395678951354367E-3</v>
      </c>
      <c r="D292">
        <f t="shared" ca="1" si="7"/>
        <v>1508.44693877551</v>
      </c>
    </row>
    <row r="293" spans="1:4" x14ac:dyDescent="0.25">
      <c r="A293" s="2">
        <f ca="1">IFERROR(__xludf.DUMMYFUNCTION("""COMPUTED_VALUE"""),44802.6458333333)</f>
        <v>44802.645833333299</v>
      </c>
      <c r="B293" s="1">
        <f ca="1">IFERROR(__xludf.DUMMYFUNCTION("""COMPUTED_VALUE"""),1461.75)</f>
        <v>1461.75</v>
      </c>
      <c r="C293" s="3">
        <f t="shared" ca="1" si="8"/>
        <v>-3.9302027537708228E-2</v>
      </c>
      <c r="D293">
        <f t="shared" ca="1" si="7"/>
        <v>1510.9846938775506</v>
      </c>
    </row>
    <row r="294" spans="1:4" x14ac:dyDescent="0.25">
      <c r="A294" s="2">
        <f ca="1">IFERROR(__xludf.DUMMYFUNCTION("""COMPUTED_VALUE"""),44803.6458333333)</f>
        <v>44803.645833333299</v>
      </c>
      <c r="B294" s="1">
        <f ca="1">IFERROR(__xludf.DUMMYFUNCTION("""COMPUTED_VALUE"""),1492.95)</f>
        <v>1492.95</v>
      </c>
      <c r="C294" s="3">
        <f t="shared" ca="1" si="8"/>
        <v>2.1344279117496184E-2</v>
      </c>
      <c r="D294">
        <f t="shared" ca="1" si="7"/>
        <v>1512.5040816326527</v>
      </c>
    </row>
    <row r="295" spans="1:4" x14ac:dyDescent="0.25">
      <c r="A295" s="2">
        <f ca="1">IFERROR(__xludf.DUMMYFUNCTION("""COMPUTED_VALUE"""),44805.6458333333)</f>
        <v>44805.645833333299</v>
      </c>
      <c r="B295" s="1">
        <f ca="1">IFERROR(__xludf.DUMMYFUNCTION("""COMPUTED_VALUE"""),1464.2)</f>
        <v>1464.2</v>
      </c>
      <c r="C295" s="3">
        <f t="shared" ca="1" si="8"/>
        <v>-1.9257175391004386E-2</v>
      </c>
      <c r="D295">
        <f t="shared" ca="1" si="7"/>
        <v>1514.1122448979588</v>
      </c>
    </row>
    <row r="296" spans="1:4" x14ac:dyDescent="0.25">
      <c r="A296" s="2">
        <f ca="1">IFERROR(__xludf.DUMMYFUNCTION("""COMPUTED_VALUE"""),44806.6458333333)</f>
        <v>44806.645833333299</v>
      </c>
      <c r="B296" s="1">
        <f ca="1">IFERROR(__xludf.DUMMYFUNCTION("""COMPUTED_VALUE"""),1453)</f>
        <v>1453</v>
      </c>
      <c r="C296" s="3">
        <f t="shared" ca="1" si="8"/>
        <v>-7.6492282475072023E-3</v>
      </c>
      <c r="D296">
        <f t="shared" ca="1" si="7"/>
        <v>1514.4040816326528</v>
      </c>
    </row>
    <row r="297" spans="1:4" x14ac:dyDescent="0.25">
      <c r="A297" s="2">
        <f ca="1">IFERROR(__xludf.DUMMYFUNCTION("""COMPUTED_VALUE"""),44809.6458333333)</f>
        <v>44809.645833333299</v>
      </c>
      <c r="B297" s="1">
        <f ca="1">IFERROR(__xludf.DUMMYFUNCTION("""COMPUTED_VALUE"""),1461.3)</f>
        <v>1461.3</v>
      </c>
      <c r="C297" s="3">
        <f t="shared" ca="1" si="8"/>
        <v>5.712319339297973E-3</v>
      </c>
      <c r="D297">
        <f t="shared" ca="1" si="7"/>
        <v>1514.7255102040815</v>
      </c>
    </row>
    <row r="298" spans="1:4" x14ac:dyDescent="0.25">
      <c r="A298" s="2">
        <f ca="1">IFERROR(__xludf.DUMMYFUNCTION("""COMPUTED_VALUE"""),44810.6458333333)</f>
        <v>44810.645833333299</v>
      </c>
      <c r="B298" s="1">
        <f ca="1">IFERROR(__xludf.DUMMYFUNCTION("""COMPUTED_VALUE"""),1455.1)</f>
        <v>1455.1</v>
      </c>
      <c r="C298" s="3">
        <f t="shared" ca="1" si="8"/>
        <v>-4.2427975090673E-3</v>
      </c>
      <c r="D298">
        <f t="shared" ca="1" si="7"/>
        <v>1514.9061224489794</v>
      </c>
    </row>
    <row r="299" spans="1:4" x14ac:dyDescent="0.25">
      <c r="A299" s="2">
        <f ca="1">IFERROR(__xludf.DUMMYFUNCTION("""COMPUTED_VALUE"""),44811.6458333333)</f>
        <v>44811.645833333299</v>
      </c>
      <c r="B299" s="1">
        <f ca="1">IFERROR(__xludf.DUMMYFUNCTION("""COMPUTED_VALUE"""),1457.65)</f>
        <v>1457.65</v>
      </c>
      <c r="C299" s="3">
        <f t="shared" ca="1" si="8"/>
        <v>1.7524568758162202E-3</v>
      </c>
      <c r="D299">
        <f t="shared" ca="1" si="7"/>
        <v>1515.1918367346941</v>
      </c>
    </row>
    <row r="300" spans="1:4" x14ac:dyDescent="0.25">
      <c r="A300" s="2">
        <f ca="1">IFERROR(__xludf.DUMMYFUNCTION("""COMPUTED_VALUE"""),44812.6458333333)</f>
        <v>44812.645833333299</v>
      </c>
      <c r="B300" s="1">
        <f ca="1">IFERROR(__xludf.DUMMYFUNCTION("""COMPUTED_VALUE"""),1475.9)</f>
        <v>1475.9</v>
      </c>
      <c r="C300" s="3">
        <f t="shared" ca="1" si="8"/>
        <v>1.2520152299934827E-2</v>
      </c>
      <c r="D300">
        <f t="shared" ca="1" si="7"/>
        <v>1514.8459183673469</v>
      </c>
    </row>
    <row r="301" spans="1:4" x14ac:dyDescent="0.25">
      <c r="A301" s="2">
        <f ca="1">IFERROR(__xludf.DUMMYFUNCTION("""COMPUTED_VALUE"""),44813.6458333333)</f>
        <v>44813.645833333299</v>
      </c>
      <c r="B301" s="1">
        <f ca="1">IFERROR(__xludf.DUMMYFUNCTION("""COMPUTED_VALUE"""),1511.65)</f>
        <v>1511.65</v>
      </c>
      <c r="C301" s="3">
        <f t="shared" ca="1" si="8"/>
        <v>2.4222508300020325E-2</v>
      </c>
      <c r="D301">
        <f t="shared" ca="1" si="7"/>
        <v>1514.7591836734694</v>
      </c>
    </row>
    <row r="302" spans="1:4" x14ac:dyDescent="0.25">
      <c r="A302" s="2">
        <f ca="1">IFERROR(__xludf.DUMMYFUNCTION("""COMPUTED_VALUE"""),44817.6458333333)</f>
        <v>44817.645833333299</v>
      </c>
      <c r="B302" s="1">
        <f ca="1">IFERROR(__xludf.DUMMYFUNCTION("""COMPUTED_VALUE"""),1544.95)</f>
        <v>1544.95</v>
      </c>
      <c r="C302" s="3">
        <f t="shared" ca="1" si="8"/>
        <v>2.2028908808255847E-2</v>
      </c>
      <c r="D302">
        <f t="shared" ca="1" si="7"/>
        <v>1515.74693877551</v>
      </c>
    </row>
    <row r="303" spans="1:4" x14ac:dyDescent="0.25">
      <c r="A303" s="2">
        <f ca="1">IFERROR(__xludf.DUMMYFUNCTION("""COMPUTED_VALUE"""),44818.6458333333)</f>
        <v>44818.645833333299</v>
      </c>
      <c r="B303" s="1">
        <f ca="1">IFERROR(__xludf.DUMMYFUNCTION("""COMPUTED_VALUE"""),1475.4)</f>
        <v>1475.4</v>
      </c>
      <c r="C303" s="3">
        <f t="shared" ca="1" si="8"/>
        <v>-4.5017638111265704E-2</v>
      </c>
      <c r="D303">
        <f t="shared" ca="1" si="7"/>
        <v>1517.4418367346934</v>
      </c>
    </row>
    <row r="304" spans="1:4" x14ac:dyDescent="0.25">
      <c r="A304" s="2">
        <f ca="1">IFERROR(__xludf.DUMMYFUNCTION("""COMPUTED_VALUE"""),44819.6458333333)</f>
        <v>44819.645833333299</v>
      </c>
      <c r="B304" s="1">
        <f ca="1">IFERROR(__xludf.DUMMYFUNCTION("""COMPUTED_VALUE"""),1432.8)</f>
        <v>1432.8</v>
      </c>
      <c r="C304" s="3">
        <f t="shared" ca="1" si="8"/>
        <v>-2.887352582350558E-2</v>
      </c>
      <c r="D304">
        <f t="shared" ca="1" si="7"/>
        <v>1517.360204081632</v>
      </c>
    </row>
    <row r="305" spans="1:4" x14ac:dyDescent="0.25">
      <c r="A305" s="2">
        <f ca="1">IFERROR(__xludf.DUMMYFUNCTION("""COMPUTED_VALUE"""),44820.6458333333)</f>
        <v>44820.645833333299</v>
      </c>
      <c r="B305" s="1">
        <f ca="1">IFERROR(__xludf.DUMMYFUNCTION("""COMPUTED_VALUE"""),1377.05)</f>
        <v>1377.05</v>
      </c>
      <c r="C305" s="3">
        <f t="shared" ca="1" si="8"/>
        <v>-3.8909826912339476E-2</v>
      </c>
      <c r="D305">
        <f t="shared" ca="1" si="7"/>
        <v>1516.2336734693872</v>
      </c>
    </row>
    <row r="306" spans="1:4" x14ac:dyDescent="0.25">
      <c r="A306" s="2">
        <f ca="1">IFERROR(__xludf.DUMMYFUNCTION("""COMPUTED_VALUE"""),44823.6458333333)</f>
        <v>44823.645833333299</v>
      </c>
      <c r="B306" s="1">
        <f ca="1">IFERROR(__xludf.DUMMYFUNCTION("""COMPUTED_VALUE"""),1390.3)</f>
        <v>1390.3</v>
      </c>
      <c r="C306" s="3">
        <f t="shared" ca="1" si="8"/>
        <v>9.6220180821320941E-3</v>
      </c>
      <c r="D306">
        <f t="shared" ca="1" si="7"/>
        <v>1514.2153061224485</v>
      </c>
    </row>
    <row r="307" spans="1:4" x14ac:dyDescent="0.25">
      <c r="A307" s="2">
        <f ca="1">IFERROR(__xludf.DUMMYFUNCTION("""COMPUTED_VALUE"""),44824.6458333333)</f>
        <v>44824.645833333299</v>
      </c>
      <c r="B307" s="1">
        <f ca="1">IFERROR(__xludf.DUMMYFUNCTION("""COMPUTED_VALUE"""),1388.55)</f>
        <v>1388.55</v>
      </c>
      <c r="C307" s="3">
        <f t="shared" ca="1" si="8"/>
        <v>-1.2587211393224485E-3</v>
      </c>
      <c r="D307">
        <f t="shared" ca="1" si="7"/>
        <v>1512.1469387755099</v>
      </c>
    </row>
    <row r="308" spans="1:4" x14ac:dyDescent="0.25">
      <c r="A308" s="2">
        <f ca="1">IFERROR(__xludf.DUMMYFUNCTION("""COMPUTED_VALUE"""),44825.6458333333)</f>
        <v>44825.645833333299</v>
      </c>
      <c r="B308" s="1">
        <f ca="1">IFERROR(__xludf.DUMMYFUNCTION("""COMPUTED_VALUE"""),1377.25)</f>
        <v>1377.25</v>
      </c>
      <c r="C308" s="3">
        <f t="shared" ca="1" si="8"/>
        <v>-8.1379856685030831E-3</v>
      </c>
      <c r="D308">
        <f t="shared" ref="D308:D371" ca="1" si="9">AVERAGE(B259:B307)</f>
        <v>1509.8989795918369</v>
      </c>
    </row>
    <row r="309" spans="1:4" x14ac:dyDescent="0.25">
      <c r="A309" s="2">
        <f ca="1">IFERROR(__xludf.DUMMYFUNCTION("""COMPUTED_VALUE"""),44826.6458333333)</f>
        <v>44826.645833333299</v>
      </c>
      <c r="B309" s="1">
        <f ca="1">IFERROR(__xludf.DUMMYFUNCTION("""COMPUTED_VALUE"""),1367.95)</f>
        <v>1367.95</v>
      </c>
      <c r="C309" s="3">
        <f t="shared" ca="1" si="8"/>
        <v>-6.7525866763477613E-3</v>
      </c>
      <c r="D309">
        <f t="shared" ca="1" si="9"/>
        <v>1507.098979591837</v>
      </c>
    </row>
    <row r="310" spans="1:4" x14ac:dyDescent="0.25">
      <c r="A310" s="2">
        <f ca="1">IFERROR(__xludf.DUMMYFUNCTION("""COMPUTED_VALUE"""),44827.6458333333)</f>
        <v>44827.645833333299</v>
      </c>
      <c r="B310" s="1">
        <f ca="1">IFERROR(__xludf.DUMMYFUNCTION("""COMPUTED_VALUE"""),1365.45)</f>
        <v>1365.45</v>
      </c>
      <c r="C310" s="3">
        <f t="shared" ca="1" si="8"/>
        <v>-1.8275521766146423E-3</v>
      </c>
      <c r="D310">
        <f t="shared" ca="1" si="9"/>
        <v>1504.9520408163266</v>
      </c>
    </row>
    <row r="311" spans="1:4" x14ac:dyDescent="0.25">
      <c r="A311" s="2">
        <f ca="1">IFERROR(__xludf.DUMMYFUNCTION("""COMPUTED_VALUE"""),44830.6458333333)</f>
        <v>44830.645833333299</v>
      </c>
      <c r="B311" s="1">
        <f ca="1">IFERROR(__xludf.DUMMYFUNCTION("""COMPUTED_VALUE"""),1380.25)</f>
        <v>1380.25</v>
      </c>
      <c r="C311" s="3">
        <f t="shared" ca="1" si="8"/>
        <v>1.0838917572961262E-2</v>
      </c>
      <c r="D311">
        <f t="shared" ca="1" si="9"/>
        <v>1503.4591836734694</v>
      </c>
    </row>
    <row r="312" spans="1:4" x14ac:dyDescent="0.25">
      <c r="A312" s="2">
        <f ca="1">IFERROR(__xludf.DUMMYFUNCTION("""COMPUTED_VALUE"""),44831.6458333333)</f>
        <v>44831.645833333299</v>
      </c>
      <c r="B312" s="1">
        <f ca="1">IFERROR(__xludf.DUMMYFUNCTION("""COMPUTED_VALUE"""),1393.55)</f>
        <v>1393.55</v>
      </c>
      <c r="C312" s="3">
        <f t="shared" ca="1" si="8"/>
        <v>9.6359355189276977E-3</v>
      </c>
      <c r="D312">
        <f t="shared" ca="1" si="9"/>
        <v>1502.1489795918369</v>
      </c>
    </row>
    <row r="313" spans="1:4" x14ac:dyDescent="0.25">
      <c r="A313" s="2">
        <f ca="1">IFERROR(__xludf.DUMMYFUNCTION("""COMPUTED_VALUE"""),44832.6458333333)</f>
        <v>44832.645833333299</v>
      </c>
      <c r="B313" s="1">
        <f ca="1">IFERROR(__xludf.DUMMYFUNCTION("""COMPUTED_VALUE"""),1394.7)</f>
        <v>1394.7</v>
      </c>
      <c r="C313" s="3">
        <f t="shared" ca="1" si="8"/>
        <v>8.2523052635362273E-4</v>
      </c>
      <c r="D313">
        <f t="shared" ca="1" si="9"/>
        <v>1501.4285714285713</v>
      </c>
    </row>
    <row r="314" spans="1:4" x14ac:dyDescent="0.25">
      <c r="A314" s="2">
        <f ca="1">IFERROR(__xludf.DUMMYFUNCTION("""COMPUTED_VALUE"""),44833.6458333333)</f>
        <v>44833.645833333299</v>
      </c>
      <c r="B314" s="1">
        <f ca="1">IFERROR(__xludf.DUMMYFUNCTION("""COMPUTED_VALUE"""),1398.65)</f>
        <v>1398.65</v>
      </c>
      <c r="C314" s="3">
        <f t="shared" ca="1" si="8"/>
        <v>2.8321502832150606E-3</v>
      </c>
      <c r="D314">
        <f t="shared" ca="1" si="9"/>
        <v>1500.7010204081635</v>
      </c>
    </row>
    <row r="315" spans="1:4" x14ac:dyDescent="0.25">
      <c r="A315" s="2">
        <f ca="1">IFERROR(__xludf.DUMMYFUNCTION("""COMPUTED_VALUE"""),44834.6458333333)</f>
        <v>44834.645833333299</v>
      </c>
      <c r="B315" s="1">
        <f ca="1">IFERROR(__xludf.DUMMYFUNCTION("""COMPUTED_VALUE"""),1413.45)</f>
        <v>1413.45</v>
      </c>
      <c r="C315" s="3">
        <f t="shared" ca="1" si="8"/>
        <v>1.0581632288277949E-2</v>
      </c>
      <c r="D315">
        <f t="shared" ca="1" si="9"/>
        <v>1498.8387755102042</v>
      </c>
    </row>
    <row r="316" spans="1:4" x14ac:dyDescent="0.25">
      <c r="A316" s="2">
        <f ca="1">IFERROR(__xludf.DUMMYFUNCTION("""COMPUTED_VALUE"""),44837.6458333333)</f>
        <v>44837.645833333299</v>
      </c>
      <c r="B316" s="1">
        <f ca="1">IFERROR(__xludf.DUMMYFUNCTION("""COMPUTED_VALUE"""),1393.75)</f>
        <v>1393.75</v>
      </c>
      <c r="C316" s="3">
        <f t="shared" ca="1" si="8"/>
        <v>-1.3937528741731257E-2</v>
      </c>
      <c r="D316">
        <f t="shared" ca="1" si="9"/>
        <v>1497.3959183673471</v>
      </c>
    </row>
    <row r="317" spans="1:4" x14ac:dyDescent="0.25">
      <c r="A317" s="2">
        <f ca="1">IFERROR(__xludf.DUMMYFUNCTION("""COMPUTED_VALUE"""),44838.6458333333)</f>
        <v>44838.645833333299</v>
      </c>
      <c r="B317" s="1">
        <f ca="1">IFERROR(__xludf.DUMMYFUNCTION("""COMPUTED_VALUE"""),1429.4)</f>
        <v>1429.4</v>
      </c>
      <c r="C317" s="3">
        <f t="shared" ca="1" si="8"/>
        <v>2.5578475336322935E-2</v>
      </c>
      <c r="D317">
        <f t="shared" ca="1" si="9"/>
        <v>1494.915306122449</v>
      </c>
    </row>
    <row r="318" spans="1:4" x14ac:dyDescent="0.25">
      <c r="A318" s="2">
        <f ca="1">IFERROR(__xludf.DUMMYFUNCTION("""COMPUTED_VALUE"""),44840.6458333333)</f>
        <v>44840.645833333299</v>
      </c>
      <c r="B318" s="1">
        <f ca="1">IFERROR(__xludf.DUMMYFUNCTION("""COMPUTED_VALUE"""),1455.15)</f>
        <v>1455.15</v>
      </c>
      <c r="C318" s="3">
        <f t="shared" ca="1" si="8"/>
        <v>1.8014551560095144E-2</v>
      </c>
      <c r="D318">
        <f t="shared" ca="1" si="9"/>
        <v>1492.8030612244895</v>
      </c>
    </row>
    <row r="319" spans="1:4" x14ac:dyDescent="0.25">
      <c r="A319" s="2">
        <f ca="1">IFERROR(__xludf.DUMMYFUNCTION("""COMPUTED_VALUE"""),44841.6458333333)</f>
        <v>44841.645833333299</v>
      </c>
      <c r="B319" s="1">
        <f ca="1">IFERROR(__xludf.DUMMYFUNCTION("""COMPUTED_VALUE"""),1451.2)</f>
        <v>1451.2</v>
      </c>
      <c r="C319" s="3">
        <f t="shared" ca="1" si="8"/>
        <v>-2.714496787272821E-3</v>
      </c>
      <c r="D319">
        <f t="shared" ca="1" si="9"/>
        <v>1491.7591836734694</v>
      </c>
    </row>
    <row r="320" spans="1:4" x14ac:dyDescent="0.25">
      <c r="A320" s="2">
        <f ca="1">IFERROR(__xludf.DUMMYFUNCTION("""COMPUTED_VALUE"""),44844.6458333333)</f>
        <v>44844.645833333299</v>
      </c>
      <c r="B320" s="1">
        <f ca="1">IFERROR(__xludf.DUMMYFUNCTION("""COMPUTED_VALUE"""),1462.65)</f>
        <v>1462.65</v>
      </c>
      <c r="C320" s="3">
        <f t="shared" ca="1" si="8"/>
        <v>7.8900220507166791E-3</v>
      </c>
      <c r="D320">
        <f t="shared" ca="1" si="9"/>
        <v>1490.6897959183671</v>
      </c>
    </row>
    <row r="321" spans="1:4" x14ac:dyDescent="0.25">
      <c r="A321" s="2">
        <f ca="1">IFERROR(__xludf.DUMMYFUNCTION("""COMPUTED_VALUE"""),44845.6458333333)</f>
        <v>44845.645833333299</v>
      </c>
      <c r="B321" s="1">
        <f ca="1">IFERROR(__xludf.DUMMYFUNCTION("""COMPUTED_VALUE"""),1423.8)</f>
        <v>1423.8</v>
      </c>
      <c r="C321" s="3">
        <f t="shared" ca="1" si="8"/>
        <v>-2.6561378320172382E-2</v>
      </c>
      <c r="D321">
        <f t="shared" ca="1" si="9"/>
        <v>1490.9244897959181</v>
      </c>
    </row>
    <row r="322" spans="1:4" x14ac:dyDescent="0.25">
      <c r="A322" s="2">
        <f ca="1">IFERROR(__xludf.DUMMYFUNCTION("""COMPUTED_VALUE"""),44846.6458333333)</f>
        <v>44846.645833333299</v>
      </c>
      <c r="B322" s="1">
        <f ca="1">IFERROR(__xludf.DUMMYFUNCTION("""COMPUTED_VALUE"""),1428.7)</f>
        <v>1428.7</v>
      </c>
      <c r="C322" s="3">
        <f t="shared" ca="1" si="8"/>
        <v>3.4414945919371337E-3</v>
      </c>
      <c r="D322">
        <f t="shared" ca="1" si="9"/>
        <v>1489.9602040816324</v>
      </c>
    </row>
    <row r="323" spans="1:4" x14ac:dyDescent="0.25">
      <c r="A323" s="2">
        <f ca="1">IFERROR(__xludf.DUMMYFUNCTION("""COMPUTED_VALUE"""),44847.6458333333)</f>
        <v>44847.645833333299</v>
      </c>
      <c r="B323" s="1">
        <f ca="1">IFERROR(__xludf.DUMMYFUNCTION("""COMPUTED_VALUE"""),1419.9)</f>
        <v>1419.9</v>
      </c>
      <c r="C323" s="3">
        <f t="shared" ca="1" si="8"/>
        <v>-6.1594456498914778E-3</v>
      </c>
      <c r="D323">
        <f t="shared" ca="1" si="9"/>
        <v>1488.1499999999999</v>
      </c>
    </row>
    <row r="324" spans="1:4" x14ac:dyDescent="0.25">
      <c r="A324" s="2">
        <f ca="1">IFERROR(__xludf.DUMMYFUNCTION("""COMPUTED_VALUE"""),44848.6458333333)</f>
        <v>44848.645833333299</v>
      </c>
      <c r="B324" s="1">
        <f ca="1">IFERROR(__xludf.DUMMYFUNCTION("""COMPUTED_VALUE"""),1474.25)</f>
        <v>1474.25</v>
      </c>
      <c r="C324" s="3">
        <f t="shared" ref="C324:C387" ca="1" si="10">(B324-B323)/B323</f>
        <v>3.8277343474892533E-2</v>
      </c>
      <c r="D324">
        <f t="shared" ca="1" si="9"/>
        <v>1485.5010204081634</v>
      </c>
    </row>
    <row r="325" spans="1:4" x14ac:dyDescent="0.25">
      <c r="A325" s="2">
        <f ca="1">IFERROR(__xludf.DUMMYFUNCTION("""COMPUTED_VALUE"""),44851.6458333333)</f>
        <v>44851.645833333299</v>
      </c>
      <c r="B325" s="1">
        <f ca="1">IFERROR(__xludf.DUMMYFUNCTION("""COMPUTED_VALUE"""),1489.95)</f>
        <v>1489.95</v>
      </c>
      <c r="C325" s="3">
        <f t="shared" ca="1" si="10"/>
        <v>1.0649482787858263E-2</v>
      </c>
      <c r="D325">
        <f t="shared" ca="1" si="9"/>
        <v>1483.9336734693877</v>
      </c>
    </row>
    <row r="326" spans="1:4" x14ac:dyDescent="0.25">
      <c r="A326" s="2">
        <f ca="1">IFERROR(__xludf.DUMMYFUNCTION("""COMPUTED_VALUE"""),44852.6458333333)</f>
        <v>44852.645833333299</v>
      </c>
      <c r="B326" s="1">
        <f ca="1">IFERROR(__xludf.DUMMYFUNCTION("""COMPUTED_VALUE"""),1503.7)</f>
        <v>1503.7</v>
      </c>
      <c r="C326" s="3">
        <f t="shared" ca="1" si="10"/>
        <v>9.2284976005906228E-3</v>
      </c>
      <c r="D326">
        <f t="shared" ca="1" si="9"/>
        <v>1482.8387755102042</v>
      </c>
    </row>
    <row r="327" spans="1:4" x14ac:dyDescent="0.25">
      <c r="A327" s="2">
        <f ca="1">IFERROR(__xludf.DUMMYFUNCTION("""COMPUTED_VALUE"""),44853.6458333333)</f>
        <v>44853.645833333299</v>
      </c>
      <c r="B327" s="1">
        <f ca="1">IFERROR(__xludf.DUMMYFUNCTION("""COMPUTED_VALUE"""),1485.45)</f>
        <v>1485.45</v>
      </c>
      <c r="C327" s="3">
        <f t="shared" ca="1" si="10"/>
        <v>-1.2136729400811331E-2</v>
      </c>
      <c r="D327">
        <f t="shared" ca="1" si="9"/>
        <v>1481.5653061224489</v>
      </c>
    </row>
    <row r="328" spans="1:4" x14ac:dyDescent="0.25">
      <c r="A328" s="2">
        <f ca="1">IFERROR(__xludf.DUMMYFUNCTION("""COMPUTED_VALUE"""),44854.6458333333)</f>
        <v>44854.645833333299</v>
      </c>
      <c r="B328" s="1">
        <f ca="1">IFERROR(__xludf.DUMMYFUNCTION("""COMPUTED_VALUE"""),1500.9)</f>
        <v>1500.9</v>
      </c>
      <c r="C328" s="3">
        <f t="shared" ca="1" si="10"/>
        <v>1.0400888619610249E-2</v>
      </c>
      <c r="D328">
        <f t="shared" ca="1" si="9"/>
        <v>1479.2295918367347</v>
      </c>
    </row>
    <row r="329" spans="1:4" x14ac:dyDescent="0.25">
      <c r="A329" s="2">
        <f ca="1">IFERROR(__xludf.DUMMYFUNCTION("""COMPUTED_VALUE"""),44855.6458333333)</f>
        <v>44855.645833333299</v>
      </c>
      <c r="B329" s="1">
        <f ca="1">IFERROR(__xludf.DUMMYFUNCTION("""COMPUTED_VALUE"""),1500.5)</f>
        <v>1500.5</v>
      </c>
      <c r="C329" s="3">
        <f t="shared" ca="1" si="10"/>
        <v>-2.6650676260916181E-4</v>
      </c>
      <c r="D329">
        <f t="shared" ca="1" si="9"/>
        <v>1476.8673469387752</v>
      </c>
    </row>
    <row r="330" spans="1:4" x14ac:dyDescent="0.25">
      <c r="A330" s="2">
        <f ca="1">IFERROR(__xludf.DUMMYFUNCTION("""COMPUTED_VALUE"""),44859.6458333333)</f>
        <v>44859.645833333299</v>
      </c>
      <c r="B330" s="1">
        <f ca="1">IFERROR(__xludf.DUMMYFUNCTION("""COMPUTED_VALUE"""),1526.3)</f>
        <v>1526.3</v>
      </c>
      <c r="C330" s="3">
        <f t="shared" ca="1" si="10"/>
        <v>1.7194268577140924E-2</v>
      </c>
      <c r="D330">
        <f t="shared" ca="1" si="9"/>
        <v>1474.4408163265307</v>
      </c>
    </row>
    <row r="331" spans="1:4" x14ac:dyDescent="0.25">
      <c r="A331" s="2">
        <f ca="1">IFERROR(__xludf.DUMMYFUNCTION("""COMPUTED_VALUE"""),44861.6458333333)</f>
        <v>44861.645833333299</v>
      </c>
      <c r="B331" s="1">
        <f ca="1">IFERROR(__xludf.DUMMYFUNCTION("""COMPUTED_VALUE"""),1523.95)</f>
        <v>1523.95</v>
      </c>
      <c r="C331" s="3">
        <f t="shared" ca="1" si="10"/>
        <v>-1.5396711000458031E-3</v>
      </c>
      <c r="D331">
        <f t="shared" ca="1" si="9"/>
        <v>1472.8867346938775</v>
      </c>
    </row>
    <row r="332" spans="1:4" x14ac:dyDescent="0.25">
      <c r="A332" s="2">
        <f ca="1">IFERROR(__xludf.DUMMYFUNCTION("""COMPUTED_VALUE"""),44862.6458333333)</f>
        <v>44862.645833333299</v>
      </c>
      <c r="B332" s="1">
        <f ca="1">IFERROR(__xludf.DUMMYFUNCTION("""COMPUTED_VALUE"""),1513.25)</f>
        <v>1513.25</v>
      </c>
      <c r="C332" s="3">
        <f t="shared" ca="1" si="10"/>
        <v>-7.0212277305686174E-3</v>
      </c>
      <c r="D332">
        <f t="shared" ca="1" si="9"/>
        <v>1470.9275510204081</v>
      </c>
    </row>
    <row r="333" spans="1:4" x14ac:dyDescent="0.25">
      <c r="A333" s="2">
        <f ca="1">IFERROR(__xludf.DUMMYFUNCTION("""COMPUTED_VALUE"""),44865.6458333333)</f>
        <v>44865.645833333299</v>
      </c>
      <c r="B333" s="1">
        <f ca="1">IFERROR(__xludf.DUMMYFUNCTION("""COMPUTED_VALUE"""),1537.65)</f>
        <v>1537.65</v>
      </c>
      <c r="C333" s="3">
        <f t="shared" ca="1" si="10"/>
        <v>1.6124235916074734E-2</v>
      </c>
      <c r="D333">
        <f t="shared" ca="1" si="9"/>
        <v>1469.2775510204081</v>
      </c>
    </row>
    <row r="334" spans="1:4" x14ac:dyDescent="0.25">
      <c r="A334" s="2">
        <f ca="1">IFERROR(__xludf.DUMMYFUNCTION("""COMPUTED_VALUE"""),44866.6458333333)</f>
        <v>44866.645833333299</v>
      </c>
      <c r="B334" s="1">
        <f ca="1">IFERROR(__xludf.DUMMYFUNCTION("""COMPUTED_VALUE"""),1573)</f>
        <v>1573</v>
      </c>
      <c r="C334" s="3">
        <f t="shared" ca="1" si="10"/>
        <v>2.2989627028257346E-2</v>
      </c>
      <c r="D334">
        <f t="shared" ca="1" si="9"/>
        <v>1468.077551020408</v>
      </c>
    </row>
    <row r="335" spans="1:4" x14ac:dyDescent="0.25">
      <c r="A335" s="2">
        <f ca="1">IFERROR(__xludf.DUMMYFUNCTION("""COMPUTED_VALUE"""),44867.6458333333)</f>
        <v>44867.645833333299</v>
      </c>
      <c r="B335" s="1">
        <f ca="1">IFERROR(__xludf.DUMMYFUNCTION("""COMPUTED_VALUE"""),1553.3)</f>
        <v>1553.3</v>
      </c>
      <c r="C335" s="3">
        <f t="shared" ca="1" si="10"/>
        <v>-1.2523839796567099E-2</v>
      </c>
      <c r="D335">
        <f t="shared" ca="1" si="9"/>
        <v>1467.3989795918365</v>
      </c>
    </row>
    <row r="336" spans="1:4" x14ac:dyDescent="0.25">
      <c r="A336" s="2">
        <f ca="1">IFERROR(__xludf.DUMMYFUNCTION("""COMPUTED_VALUE"""),44868.6458333333)</f>
        <v>44868.645833333299</v>
      </c>
      <c r="B336" s="1">
        <f ca="1">IFERROR(__xludf.DUMMYFUNCTION("""COMPUTED_VALUE"""),1530.75)</f>
        <v>1530.75</v>
      </c>
      <c r="C336" s="3">
        <f t="shared" ca="1" si="10"/>
        <v>-1.4517478915856535E-2</v>
      </c>
      <c r="D336">
        <f t="shared" ca="1" si="9"/>
        <v>1466.7938775510204</v>
      </c>
    </row>
    <row r="337" spans="1:4" x14ac:dyDescent="0.25">
      <c r="A337" s="2">
        <f ca="1">IFERROR(__xludf.DUMMYFUNCTION("""COMPUTED_VALUE"""),44869.6458333333)</f>
        <v>44869.645833333299</v>
      </c>
      <c r="B337" s="1">
        <f ca="1">IFERROR(__xludf.DUMMYFUNCTION("""COMPUTED_VALUE"""),1514)</f>
        <v>1514</v>
      </c>
      <c r="C337" s="3">
        <f t="shared" ca="1" si="10"/>
        <v>-1.0942348521966357E-2</v>
      </c>
      <c r="D337">
        <f t="shared" ca="1" si="9"/>
        <v>1465.4397959183675</v>
      </c>
    </row>
    <row r="338" spans="1:4" x14ac:dyDescent="0.25">
      <c r="A338" s="2">
        <f ca="1">IFERROR(__xludf.DUMMYFUNCTION("""COMPUTED_VALUE"""),44872.6458333333)</f>
        <v>44872.645833333299</v>
      </c>
      <c r="B338" s="1">
        <f ca="1">IFERROR(__xludf.DUMMYFUNCTION("""COMPUTED_VALUE"""),1507.45)</f>
        <v>1507.45</v>
      </c>
      <c r="C338" s="3">
        <f t="shared" ca="1" si="10"/>
        <v>-4.3262879788639064E-3</v>
      </c>
      <c r="D338">
        <f t="shared" ca="1" si="9"/>
        <v>1464.1816326530611</v>
      </c>
    </row>
    <row r="339" spans="1:4" x14ac:dyDescent="0.25">
      <c r="A339" s="2">
        <f ca="1">IFERROR(__xludf.DUMMYFUNCTION("""COMPUTED_VALUE"""),44874.6458333333)</f>
        <v>44874.645833333299</v>
      </c>
      <c r="B339" s="1">
        <f ca="1">IFERROR(__xludf.DUMMYFUNCTION("""COMPUTED_VALUE"""),1511.2)</f>
        <v>1511.2</v>
      </c>
      <c r="C339" s="3">
        <f t="shared" ca="1" si="10"/>
        <v>2.4876446979999337E-3</v>
      </c>
      <c r="D339">
        <f t="shared" ca="1" si="9"/>
        <v>1463.4683673469387</v>
      </c>
    </row>
    <row r="340" spans="1:4" x14ac:dyDescent="0.25">
      <c r="A340" s="2">
        <f ca="1">IFERROR(__xludf.DUMMYFUNCTION("""COMPUTED_VALUE"""),44875.6458333333)</f>
        <v>44875.645833333299</v>
      </c>
      <c r="B340" s="1">
        <f ca="1">IFERROR(__xludf.DUMMYFUNCTION("""COMPUTED_VALUE"""),1501.95)</f>
        <v>1501.95</v>
      </c>
      <c r="C340" s="3">
        <f t="shared" ca="1" si="10"/>
        <v>-6.1209634727368975E-3</v>
      </c>
      <c r="D340">
        <f t="shared" ca="1" si="9"/>
        <v>1462.9316326530609</v>
      </c>
    </row>
    <row r="341" spans="1:4" x14ac:dyDescent="0.25">
      <c r="A341" s="2">
        <f ca="1">IFERROR(__xludf.DUMMYFUNCTION("""COMPUTED_VALUE"""),44876.6458333333)</f>
        <v>44876.645833333299</v>
      </c>
      <c r="B341" s="1">
        <f ca="1">IFERROR(__xludf.DUMMYFUNCTION("""COMPUTED_VALUE"""),1570.1)</f>
        <v>1570.1</v>
      </c>
      <c r="C341" s="3">
        <f t="shared" ca="1" si="10"/>
        <v>4.5374346682645804E-2</v>
      </c>
      <c r="D341">
        <f t="shared" ca="1" si="9"/>
        <v>1462.6010204081631</v>
      </c>
    </row>
    <row r="342" spans="1:4" x14ac:dyDescent="0.25">
      <c r="A342" s="2">
        <f ca="1">IFERROR(__xludf.DUMMYFUNCTION("""COMPUTED_VALUE"""),44879.6458333333)</f>
        <v>44879.645833333299</v>
      </c>
      <c r="B342" s="1">
        <f ca="1">IFERROR(__xludf.DUMMYFUNCTION("""COMPUTED_VALUE"""),1585.3)</f>
        <v>1585.3</v>
      </c>
      <c r="C342" s="3">
        <f t="shared" ca="1" si="10"/>
        <v>9.6809120438188945E-3</v>
      </c>
      <c r="D342">
        <f t="shared" ca="1" si="9"/>
        <v>1463.5918367346935</v>
      </c>
    </row>
    <row r="343" spans="1:4" x14ac:dyDescent="0.25">
      <c r="A343" s="2">
        <f ca="1">IFERROR(__xludf.DUMMYFUNCTION("""COMPUTED_VALUE"""),44880.6458333333)</f>
        <v>44880.645833333299</v>
      </c>
      <c r="B343" s="1">
        <f ca="1">IFERROR(__xludf.DUMMYFUNCTION("""COMPUTED_VALUE"""),1594)</f>
        <v>1594</v>
      </c>
      <c r="C343" s="3">
        <f t="shared" ca="1" si="10"/>
        <v>5.4879202674572927E-3</v>
      </c>
      <c r="D343">
        <f t="shared" ca="1" si="9"/>
        <v>1466.1132653061225</v>
      </c>
    </row>
    <row r="344" spans="1:4" x14ac:dyDescent="0.25">
      <c r="A344" s="2">
        <f ca="1">IFERROR(__xludf.DUMMYFUNCTION("""COMPUTED_VALUE"""),44881.6458333333)</f>
        <v>44881.645833333299</v>
      </c>
      <c r="B344" s="1">
        <f ca="1">IFERROR(__xludf.DUMMYFUNCTION("""COMPUTED_VALUE"""),1602.8)</f>
        <v>1602.8</v>
      </c>
      <c r="C344" s="3">
        <f t="shared" ca="1" si="10"/>
        <v>5.5207026348807744E-3</v>
      </c>
      <c r="D344">
        <f t="shared" ca="1" si="9"/>
        <v>1468.1755102040818</v>
      </c>
    </row>
    <row r="345" spans="1:4" x14ac:dyDescent="0.25">
      <c r="A345" s="2">
        <f ca="1">IFERROR(__xludf.DUMMYFUNCTION("""COMPUTED_VALUE"""),44882.6458333333)</f>
        <v>44882.645833333299</v>
      </c>
      <c r="B345" s="1">
        <f ca="1">IFERROR(__xludf.DUMMYFUNCTION("""COMPUTED_VALUE"""),1587.4)</f>
        <v>1587.4</v>
      </c>
      <c r="C345" s="3">
        <f t="shared" ca="1" si="10"/>
        <v>-9.6081856750685445E-3</v>
      </c>
      <c r="D345">
        <f t="shared" ca="1" si="9"/>
        <v>1471.0040816326532</v>
      </c>
    </row>
    <row r="346" spans="1:4" x14ac:dyDescent="0.25">
      <c r="A346" s="2">
        <f ca="1">IFERROR(__xludf.DUMMYFUNCTION("""COMPUTED_VALUE"""),44883.6458333333)</f>
        <v>44883.645833333299</v>
      </c>
      <c r="B346" s="1">
        <f ca="1">IFERROR(__xludf.DUMMYFUNCTION("""COMPUTED_VALUE"""),1593.4)</f>
        <v>1593.4</v>
      </c>
      <c r="C346" s="3">
        <f t="shared" ca="1" si="10"/>
        <v>3.779765654529419E-3</v>
      </c>
      <c r="D346">
        <f t="shared" ca="1" si="9"/>
        <v>1473.74693877551</v>
      </c>
    </row>
    <row r="347" spans="1:4" x14ac:dyDescent="0.25">
      <c r="A347" s="2">
        <f ca="1">IFERROR(__xludf.DUMMYFUNCTION("""COMPUTED_VALUE"""),44886.6458333333)</f>
        <v>44886.645833333299</v>
      </c>
      <c r="B347" s="1">
        <f ca="1">IFERROR(__xludf.DUMMYFUNCTION("""COMPUTED_VALUE"""),1568.2)</f>
        <v>1568.2</v>
      </c>
      <c r="C347" s="3">
        <f t="shared" ca="1" si="10"/>
        <v>-1.5815237856156673E-2</v>
      </c>
      <c r="D347">
        <f t="shared" ca="1" si="9"/>
        <v>1476.4428571428568</v>
      </c>
    </row>
    <row r="348" spans="1:4" x14ac:dyDescent="0.25">
      <c r="A348" s="2">
        <f ca="1">IFERROR(__xludf.DUMMYFUNCTION("""COMPUTED_VALUE"""),44887.6458333333)</f>
        <v>44887.645833333299</v>
      </c>
      <c r="B348" s="1">
        <f ca="1">IFERROR(__xludf.DUMMYFUNCTION("""COMPUTED_VALUE"""),1585.05)</f>
        <v>1585.05</v>
      </c>
      <c r="C348" s="3">
        <f t="shared" ca="1" si="10"/>
        <v>1.0744802958806216E-2</v>
      </c>
      <c r="D348">
        <f t="shared" ca="1" si="9"/>
        <v>1478.751020408163</v>
      </c>
    </row>
    <row r="349" spans="1:4" x14ac:dyDescent="0.25">
      <c r="A349" s="2">
        <f ca="1">IFERROR(__xludf.DUMMYFUNCTION("""COMPUTED_VALUE"""),44888.6458333333)</f>
        <v>44888.645833333299</v>
      </c>
      <c r="B349" s="1">
        <f ca="1">IFERROR(__xludf.DUMMYFUNCTION("""COMPUTED_VALUE"""),1583.15)</f>
        <v>1583.15</v>
      </c>
      <c r="C349" s="3">
        <f t="shared" ca="1" si="10"/>
        <v>-1.1987003564555463E-3</v>
      </c>
      <c r="D349">
        <f t="shared" ca="1" si="9"/>
        <v>1481.3510204081629</v>
      </c>
    </row>
    <row r="350" spans="1:4" x14ac:dyDescent="0.25">
      <c r="A350" s="2">
        <f ca="1">IFERROR(__xludf.DUMMYFUNCTION("""COMPUTED_VALUE"""),44889.6458333333)</f>
        <v>44889.645833333299</v>
      </c>
      <c r="B350" s="1">
        <f ca="1">IFERROR(__xludf.DUMMYFUNCTION("""COMPUTED_VALUE"""),1629.8)</f>
        <v>1629.8</v>
      </c>
      <c r="C350" s="3">
        <f t="shared" ca="1" si="10"/>
        <v>2.9466569813346721E-2</v>
      </c>
      <c r="D350">
        <f t="shared" ca="1" si="9"/>
        <v>1483.5397959183672</v>
      </c>
    </row>
    <row r="351" spans="1:4" x14ac:dyDescent="0.25">
      <c r="A351" s="2">
        <f ca="1">IFERROR(__xludf.DUMMYFUNCTION("""COMPUTED_VALUE"""),44890.6458333333)</f>
        <v>44890.645833333299</v>
      </c>
      <c r="B351" s="1">
        <f ca="1">IFERROR(__xludf.DUMMYFUNCTION("""COMPUTED_VALUE"""),1635.65)</f>
        <v>1635.65</v>
      </c>
      <c r="C351" s="3">
        <f t="shared" ca="1" si="10"/>
        <v>3.5893974720825478E-3</v>
      </c>
      <c r="D351">
        <f t="shared" ca="1" si="9"/>
        <v>1485.9510204081635</v>
      </c>
    </row>
    <row r="352" spans="1:4" x14ac:dyDescent="0.25">
      <c r="A352" s="2">
        <f ca="1">IFERROR(__xludf.DUMMYFUNCTION("""COMPUTED_VALUE"""),44893.6458333333)</f>
        <v>44893.645833333299</v>
      </c>
      <c r="B352" s="1">
        <f ca="1">IFERROR(__xludf.DUMMYFUNCTION("""COMPUTED_VALUE"""),1623.4)</f>
        <v>1623.4</v>
      </c>
      <c r="C352" s="3">
        <f t="shared" ca="1" si="10"/>
        <v>-7.489377311772078E-3</v>
      </c>
      <c r="D352">
        <f t="shared" ca="1" si="9"/>
        <v>1487.8020408163266</v>
      </c>
    </row>
    <row r="353" spans="1:4" x14ac:dyDescent="0.25">
      <c r="A353" s="2">
        <f ca="1">IFERROR(__xludf.DUMMYFUNCTION("""COMPUTED_VALUE"""),44894.6458333333)</f>
        <v>44894.645833333299</v>
      </c>
      <c r="B353" s="1">
        <f ca="1">IFERROR(__xludf.DUMMYFUNCTION("""COMPUTED_VALUE"""),1629.05)</f>
        <v>1629.05</v>
      </c>
      <c r="C353" s="3">
        <f t="shared" ca="1" si="10"/>
        <v>3.4803498829616012E-3</v>
      </c>
      <c r="D353">
        <f t="shared" ca="1" si="9"/>
        <v>1490.8224489795916</v>
      </c>
    </row>
    <row r="354" spans="1:4" x14ac:dyDescent="0.25">
      <c r="A354" s="2">
        <f ca="1">IFERROR(__xludf.DUMMYFUNCTION("""COMPUTED_VALUE"""),44895.6458333333)</f>
        <v>44895.645833333299</v>
      </c>
      <c r="B354" s="1">
        <f ca="1">IFERROR(__xludf.DUMMYFUNCTION("""COMPUTED_VALUE"""),1634.95)</f>
        <v>1634.95</v>
      </c>
      <c r="C354" s="3">
        <f t="shared" ca="1" si="10"/>
        <v>3.6217427334950376E-3</v>
      </c>
      <c r="D354">
        <f t="shared" ca="1" si="9"/>
        <v>1494.8275510204082</v>
      </c>
    </row>
    <row r="355" spans="1:4" x14ac:dyDescent="0.25">
      <c r="A355" s="2">
        <f ca="1">IFERROR(__xludf.DUMMYFUNCTION("""COMPUTED_VALUE"""),44896.6458333333)</f>
        <v>44896.645833333299</v>
      </c>
      <c r="B355" s="1">
        <f ca="1">IFERROR(__xludf.DUMMYFUNCTION("""COMPUTED_VALUE"""),1657.1)</f>
        <v>1657.1</v>
      </c>
      <c r="C355" s="3">
        <f t="shared" ca="1" si="10"/>
        <v>1.3547814917887313E-2</v>
      </c>
      <c r="D355">
        <f t="shared" ca="1" si="9"/>
        <v>1500.0908163265306</v>
      </c>
    </row>
    <row r="356" spans="1:4" x14ac:dyDescent="0.25">
      <c r="A356" s="2">
        <f ca="1">IFERROR(__xludf.DUMMYFUNCTION("""COMPUTED_VALUE"""),44897.6458333333)</f>
        <v>44897.645833333299</v>
      </c>
      <c r="B356" s="1">
        <f ca="1">IFERROR(__xludf.DUMMYFUNCTION("""COMPUTED_VALUE"""),1637.9)</f>
        <v>1637.9</v>
      </c>
      <c r="C356" s="3">
        <f t="shared" ca="1" si="10"/>
        <v>-1.1586506547583019E-2</v>
      </c>
      <c r="D356">
        <f t="shared" ca="1" si="9"/>
        <v>1505.5357142857142</v>
      </c>
    </row>
    <row r="357" spans="1:4" x14ac:dyDescent="0.25">
      <c r="A357" s="2">
        <f ca="1">IFERROR(__xludf.DUMMYFUNCTION("""COMPUTED_VALUE"""),44900.6458333333)</f>
        <v>44900.645833333299</v>
      </c>
      <c r="B357" s="1">
        <f ca="1">IFERROR(__xludf.DUMMYFUNCTION("""COMPUTED_VALUE"""),1639.75)</f>
        <v>1639.75</v>
      </c>
      <c r="C357" s="3">
        <f t="shared" ca="1" si="10"/>
        <v>1.1294950851699793E-3</v>
      </c>
      <c r="D357">
        <f t="shared" ca="1" si="9"/>
        <v>1510.6244897959184</v>
      </c>
    </row>
    <row r="358" spans="1:4" x14ac:dyDescent="0.25">
      <c r="A358" s="2">
        <f ca="1">IFERROR(__xludf.DUMMYFUNCTION("""COMPUTED_VALUE"""),44901.6458333333)</f>
        <v>44901.645833333299</v>
      </c>
      <c r="B358" s="1">
        <f ca="1">IFERROR(__xludf.DUMMYFUNCTION("""COMPUTED_VALUE"""),1612.9)</f>
        <v>1612.9</v>
      </c>
      <c r="C358" s="3">
        <f t="shared" ca="1" si="10"/>
        <v>-1.6374447324287184E-2</v>
      </c>
      <c r="D358">
        <f t="shared" ca="1" si="9"/>
        <v>1515.9816326530613</v>
      </c>
    </row>
    <row r="359" spans="1:4" x14ac:dyDescent="0.25">
      <c r="A359" s="2">
        <f ca="1">IFERROR(__xludf.DUMMYFUNCTION("""COMPUTED_VALUE"""),44902.6458333333)</f>
        <v>44902.645833333299</v>
      </c>
      <c r="B359" s="1">
        <f ca="1">IFERROR(__xludf.DUMMYFUNCTION("""COMPUTED_VALUE"""),1605.5)</f>
        <v>1605.5</v>
      </c>
      <c r="C359" s="3">
        <f t="shared" ca="1" si="10"/>
        <v>-4.5880091760184078E-3</v>
      </c>
      <c r="D359">
        <f t="shared" ca="1" si="9"/>
        <v>1520.9806122448981</v>
      </c>
    </row>
    <row r="360" spans="1:4" x14ac:dyDescent="0.25">
      <c r="A360" s="2">
        <f ca="1">IFERROR(__xludf.DUMMYFUNCTION("""COMPUTED_VALUE"""),44903.6458333333)</f>
        <v>44903.645833333299</v>
      </c>
      <c r="B360" s="1">
        <f ca="1">IFERROR(__xludf.DUMMYFUNCTION("""COMPUTED_VALUE"""),1620.15)</f>
        <v>1620.15</v>
      </c>
      <c r="C360" s="3">
        <f t="shared" ca="1" si="10"/>
        <v>9.1248832139520959E-3</v>
      </c>
      <c r="D360">
        <f t="shared" ca="1" si="9"/>
        <v>1525.8795918367348</v>
      </c>
    </row>
    <row r="361" spans="1:4" x14ac:dyDescent="0.25">
      <c r="A361" s="2">
        <f ca="1">IFERROR(__xludf.DUMMYFUNCTION("""COMPUTED_VALUE"""),44904.6458333333)</f>
        <v>44904.645833333299</v>
      </c>
      <c r="B361" s="1">
        <f ca="1">IFERROR(__xludf.DUMMYFUNCTION("""COMPUTED_VALUE"""),1569.3)</f>
        <v>1569.3</v>
      </c>
      <c r="C361" s="3">
        <f t="shared" ca="1" si="10"/>
        <v>-3.1385982779372365E-2</v>
      </c>
      <c r="D361">
        <f t="shared" ca="1" si="9"/>
        <v>1530.7755102040817</v>
      </c>
    </row>
    <row r="362" spans="1:4" x14ac:dyDescent="0.25">
      <c r="A362" s="2">
        <f ca="1">IFERROR(__xludf.DUMMYFUNCTION("""COMPUTED_VALUE"""),44907.6458333333)</f>
        <v>44907.645833333299</v>
      </c>
      <c r="B362" s="1">
        <f ca="1">IFERROR(__xludf.DUMMYFUNCTION("""COMPUTED_VALUE"""),1547.2)</f>
        <v>1547.2</v>
      </c>
      <c r="C362" s="3">
        <f t="shared" ca="1" si="10"/>
        <v>-1.4082712037213986E-2</v>
      </c>
      <c r="D362">
        <f t="shared" ca="1" si="9"/>
        <v>1534.3622448979593</v>
      </c>
    </row>
    <row r="363" spans="1:4" x14ac:dyDescent="0.25">
      <c r="A363" s="2">
        <f ca="1">IFERROR(__xludf.DUMMYFUNCTION("""COMPUTED_VALUE"""),44908.6458333333)</f>
        <v>44908.645833333299</v>
      </c>
      <c r="B363" s="1">
        <f ca="1">IFERROR(__xludf.DUMMYFUNCTION("""COMPUTED_VALUE"""),1572.15)</f>
        <v>1572.15</v>
      </c>
      <c r="C363" s="3">
        <f t="shared" ca="1" si="10"/>
        <v>1.6125904860392996E-2</v>
      </c>
      <c r="D363">
        <f t="shared" ca="1" si="9"/>
        <v>1537.4744897959183</v>
      </c>
    </row>
    <row r="364" spans="1:4" x14ac:dyDescent="0.25">
      <c r="A364" s="2">
        <f ca="1">IFERROR(__xludf.DUMMYFUNCTION("""COMPUTED_VALUE"""),44909.6458333333)</f>
        <v>44909.645833333299</v>
      </c>
      <c r="B364" s="1">
        <f ca="1">IFERROR(__xludf.DUMMYFUNCTION("""COMPUTED_VALUE"""),1579.4)</f>
        <v>1579.4</v>
      </c>
      <c r="C364" s="3">
        <f t="shared" ca="1" si="10"/>
        <v>4.6115192570683455E-3</v>
      </c>
      <c r="D364">
        <f t="shared" ca="1" si="9"/>
        <v>1541.0153061224489</v>
      </c>
    </row>
    <row r="365" spans="1:4" x14ac:dyDescent="0.25">
      <c r="A365" s="2">
        <f ca="1">IFERROR(__xludf.DUMMYFUNCTION("""COMPUTED_VALUE"""),44910.6458333333)</f>
        <v>44910.645833333299</v>
      </c>
      <c r="B365" s="1">
        <f ca="1">IFERROR(__xludf.DUMMYFUNCTION("""COMPUTED_VALUE"""),1540.5)</f>
        <v>1540.5</v>
      </c>
      <c r="C365" s="3">
        <f t="shared" ca="1" si="10"/>
        <v>-2.4629606179561916E-2</v>
      </c>
      <c r="D365">
        <f t="shared" ca="1" si="9"/>
        <v>1544.4020408163265</v>
      </c>
    </row>
    <row r="366" spans="1:4" x14ac:dyDescent="0.25">
      <c r="A366" s="2">
        <f ca="1">IFERROR(__xludf.DUMMYFUNCTION("""COMPUTED_VALUE"""),44911.6458333333)</f>
        <v>44911.645833333299</v>
      </c>
      <c r="B366" s="1">
        <f ca="1">IFERROR(__xludf.DUMMYFUNCTION("""COMPUTED_VALUE"""),1522.2)</f>
        <v>1522.2</v>
      </c>
      <c r="C366" s="3">
        <f t="shared" ca="1" si="10"/>
        <v>-1.1879259980525773E-2</v>
      </c>
      <c r="D366">
        <f t="shared" ca="1" si="9"/>
        <v>1547.3969387755101</v>
      </c>
    </row>
    <row r="367" spans="1:4" x14ac:dyDescent="0.25">
      <c r="A367" s="2">
        <f ca="1">IFERROR(__xludf.DUMMYFUNCTION("""COMPUTED_VALUE"""),44914.6458333333)</f>
        <v>44914.645833333299</v>
      </c>
      <c r="B367" s="1">
        <f ca="1">IFERROR(__xludf.DUMMYFUNCTION("""COMPUTED_VALUE"""),1507.35)</f>
        <v>1507.35</v>
      </c>
      <c r="C367" s="3">
        <f t="shared" ca="1" si="10"/>
        <v>-9.7556168703193634E-3</v>
      </c>
      <c r="D367">
        <f t="shared" ca="1" si="9"/>
        <v>1549.2908163265306</v>
      </c>
    </row>
    <row r="368" spans="1:4" x14ac:dyDescent="0.25">
      <c r="A368" s="2">
        <f ca="1">IFERROR(__xludf.DUMMYFUNCTION("""COMPUTED_VALUE"""),44915.6458333333)</f>
        <v>44915.645833333299</v>
      </c>
      <c r="B368" s="1">
        <f ca="1">IFERROR(__xludf.DUMMYFUNCTION("""COMPUTED_VALUE"""),1507.3)</f>
        <v>1507.3</v>
      </c>
      <c r="C368" s="3">
        <f t="shared" ca="1" si="10"/>
        <v>-3.3170796430792134E-5</v>
      </c>
      <c r="D368">
        <f t="shared" ca="1" si="9"/>
        <v>1550.3561224489799</v>
      </c>
    </row>
    <row r="369" spans="1:4" x14ac:dyDescent="0.25">
      <c r="A369" s="2">
        <f ca="1">IFERROR(__xludf.DUMMYFUNCTION("""COMPUTED_VALUE"""),44916.6458333333)</f>
        <v>44916.645833333299</v>
      </c>
      <c r="B369" s="1">
        <f ca="1">IFERROR(__xludf.DUMMYFUNCTION("""COMPUTED_VALUE"""),1509.55)</f>
        <v>1509.55</v>
      </c>
      <c r="C369" s="3">
        <f t="shared" ca="1" si="10"/>
        <v>1.4927353546075764E-3</v>
      </c>
      <c r="D369">
        <f t="shared" ca="1" si="9"/>
        <v>1551.5010204081636</v>
      </c>
    </row>
    <row r="370" spans="1:4" x14ac:dyDescent="0.25">
      <c r="A370" s="2">
        <f ca="1">IFERROR(__xludf.DUMMYFUNCTION("""COMPUTED_VALUE"""),44917.6458333333)</f>
        <v>44917.645833333299</v>
      </c>
      <c r="B370" s="1">
        <f ca="1">IFERROR(__xludf.DUMMYFUNCTION("""COMPUTED_VALUE"""),1522.05)</f>
        <v>1522.05</v>
      </c>
      <c r="C370" s="3">
        <f t="shared" ca="1" si="10"/>
        <v>8.2806134278427344E-3</v>
      </c>
      <c r="D370">
        <f t="shared" ca="1" si="9"/>
        <v>1552.4581632653067</v>
      </c>
    </row>
    <row r="371" spans="1:4" x14ac:dyDescent="0.25">
      <c r="A371" s="2">
        <f ca="1">IFERROR(__xludf.DUMMYFUNCTION("""COMPUTED_VALUE"""),44918.6458333333)</f>
        <v>44918.645833333299</v>
      </c>
      <c r="B371" s="1">
        <f ca="1">IFERROR(__xludf.DUMMYFUNCTION("""COMPUTED_VALUE"""),1497.1)</f>
        <v>1497.1</v>
      </c>
      <c r="C371" s="3">
        <f t="shared" ca="1" si="10"/>
        <v>-1.6392365559607141E-2</v>
      </c>
      <c r="D371">
        <f t="shared" ca="1" si="9"/>
        <v>1554.463265306123</v>
      </c>
    </row>
    <row r="372" spans="1:4" x14ac:dyDescent="0.25">
      <c r="A372" s="2">
        <f ca="1">IFERROR(__xludf.DUMMYFUNCTION("""COMPUTED_VALUE"""),44921.6458333333)</f>
        <v>44921.645833333299</v>
      </c>
      <c r="B372" s="1">
        <f ca="1">IFERROR(__xludf.DUMMYFUNCTION("""COMPUTED_VALUE"""),1502.4)</f>
        <v>1502.4</v>
      </c>
      <c r="C372" s="3">
        <f t="shared" ca="1" si="10"/>
        <v>3.5401776768420158E-3</v>
      </c>
      <c r="D372">
        <f t="shared" ref="D372:D435" ca="1" si="11">AVERAGE(B323:B371)</f>
        <v>1555.8591836734702</v>
      </c>
    </row>
    <row r="373" spans="1:4" x14ac:dyDescent="0.25">
      <c r="A373" s="2">
        <f ca="1">IFERROR(__xludf.DUMMYFUNCTION("""COMPUTED_VALUE"""),44922.6458333333)</f>
        <v>44922.645833333299</v>
      </c>
      <c r="B373" s="1">
        <f ca="1">IFERROR(__xludf.DUMMYFUNCTION("""COMPUTED_VALUE"""),1514.85)</f>
        <v>1514.85</v>
      </c>
      <c r="C373" s="3">
        <f t="shared" ca="1" si="10"/>
        <v>8.2867412140573866E-3</v>
      </c>
      <c r="D373">
        <f t="shared" ca="1" si="11"/>
        <v>1557.5428571428579</v>
      </c>
    </row>
    <row r="374" spans="1:4" x14ac:dyDescent="0.25">
      <c r="A374" s="2">
        <f ca="1">IFERROR(__xludf.DUMMYFUNCTION("""COMPUTED_VALUE"""),44923.6458333333)</f>
        <v>44923.645833333299</v>
      </c>
      <c r="B374" s="1">
        <f ca="1">IFERROR(__xludf.DUMMYFUNCTION("""COMPUTED_VALUE"""),1510.15)</f>
        <v>1510.15</v>
      </c>
      <c r="C374" s="3">
        <f t="shared" ca="1" si="10"/>
        <v>-3.1026174208666326E-3</v>
      </c>
      <c r="D374">
        <f t="shared" ca="1" si="11"/>
        <v>1558.3714285714293</v>
      </c>
    </row>
    <row r="375" spans="1:4" x14ac:dyDescent="0.25">
      <c r="A375" s="2">
        <f ca="1">IFERROR(__xludf.DUMMYFUNCTION("""COMPUTED_VALUE"""),44924.6458333333)</f>
        <v>44924.645833333299</v>
      </c>
      <c r="B375" s="1">
        <f ca="1">IFERROR(__xludf.DUMMYFUNCTION("""COMPUTED_VALUE"""),1517.55)</f>
        <v>1517.55</v>
      </c>
      <c r="C375" s="3">
        <f t="shared" ca="1" si="10"/>
        <v>4.9001754792569368E-3</v>
      </c>
      <c r="D375">
        <f t="shared" ca="1" si="11"/>
        <v>1558.7836734693883</v>
      </c>
    </row>
    <row r="376" spans="1:4" x14ac:dyDescent="0.25">
      <c r="A376" s="2">
        <f ca="1">IFERROR(__xludf.DUMMYFUNCTION("""COMPUTED_VALUE"""),44925.6458333333)</f>
        <v>44925.645833333299</v>
      </c>
      <c r="B376" s="1">
        <f ca="1">IFERROR(__xludf.DUMMYFUNCTION("""COMPUTED_VALUE"""),1508.2)</f>
        <v>1508.2</v>
      </c>
      <c r="C376" s="3">
        <f t="shared" ca="1" si="10"/>
        <v>-6.1612467464003881E-3</v>
      </c>
      <c r="D376">
        <f t="shared" ca="1" si="11"/>
        <v>1559.0663265306125</v>
      </c>
    </row>
    <row r="377" spans="1:4" x14ac:dyDescent="0.25">
      <c r="A377" s="2">
        <f ca="1">IFERROR(__xludf.DUMMYFUNCTION("""COMPUTED_VALUE"""),44928.6458333333)</f>
        <v>44928.645833333299</v>
      </c>
      <c r="B377" s="1">
        <f ca="1">IFERROR(__xludf.DUMMYFUNCTION("""COMPUTED_VALUE"""),1524)</f>
        <v>1524</v>
      </c>
      <c r="C377" s="3">
        <f t="shared" ca="1" si="10"/>
        <v>1.0476064182469137E-2</v>
      </c>
      <c r="D377">
        <f t="shared" ca="1" si="11"/>
        <v>1559.5306122448983</v>
      </c>
    </row>
    <row r="378" spans="1:4" x14ac:dyDescent="0.25">
      <c r="A378" s="2">
        <f ca="1">IFERROR(__xludf.DUMMYFUNCTION("""COMPUTED_VALUE"""),44929.6458333333)</f>
        <v>44929.645833333299</v>
      </c>
      <c r="B378" s="1">
        <f ca="1">IFERROR(__xludf.DUMMYFUNCTION("""COMPUTED_VALUE"""),1522.55)</f>
        <v>1522.55</v>
      </c>
      <c r="C378" s="3">
        <f t="shared" ca="1" si="10"/>
        <v>-9.5144356955383558E-4</v>
      </c>
      <c r="D378">
        <f t="shared" ca="1" si="11"/>
        <v>1560.0020408163266</v>
      </c>
    </row>
    <row r="379" spans="1:4" x14ac:dyDescent="0.25">
      <c r="A379" s="2">
        <f ca="1">IFERROR(__xludf.DUMMYFUNCTION("""COMPUTED_VALUE"""),44930.6458333333)</f>
        <v>44930.645833333299</v>
      </c>
      <c r="B379" s="1">
        <f ca="1">IFERROR(__xludf.DUMMYFUNCTION("""COMPUTED_VALUE"""),1494.8)</f>
        <v>1494.8</v>
      </c>
      <c r="C379" s="3">
        <f t="shared" ca="1" si="10"/>
        <v>-1.8226002430133659E-2</v>
      </c>
      <c r="D379">
        <f t="shared" ca="1" si="11"/>
        <v>1560.4520408163266</v>
      </c>
    </row>
    <row r="380" spans="1:4" x14ac:dyDescent="0.25">
      <c r="A380" s="2">
        <f ca="1">IFERROR(__xludf.DUMMYFUNCTION("""COMPUTED_VALUE"""),44931.6458333333)</f>
        <v>44931.645833333299</v>
      </c>
      <c r="B380" s="1">
        <f ca="1">IFERROR(__xludf.DUMMYFUNCTION("""COMPUTED_VALUE"""),1475.2)</f>
        <v>1475.2</v>
      </c>
      <c r="C380" s="3">
        <f t="shared" ca="1" si="10"/>
        <v>-1.3112122023013052E-2</v>
      </c>
      <c r="D380">
        <f t="shared" ca="1" si="11"/>
        <v>1559.8091836734698</v>
      </c>
    </row>
    <row r="381" spans="1:4" x14ac:dyDescent="0.25">
      <c r="A381" s="2">
        <f ca="1">IFERROR(__xludf.DUMMYFUNCTION("""COMPUTED_VALUE"""),44932.6458333333)</f>
        <v>44932.645833333299</v>
      </c>
      <c r="B381" s="1">
        <f ca="1">IFERROR(__xludf.DUMMYFUNCTION("""COMPUTED_VALUE"""),1448.5)</f>
        <v>1448.5</v>
      </c>
      <c r="C381" s="3">
        <f t="shared" ca="1" si="10"/>
        <v>-1.8099240780911092E-2</v>
      </c>
      <c r="D381">
        <f t="shared" ca="1" si="11"/>
        <v>1558.8142857142861</v>
      </c>
    </row>
    <row r="382" spans="1:4" x14ac:dyDescent="0.25">
      <c r="A382" s="2">
        <f ca="1">IFERROR(__xludf.DUMMYFUNCTION("""COMPUTED_VALUE"""),44935.6458333333)</f>
        <v>44935.645833333299</v>
      </c>
      <c r="B382" s="1">
        <f ca="1">IFERROR(__xludf.DUMMYFUNCTION("""COMPUTED_VALUE"""),1484.45)</f>
        <v>1484.45</v>
      </c>
      <c r="C382" s="3">
        <f t="shared" ca="1" si="10"/>
        <v>2.4818778046254777E-2</v>
      </c>
      <c r="D382">
        <f t="shared" ca="1" si="11"/>
        <v>1557.4928571428572</v>
      </c>
    </row>
    <row r="383" spans="1:4" x14ac:dyDescent="0.25">
      <c r="A383" s="2">
        <f ca="1">IFERROR(__xludf.DUMMYFUNCTION("""COMPUTED_VALUE"""),44936.6458333333)</f>
        <v>44936.645833333299</v>
      </c>
      <c r="B383" s="1">
        <f ca="1">IFERROR(__xludf.DUMMYFUNCTION("""COMPUTED_VALUE"""),1469.75)</f>
        <v>1469.75</v>
      </c>
      <c r="C383" s="3">
        <f t="shared" ca="1" si="10"/>
        <v>-9.9026575499343503E-3</v>
      </c>
      <c r="D383">
        <f t="shared" ca="1" si="11"/>
        <v>1556.4071428571431</v>
      </c>
    </row>
    <row r="384" spans="1:4" x14ac:dyDescent="0.25">
      <c r="A384" s="2">
        <f ca="1">IFERROR(__xludf.DUMMYFUNCTION("""COMPUTED_VALUE"""),44937.6458333333)</f>
        <v>44937.645833333299</v>
      </c>
      <c r="B384" s="1">
        <f ca="1">IFERROR(__xludf.DUMMYFUNCTION("""COMPUTED_VALUE"""),1471.25)</f>
        <v>1471.25</v>
      </c>
      <c r="C384" s="3">
        <f t="shared" ca="1" si="10"/>
        <v>1.0205817315870045E-3</v>
      </c>
      <c r="D384">
        <f t="shared" ca="1" si="11"/>
        <v>1554.3000000000006</v>
      </c>
    </row>
    <row r="385" spans="1:4" x14ac:dyDescent="0.25">
      <c r="A385" s="2">
        <f ca="1">IFERROR(__xludf.DUMMYFUNCTION("""COMPUTED_VALUE"""),44938.6458333333)</f>
        <v>44938.645833333299</v>
      </c>
      <c r="B385" s="1">
        <f ca="1">IFERROR(__xludf.DUMMYFUNCTION("""COMPUTED_VALUE"""),1480.6)</f>
        <v>1480.6</v>
      </c>
      <c r="C385" s="3">
        <f t="shared" ca="1" si="10"/>
        <v>6.3551401869158261E-3</v>
      </c>
      <c r="D385">
        <f t="shared" ca="1" si="11"/>
        <v>1552.6255102040818</v>
      </c>
    </row>
    <row r="386" spans="1:4" x14ac:dyDescent="0.25">
      <c r="A386" s="2">
        <f ca="1">IFERROR(__xludf.DUMMYFUNCTION("""COMPUTED_VALUE"""),44939.6458333333)</f>
        <v>44939.645833333299</v>
      </c>
      <c r="B386" s="1">
        <f ca="1">IFERROR(__xludf.DUMMYFUNCTION("""COMPUTED_VALUE"""),1503.65)</f>
        <v>1503.65</v>
      </c>
      <c r="C386" s="3">
        <f t="shared" ca="1" si="10"/>
        <v>1.5568012967715915E-2</v>
      </c>
      <c r="D386">
        <f t="shared" ca="1" si="11"/>
        <v>1551.6020408163267</v>
      </c>
    </row>
    <row r="387" spans="1:4" x14ac:dyDescent="0.25">
      <c r="A387" s="2">
        <f ca="1">IFERROR(__xludf.DUMMYFUNCTION("""COMPUTED_VALUE"""),44942.6458333333)</f>
        <v>44942.645833333299</v>
      </c>
      <c r="B387" s="1">
        <f ca="1">IFERROR(__xludf.DUMMYFUNCTION("""COMPUTED_VALUE"""),1525.5)</f>
        <v>1525.5</v>
      </c>
      <c r="C387" s="3">
        <f t="shared" ca="1" si="10"/>
        <v>1.4531307152595289E-2</v>
      </c>
      <c r="D387">
        <f t="shared" ca="1" si="11"/>
        <v>1551.3908163265307</v>
      </c>
    </row>
    <row r="388" spans="1:4" x14ac:dyDescent="0.25">
      <c r="A388" s="2">
        <f ca="1">IFERROR(__xludf.DUMMYFUNCTION("""COMPUTED_VALUE"""),44943.6458333333)</f>
        <v>44943.645833333299</v>
      </c>
      <c r="B388" s="1">
        <f ca="1">IFERROR(__xludf.DUMMYFUNCTION("""COMPUTED_VALUE"""),1539.5)</f>
        <v>1539.5</v>
      </c>
      <c r="C388" s="3">
        <f t="shared" ref="C388:C451" ca="1" si="12">(B388-B387)/B387</f>
        <v>9.1773189118321864E-3</v>
      </c>
      <c r="D388">
        <f t="shared" ca="1" si="11"/>
        <v>1551.7591836734696</v>
      </c>
    </row>
    <row r="389" spans="1:4" x14ac:dyDescent="0.25">
      <c r="A389" s="2">
        <f ca="1">IFERROR(__xludf.DUMMYFUNCTION("""COMPUTED_VALUE"""),44944.6458333333)</f>
        <v>44944.645833333299</v>
      </c>
      <c r="B389" s="1">
        <f ca="1">IFERROR(__xludf.DUMMYFUNCTION("""COMPUTED_VALUE"""),1545.4)</f>
        <v>1545.4</v>
      </c>
      <c r="C389" s="3">
        <f t="shared" ca="1" si="12"/>
        <v>3.8324131211432875E-3</v>
      </c>
      <c r="D389">
        <f t="shared" ca="1" si="11"/>
        <v>1552.3367346938778</v>
      </c>
    </row>
    <row r="390" spans="1:4" x14ac:dyDescent="0.25">
      <c r="A390" s="2">
        <f ca="1">IFERROR(__xludf.DUMMYFUNCTION("""COMPUTED_VALUE"""),44945.6458333333)</f>
        <v>44945.645833333299</v>
      </c>
      <c r="B390" s="1">
        <f ca="1">IFERROR(__xludf.DUMMYFUNCTION("""COMPUTED_VALUE"""),1538.9)</f>
        <v>1538.9</v>
      </c>
      <c r="C390" s="3">
        <f t="shared" ca="1" si="12"/>
        <v>-4.2060308010870972E-3</v>
      </c>
      <c r="D390">
        <f t="shared" ca="1" si="11"/>
        <v>1553.2234693877554</v>
      </c>
    </row>
    <row r="391" spans="1:4" x14ac:dyDescent="0.25">
      <c r="A391" s="2">
        <f ca="1">IFERROR(__xludf.DUMMYFUNCTION("""COMPUTED_VALUE"""),44946.6458333333)</f>
        <v>44946.645833333299</v>
      </c>
      <c r="B391" s="1">
        <f ca="1">IFERROR(__xludf.DUMMYFUNCTION("""COMPUTED_VALUE"""),1525.55)</f>
        <v>1525.55</v>
      </c>
      <c r="C391" s="3">
        <f t="shared" ca="1" si="12"/>
        <v>-8.6750276171292072E-3</v>
      </c>
      <c r="D391">
        <f t="shared" ca="1" si="11"/>
        <v>1552.5867346938776</v>
      </c>
    </row>
    <row r="392" spans="1:4" x14ac:dyDescent="0.25">
      <c r="A392" s="2">
        <f ca="1">IFERROR(__xludf.DUMMYFUNCTION("""COMPUTED_VALUE"""),44949.6458333333)</f>
        <v>44949.645833333299</v>
      </c>
      <c r="B392" s="1">
        <f ca="1">IFERROR(__xludf.DUMMYFUNCTION("""COMPUTED_VALUE"""),1548)</f>
        <v>1548</v>
      </c>
      <c r="C392" s="3">
        <f t="shared" ca="1" si="12"/>
        <v>1.4716004064108057E-2</v>
      </c>
      <c r="D392">
        <f t="shared" ca="1" si="11"/>
        <v>1551.3673469387754</v>
      </c>
    </row>
    <row r="393" spans="1:4" x14ac:dyDescent="0.25">
      <c r="A393" s="2">
        <f ca="1">IFERROR(__xludf.DUMMYFUNCTION("""COMPUTED_VALUE"""),44950.6458333333)</f>
        <v>44950.645833333299</v>
      </c>
      <c r="B393" s="1">
        <f ca="1">IFERROR(__xludf.DUMMYFUNCTION("""COMPUTED_VALUE"""),1551.9)</f>
        <v>1551.9</v>
      </c>
      <c r="C393" s="3">
        <f t="shared" ca="1" si="12"/>
        <v>2.5193798449612993E-3</v>
      </c>
      <c r="D393">
        <f t="shared" ca="1" si="11"/>
        <v>1550.4285714285713</v>
      </c>
    </row>
    <row r="394" spans="1:4" x14ac:dyDescent="0.25">
      <c r="A394" s="2">
        <f ca="1">IFERROR(__xludf.DUMMYFUNCTION("""COMPUTED_VALUE"""),44951.6458333333)</f>
        <v>44951.645833333299</v>
      </c>
      <c r="B394" s="1">
        <f ca="1">IFERROR(__xludf.DUMMYFUNCTION("""COMPUTED_VALUE"""),1543)</f>
        <v>1543</v>
      </c>
      <c r="C394" s="3">
        <f t="shared" ca="1" si="12"/>
        <v>-5.734905599587661E-3</v>
      </c>
      <c r="D394">
        <f t="shared" ca="1" si="11"/>
        <v>1549.3897959183671</v>
      </c>
    </row>
    <row r="395" spans="1:4" x14ac:dyDescent="0.25">
      <c r="A395" s="2">
        <f ca="1">IFERROR(__xludf.DUMMYFUNCTION("""COMPUTED_VALUE"""),44953.6458333333)</f>
        <v>44953.645833333299</v>
      </c>
      <c r="B395" s="1">
        <f ca="1">IFERROR(__xludf.DUMMYFUNCTION("""COMPUTED_VALUE"""),1519.15)</f>
        <v>1519.15</v>
      </c>
      <c r="C395" s="3">
        <f t="shared" ca="1" si="12"/>
        <v>-1.5456902138690803E-2</v>
      </c>
      <c r="D395">
        <f t="shared" ca="1" si="11"/>
        <v>1548.4836734693877</v>
      </c>
    </row>
    <row r="396" spans="1:4" x14ac:dyDescent="0.25">
      <c r="A396" s="2">
        <f ca="1">IFERROR(__xludf.DUMMYFUNCTION("""COMPUTED_VALUE"""),44956.6458333333)</f>
        <v>44956.645833333299</v>
      </c>
      <c r="B396" s="1">
        <f ca="1">IFERROR(__xludf.DUMMYFUNCTION("""COMPUTED_VALUE"""),1538.8)</f>
        <v>1538.8</v>
      </c>
      <c r="C396" s="3">
        <f t="shared" ca="1" si="12"/>
        <v>1.2934864891551106E-2</v>
      </c>
      <c r="D396">
        <f t="shared" ca="1" si="11"/>
        <v>1546.9683673469387</v>
      </c>
    </row>
    <row r="397" spans="1:4" x14ac:dyDescent="0.25">
      <c r="A397" s="2">
        <f ca="1">IFERROR(__xludf.DUMMYFUNCTION("""COMPUTED_VALUE"""),44957.6458333333)</f>
        <v>44957.645833333299</v>
      </c>
      <c r="B397" s="1">
        <f ca="1">IFERROR(__xludf.DUMMYFUNCTION("""COMPUTED_VALUE"""),1533.75)</f>
        <v>1533.75</v>
      </c>
      <c r="C397" s="3">
        <f t="shared" ca="1" si="12"/>
        <v>-3.2817780088380262E-3</v>
      </c>
      <c r="D397">
        <f t="shared" ca="1" si="11"/>
        <v>1546.3683673469388</v>
      </c>
    </row>
    <row r="398" spans="1:4" x14ac:dyDescent="0.25">
      <c r="A398" s="2">
        <f ca="1">IFERROR(__xludf.DUMMYFUNCTION("""COMPUTED_VALUE"""),44958.6458333333)</f>
        <v>44958.645833333299</v>
      </c>
      <c r="B398" s="1">
        <f ca="1">IFERROR(__xludf.DUMMYFUNCTION("""COMPUTED_VALUE"""),1551.1)</f>
        <v>1551.1</v>
      </c>
      <c r="C398" s="3">
        <f t="shared" ca="1" si="12"/>
        <v>1.1312143439282744E-2</v>
      </c>
      <c r="D398">
        <f t="shared" ca="1" si="11"/>
        <v>1545.3214285714287</v>
      </c>
    </row>
    <row r="399" spans="1:4" x14ac:dyDescent="0.25">
      <c r="A399" s="2">
        <f ca="1">IFERROR(__xludf.DUMMYFUNCTION("""COMPUTED_VALUE"""),44959.6458333333)</f>
        <v>44959.645833333299</v>
      </c>
      <c r="B399" s="1">
        <f ca="1">IFERROR(__xludf.DUMMYFUNCTION("""COMPUTED_VALUE"""),1583.75)</f>
        <v>1583.75</v>
      </c>
      <c r="C399" s="3">
        <f t="shared" ca="1" si="12"/>
        <v>2.1049577719038162E-2</v>
      </c>
      <c r="D399">
        <f t="shared" ca="1" si="11"/>
        <v>1544.6673469387754</v>
      </c>
    </row>
    <row r="400" spans="1:4" x14ac:dyDescent="0.25">
      <c r="A400" s="2">
        <f ca="1">IFERROR(__xludf.DUMMYFUNCTION("""COMPUTED_VALUE"""),44960.6458333333)</f>
        <v>44960.645833333299</v>
      </c>
      <c r="B400" s="1">
        <f ca="1">IFERROR(__xludf.DUMMYFUNCTION("""COMPUTED_VALUE"""),1599.4)</f>
        <v>1599.4</v>
      </c>
      <c r="C400" s="3">
        <f t="shared" ca="1" si="12"/>
        <v>9.8816101026046356E-3</v>
      </c>
      <c r="D400">
        <f t="shared" ca="1" si="11"/>
        <v>1543.7275510204083</v>
      </c>
    </row>
    <row r="401" spans="1:4" x14ac:dyDescent="0.25">
      <c r="A401" s="2">
        <f ca="1">IFERROR(__xludf.DUMMYFUNCTION("""COMPUTED_VALUE"""),44963.6458333333)</f>
        <v>44963.645833333299</v>
      </c>
      <c r="B401" s="1">
        <f ca="1">IFERROR(__xludf.DUMMYFUNCTION("""COMPUTED_VALUE"""),1569.85)</f>
        <v>1569.85</v>
      </c>
      <c r="C401" s="3">
        <f t="shared" ca="1" si="12"/>
        <v>-1.8475678379392384E-2</v>
      </c>
      <c r="D401">
        <f t="shared" ca="1" si="11"/>
        <v>1542.9877551020411</v>
      </c>
    </row>
    <row r="402" spans="1:4" x14ac:dyDescent="0.25">
      <c r="A402" s="2">
        <f ca="1">IFERROR(__xludf.DUMMYFUNCTION("""COMPUTED_VALUE"""),44964.6458333333)</f>
        <v>44964.645833333299</v>
      </c>
      <c r="B402" s="1">
        <f ca="1">IFERROR(__xludf.DUMMYFUNCTION("""COMPUTED_VALUE"""),1562.4)</f>
        <v>1562.4</v>
      </c>
      <c r="C402" s="3">
        <f t="shared" ca="1" si="12"/>
        <v>-4.7456763385035627E-3</v>
      </c>
      <c r="D402">
        <f t="shared" ca="1" si="11"/>
        <v>1541.8948979591842</v>
      </c>
    </row>
    <row r="403" spans="1:4" x14ac:dyDescent="0.25">
      <c r="A403" s="2">
        <f ca="1">IFERROR(__xludf.DUMMYFUNCTION("""COMPUTED_VALUE"""),44965.6458333333)</f>
        <v>44965.645833333299</v>
      </c>
      <c r="B403" s="1">
        <f ca="1">IFERROR(__xludf.DUMMYFUNCTION("""COMPUTED_VALUE"""),1590.5)</f>
        <v>1590.5</v>
      </c>
      <c r="C403" s="3">
        <f t="shared" ca="1" si="12"/>
        <v>1.7985151049667119E-2</v>
      </c>
      <c r="D403">
        <f t="shared" ca="1" si="11"/>
        <v>1540.534693877551</v>
      </c>
    </row>
    <row r="404" spans="1:4" x14ac:dyDescent="0.25">
      <c r="A404" s="2">
        <f ca="1">IFERROR(__xludf.DUMMYFUNCTION("""COMPUTED_VALUE"""),44966.6458333333)</f>
        <v>44966.645833333299</v>
      </c>
      <c r="B404" s="1">
        <f ca="1">IFERROR(__xludf.DUMMYFUNCTION("""COMPUTED_VALUE"""),1617)</f>
        <v>1617</v>
      </c>
      <c r="C404" s="3">
        <f t="shared" ca="1" si="12"/>
        <v>1.6661427224143353E-2</v>
      </c>
      <c r="D404">
        <f t="shared" ca="1" si="11"/>
        <v>1539.6275510204082</v>
      </c>
    </row>
    <row r="405" spans="1:4" x14ac:dyDescent="0.25">
      <c r="A405" s="2">
        <f ca="1">IFERROR(__xludf.DUMMYFUNCTION("""COMPUTED_VALUE"""),44967.6458333333)</f>
        <v>44967.645833333299</v>
      </c>
      <c r="B405" s="1">
        <f ca="1">IFERROR(__xludf.DUMMYFUNCTION("""COMPUTED_VALUE"""),1608.55)</f>
        <v>1608.55</v>
      </c>
      <c r="C405" s="3">
        <f t="shared" ca="1" si="12"/>
        <v>-5.2257266542981113E-3</v>
      </c>
      <c r="D405">
        <f t="shared" ca="1" si="11"/>
        <v>1538.8091836734695</v>
      </c>
    </row>
    <row r="406" spans="1:4" x14ac:dyDescent="0.25">
      <c r="A406" s="2">
        <f ca="1">IFERROR(__xludf.DUMMYFUNCTION("""COMPUTED_VALUE"""),44970.6458333333)</f>
        <v>44970.645833333299</v>
      </c>
      <c r="B406" s="1">
        <f ca="1">IFERROR(__xludf.DUMMYFUNCTION("""COMPUTED_VALUE"""),1567.45)</f>
        <v>1567.45</v>
      </c>
      <c r="C406" s="3">
        <f t="shared" ca="1" si="12"/>
        <v>-2.5550962046563621E-2</v>
      </c>
      <c r="D406">
        <f t="shared" ca="1" si="11"/>
        <v>1538.2102040816328</v>
      </c>
    </row>
    <row r="407" spans="1:4" x14ac:dyDescent="0.25">
      <c r="A407" s="2">
        <f ca="1">IFERROR(__xludf.DUMMYFUNCTION("""COMPUTED_VALUE"""),44971.6458333333)</f>
        <v>44971.645833333299</v>
      </c>
      <c r="B407" s="1">
        <f ca="1">IFERROR(__xludf.DUMMYFUNCTION("""COMPUTED_VALUE"""),1593.25)</f>
        <v>1593.25</v>
      </c>
      <c r="C407" s="3">
        <f t="shared" ca="1" si="12"/>
        <v>1.6459855178793552E-2</v>
      </c>
      <c r="D407">
        <f t="shared" ca="1" si="11"/>
        <v>1536.7346938775511</v>
      </c>
    </row>
    <row r="408" spans="1:4" x14ac:dyDescent="0.25">
      <c r="A408" s="2">
        <f ca="1">IFERROR(__xludf.DUMMYFUNCTION("""COMPUTED_VALUE"""),44972.6458333333)</f>
        <v>44972.645833333299</v>
      </c>
      <c r="B408" s="1">
        <f ca="1">IFERROR(__xludf.DUMMYFUNCTION("""COMPUTED_VALUE"""),1597.05)</f>
        <v>1597.05</v>
      </c>
      <c r="C408" s="3">
        <f t="shared" ca="1" si="12"/>
        <v>2.3850619802290628E-3</v>
      </c>
      <c r="D408">
        <f t="shared" ca="1" si="11"/>
        <v>1536.3336734693878</v>
      </c>
    </row>
    <row r="409" spans="1:4" x14ac:dyDescent="0.25">
      <c r="A409" s="2">
        <f ca="1">IFERROR(__xludf.DUMMYFUNCTION("""COMPUTED_VALUE"""),44973.6458333333)</f>
        <v>44973.645833333299</v>
      </c>
      <c r="B409" s="1">
        <f ca="1">IFERROR(__xludf.DUMMYFUNCTION("""COMPUTED_VALUE"""),1601.8)</f>
        <v>1601.8</v>
      </c>
      <c r="C409" s="3">
        <f t="shared" ca="1" si="12"/>
        <v>2.9742337434645128E-3</v>
      </c>
      <c r="D409">
        <f t="shared" ca="1" si="11"/>
        <v>1536.161224489796</v>
      </c>
    </row>
    <row r="410" spans="1:4" x14ac:dyDescent="0.25">
      <c r="A410" s="2">
        <f ca="1">IFERROR(__xludf.DUMMYFUNCTION("""COMPUTED_VALUE"""),44974.6458333333)</f>
        <v>44974.645833333299</v>
      </c>
      <c r="B410" s="1">
        <f ca="1">IFERROR(__xludf.DUMMYFUNCTION("""COMPUTED_VALUE"""),1583.8)</f>
        <v>1583.8</v>
      </c>
      <c r="C410" s="3">
        <f t="shared" ca="1" si="12"/>
        <v>-1.1237357972281184E-2</v>
      </c>
      <c r="D410">
        <f t="shared" ca="1" si="11"/>
        <v>1535.7867346938779</v>
      </c>
    </row>
    <row r="411" spans="1:4" x14ac:dyDescent="0.25">
      <c r="A411" s="2">
        <f ca="1">IFERROR(__xludf.DUMMYFUNCTION("""COMPUTED_VALUE"""),44977.6458333333)</f>
        <v>44977.645833333299</v>
      </c>
      <c r="B411" s="1">
        <f ca="1">IFERROR(__xludf.DUMMYFUNCTION("""COMPUTED_VALUE"""),1592.45)</f>
        <v>1592.45</v>
      </c>
      <c r="C411" s="3">
        <f t="shared" ca="1" si="12"/>
        <v>5.4615481752747132E-3</v>
      </c>
      <c r="D411">
        <f t="shared" ca="1" si="11"/>
        <v>1536.0826530612248</v>
      </c>
    </row>
    <row r="412" spans="1:4" x14ac:dyDescent="0.25">
      <c r="A412" s="2">
        <f ca="1">IFERROR(__xludf.DUMMYFUNCTION("""COMPUTED_VALUE"""),44978.6458333333)</f>
        <v>44978.645833333299</v>
      </c>
      <c r="B412" s="1">
        <f ca="1">IFERROR(__xludf.DUMMYFUNCTION("""COMPUTED_VALUE"""),1579.5)</f>
        <v>1579.5</v>
      </c>
      <c r="C412" s="3">
        <f t="shared" ca="1" si="12"/>
        <v>-8.1321234575654142E-3</v>
      </c>
      <c r="D412">
        <f t="shared" ca="1" si="11"/>
        <v>1537.00612244898</v>
      </c>
    </row>
    <row r="413" spans="1:4" x14ac:dyDescent="0.25">
      <c r="A413" s="2">
        <f ca="1">IFERROR(__xludf.DUMMYFUNCTION("""COMPUTED_VALUE"""),44979.6458333333)</f>
        <v>44979.645833333299</v>
      </c>
      <c r="B413" s="1">
        <f ca="1">IFERROR(__xludf.DUMMYFUNCTION("""COMPUTED_VALUE"""),1561.8)</f>
        <v>1561.8</v>
      </c>
      <c r="C413" s="3">
        <f t="shared" ca="1" si="12"/>
        <v>-1.1206077872744568E-2</v>
      </c>
      <c r="D413">
        <f t="shared" ca="1" si="11"/>
        <v>1537.1561224489801</v>
      </c>
    </row>
    <row r="414" spans="1:4" x14ac:dyDescent="0.25">
      <c r="A414" s="2">
        <f ca="1">IFERROR(__xludf.DUMMYFUNCTION("""COMPUTED_VALUE"""),44980.6458333333)</f>
        <v>44980.645833333299</v>
      </c>
      <c r="B414" s="1">
        <f ca="1">IFERROR(__xludf.DUMMYFUNCTION("""COMPUTED_VALUE"""),1550.7)</f>
        <v>1550.7</v>
      </c>
      <c r="C414" s="3">
        <f t="shared" ca="1" si="12"/>
        <v>-7.1071840184402033E-3</v>
      </c>
      <c r="D414">
        <f t="shared" ca="1" si="11"/>
        <v>1536.7969387755106</v>
      </c>
    </row>
    <row r="415" spans="1:4" x14ac:dyDescent="0.25">
      <c r="A415" s="2">
        <f ca="1">IFERROR(__xludf.DUMMYFUNCTION("""COMPUTED_VALUE"""),44981.6458333333)</f>
        <v>44981.645833333299</v>
      </c>
      <c r="B415" s="1">
        <f ca="1">IFERROR(__xludf.DUMMYFUNCTION("""COMPUTED_VALUE"""),1550.65)</f>
        <v>1550.65</v>
      </c>
      <c r="C415" s="3">
        <f t="shared" ca="1" si="12"/>
        <v>-3.2243502934129438E-5</v>
      </c>
      <c r="D415">
        <f t="shared" ca="1" si="11"/>
        <v>1537.0051020408166</v>
      </c>
    </row>
    <row r="416" spans="1:4" x14ac:dyDescent="0.25">
      <c r="A416" s="2">
        <f ca="1">IFERROR(__xludf.DUMMYFUNCTION("""COMPUTED_VALUE"""),44984.6458333333)</f>
        <v>44984.645833333299</v>
      </c>
      <c r="B416" s="1">
        <f ca="1">IFERROR(__xludf.DUMMYFUNCTION("""COMPUTED_VALUE"""),1509.3)</f>
        <v>1509.3</v>
      </c>
      <c r="C416" s="3">
        <f t="shared" ca="1" si="12"/>
        <v>-2.6666236739431939E-2</v>
      </c>
      <c r="D416">
        <f t="shared" ca="1" si="11"/>
        <v>1537.5857142857146</v>
      </c>
    </row>
    <row r="417" spans="1:4" x14ac:dyDescent="0.25">
      <c r="A417" s="2">
        <f ca="1">IFERROR(__xludf.DUMMYFUNCTION("""COMPUTED_VALUE"""),44985.6458333333)</f>
        <v>44985.645833333299</v>
      </c>
      <c r="B417" s="1">
        <f ca="1">IFERROR(__xludf.DUMMYFUNCTION("""COMPUTED_VALUE"""),1487.55)</f>
        <v>1487.55</v>
      </c>
      <c r="C417" s="3">
        <f t="shared" ca="1" si="12"/>
        <v>-1.4410653945537666E-2</v>
      </c>
      <c r="D417">
        <f t="shared" ca="1" si="11"/>
        <v>1537.6255102040818</v>
      </c>
    </row>
    <row r="418" spans="1:4" x14ac:dyDescent="0.25">
      <c r="A418" s="2">
        <f ca="1">IFERROR(__xludf.DUMMYFUNCTION("""COMPUTED_VALUE"""),44986.6458333333)</f>
        <v>44986.645833333299</v>
      </c>
      <c r="B418" s="1">
        <f ca="1">IFERROR(__xludf.DUMMYFUNCTION("""COMPUTED_VALUE"""),1496.05)</f>
        <v>1496.05</v>
      </c>
      <c r="C418" s="3">
        <f t="shared" ca="1" si="12"/>
        <v>5.7140936439111292E-3</v>
      </c>
      <c r="D418">
        <f t="shared" ca="1" si="11"/>
        <v>1537.2224489795924</v>
      </c>
    </row>
    <row r="419" spans="1:4" x14ac:dyDescent="0.25">
      <c r="A419" s="2">
        <f ca="1">IFERROR(__xludf.DUMMYFUNCTION("""COMPUTED_VALUE"""),44987.6458333333)</f>
        <v>44987.645833333299</v>
      </c>
      <c r="B419" s="1">
        <f ca="1">IFERROR(__xludf.DUMMYFUNCTION("""COMPUTED_VALUE"""),1472.15)</f>
        <v>1472.15</v>
      </c>
      <c r="C419" s="3">
        <f t="shared" ca="1" si="12"/>
        <v>-1.5975401891647915E-2</v>
      </c>
      <c r="D419">
        <f t="shared" ca="1" si="11"/>
        <v>1536.9469387755105</v>
      </c>
    </row>
    <row r="420" spans="1:4" x14ac:dyDescent="0.25">
      <c r="A420" s="2">
        <f ca="1">IFERROR(__xludf.DUMMYFUNCTION("""COMPUTED_VALUE"""),44988.6458333333)</f>
        <v>44988.645833333299</v>
      </c>
      <c r="B420" s="1">
        <f ca="1">IFERROR(__xludf.DUMMYFUNCTION("""COMPUTED_VALUE"""),1479.3)</f>
        <v>1479.3</v>
      </c>
      <c r="C420" s="3">
        <f t="shared" ca="1" si="12"/>
        <v>4.8568420337600539E-3</v>
      </c>
      <c r="D420">
        <f t="shared" ca="1" si="11"/>
        <v>1535.9285714285718</v>
      </c>
    </row>
    <row r="421" spans="1:4" x14ac:dyDescent="0.25">
      <c r="A421" s="2">
        <f ca="1">IFERROR(__xludf.DUMMYFUNCTION("""COMPUTED_VALUE"""),44991.6458333333)</f>
        <v>44991.645833333299</v>
      </c>
      <c r="B421" s="1">
        <f ca="1">IFERROR(__xludf.DUMMYFUNCTION("""COMPUTED_VALUE"""),1507.45)</f>
        <v>1507.45</v>
      </c>
      <c r="C421" s="3">
        <f t="shared" ca="1" si="12"/>
        <v>1.9029270600959977E-2</v>
      </c>
      <c r="D421">
        <f t="shared" ca="1" si="11"/>
        <v>1535.5653061224493</v>
      </c>
    </row>
    <row r="422" spans="1:4" x14ac:dyDescent="0.25">
      <c r="A422" s="2">
        <f ca="1">IFERROR(__xludf.DUMMYFUNCTION("""COMPUTED_VALUE"""),44993.6458333333)</f>
        <v>44993.645833333299</v>
      </c>
      <c r="B422" s="1">
        <f ca="1">IFERROR(__xludf.DUMMYFUNCTION("""COMPUTED_VALUE"""),1492.7)</f>
        <v>1492.7</v>
      </c>
      <c r="C422" s="3">
        <f t="shared" ca="1" si="12"/>
        <v>-9.7847358121330719E-3</v>
      </c>
      <c r="D422">
        <f t="shared" ca="1" si="11"/>
        <v>1535.668367346939</v>
      </c>
    </row>
    <row r="423" spans="1:4" x14ac:dyDescent="0.25">
      <c r="A423" s="2">
        <f ca="1">IFERROR(__xludf.DUMMYFUNCTION("""COMPUTED_VALUE"""),44994.6458333333)</f>
        <v>44994.645833333299</v>
      </c>
      <c r="B423" s="1">
        <f ca="1">IFERROR(__xludf.DUMMYFUNCTION("""COMPUTED_VALUE"""),1480.4)</f>
        <v>1480.4</v>
      </c>
      <c r="C423" s="3">
        <f t="shared" ca="1" si="12"/>
        <v>-8.2401018289006197E-3</v>
      </c>
      <c r="D423">
        <f t="shared" ca="1" si="11"/>
        <v>1535.2163265306124</v>
      </c>
    </row>
    <row r="424" spans="1:4" x14ac:dyDescent="0.25">
      <c r="A424" s="2">
        <f ca="1">IFERROR(__xludf.DUMMYFUNCTION("""COMPUTED_VALUE"""),44995.6458333333)</f>
        <v>44995.645833333299</v>
      </c>
      <c r="B424" s="1">
        <f ca="1">IFERROR(__xludf.DUMMYFUNCTION("""COMPUTED_VALUE"""),1471.55)</f>
        <v>1471.55</v>
      </c>
      <c r="C424" s="3">
        <f t="shared" ca="1" si="12"/>
        <v>-5.9781140232370552E-3</v>
      </c>
      <c r="D424">
        <f t="shared" ca="1" si="11"/>
        <v>1534.6091836734695</v>
      </c>
    </row>
    <row r="425" spans="1:4" x14ac:dyDescent="0.25">
      <c r="A425" s="2">
        <f ca="1">IFERROR(__xludf.DUMMYFUNCTION("""COMPUTED_VALUE"""),44998.6458333333)</f>
        <v>44998.645833333299</v>
      </c>
      <c r="B425" s="1">
        <f ca="1">IFERROR(__xludf.DUMMYFUNCTION("""COMPUTED_VALUE"""),1435.1)</f>
        <v>1435.1</v>
      </c>
      <c r="C425" s="3">
        <f t="shared" ca="1" si="12"/>
        <v>-2.4769800550440042E-2</v>
      </c>
      <c r="D425">
        <f t="shared" ca="1" si="11"/>
        <v>1533.6704081632654</v>
      </c>
    </row>
    <row r="426" spans="1:4" x14ac:dyDescent="0.25">
      <c r="A426" s="2">
        <f ca="1">IFERROR(__xludf.DUMMYFUNCTION("""COMPUTED_VALUE"""),44999.6458333333)</f>
        <v>44999.645833333299</v>
      </c>
      <c r="B426" s="1">
        <f ca="1">IFERROR(__xludf.DUMMYFUNCTION("""COMPUTED_VALUE"""),1420)</f>
        <v>1420</v>
      </c>
      <c r="C426" s="3">
        <f t="shared" ca="1" si="12"/>
        <v>-1.052191484913937E-2</v>
      </c>
      <c r="D426">
        <f t="shared" ca="1" si="11"/>
        <v>1532.1785714285718</v>
      </c>
    </row>
    <row r="427" spans="1:4" x14ac:dyDescent="0.25">
      <c r="A427" s="2">
        <f ca="1">IFERROR(__xludf.DUMMYFUNCTION("""COMPUTED_VALUE"""),45000.6458333333)</f>
        <v>45000.645833333299</v>
      </c>
      <c r="B427" s="1">
        <f ca="1">IFERROR(__xludf.DUMMYFUNCTION("""COMPUTED_VALUE"""),1419.65)</f>
        <v>1419.65</v>
      </c>
      <c r="C427" s="3">
        <f t="shared" ca="1" si="12"/>
        <v>-2.4647887323937258E-4</v>
      </c>
      <c r="D427">
        <f t="shared" ca="1" si="11"/>
        <v>1530.05612244898</v>
      </c>
    </row>
    <row r="428" spans="1:4" x14ac:dyDescent="0.25">
      <c r="A428" s="2">
        <f ca="1">IFERROR(__xludf.DUMMYFUNCTION("""COMPUTED_VALUE"""),45001.6458333333)</f>
        <v>45001.645833333299</v>
      </c>
      <c r="B428" s="1">
        <f ca="1">IFERROR(__xludf.DUMMYFUNCTION("""COMPUTED_VALUE"""),1404.1)</f>
        <v>1404.1</v>
      </c>
      <c r="C428" s="3">
        <f t="shared" ca="1" si="12"/>
        <v>-1.0953404008030276E-2</v>
      </c>
      <c r="D428">
        <f t="shared" ca="1" si="11"/>
        <v>1527.9561224489801</v>
      </c>
    </row>
    <row r="429" spans="1:4" x14ac:dyDescent="0.25">
      <c r="A429" s="2">
        <f ca="1">IFERROR(__xludf.DUMMYFUNCTION("""COMPUTED_VALUE"""),45002.6458333333)</f>
        <v>45002.645833333299</v>
      </c>
      <c r="B429" s="1">
        <f ca="1">IFERROR(__xludf.DUMMYFUNCTION("""COMPUTED_VALUE"""),1420.7)</f>
        <v>1420.7</v>
      </c>
      <c r="C429" s="3">
        <f t="shared" ca="1" si="12"/>
        <v>1.1822519763549703E-2</v>
      </c>
      <c r="D429">
        <f t="shared" ca="1" si="11"/>
        <v>1526.1051020408167</v>
      </c>
    </row>
    <row r="430" spans="1:4" x14ac:dyDescent="0.25">
      <c r="A430" s="2">
        <f ca="1">IFERROR(__xludf.DUMMYFUNCTION("""COMPUTED_VALUE"""),45005.6458333333)</f>
        <v>45005.645833333299</v>
      </c>
      <c r="B430" s="1">
        <f ca="1">IFERROR(__xludf.DUMMYFUNCTION("""COMPUTED_VALUE"""),1403.65)</f>
        <v>1403.65</v>
      </c>
      <c r="C430" s="3">
        <f t="shared" ca="1" si="12"/>
        <v>-1.2001126205391677E-2</v>
      </c>
      <c r="D430">
        <f t="shared" ca="1" si="11"/>
        <v>1524.9928571428577</v>
      </c>
    </row>
    <row r="431" spans="1:4" x14ac:dyDescent="0.25">
      <c r="A431" s="2">
        <f ca="1">IFERROR(__xludf.DUMMYFUNCTION("""COMPUTED_VALUE"""),45006.6458333333)</f>
        <v>45006.645833333299</v>
      </c>
      <c r="B431" s="1">
        <f ca="1">IFERROR(__xludf.DUMMYFUNCTION("""COMPUTED_VALUE"""),1390.7)</f>
        <v>1390.7</v>
      </c>
      <c r="C431" s="3">
        <f t="shared" ca="1" si="12"/>
        <v>-9.2259466391194696E-3</v>
      </c>
      <c r="D431">
        <f t="shared" ca="1" si="11"/>
        <v>1524.0775510204082</v>
      </c>
    </row>
    <row r="432" spans="1:4" x14ac:dyDescent="0.25">
      <c r="A432" s="2">
        <f ca="1">IFERROR(__xludf.DUMMYFUNCTION("""COMPUTED_VALUE"""),45007.6458333333)</f>
        <v>45007.645833333299</v>
      </c>
      <c r="B432" s="1">
        <f ca="1">IFERROR(__xludf.DUMMYFUNCTION("""COMPUTED_VALUE"""),1389.25)</f>
        <v>1389.25</v>
      </c>
      <c r="C432" s="3">
        <f t="shared" ca="1" si="12"/>
        <v>-1.0426403969224459E-3</v>
      </c>
      <c r="D432">
        <f t="shared" ca="1" si="11"/>
        <v>1522.1642857142858</v>
      </c>
    </row>
    <row r="433" spans="1:4" x14ac:dyDescent="0.25">
      <c r="A433" s="2">
        <f ca="1">IFERROR(__xludf.DUMMYFUNCTION("""COMPUTED_VALUE"""),45008.6458333333)</f>
        <v>45008.645833333299</v>
      </c>
      <c r="B433" s="1">
        <f ca="1">IFERROR(__xludf.DUMMYFUNCTION("""COMPUTED_VALUE"""),1374.55)</f>
        <v>1374.55</v>
      </c>
      <c r="C433" s="3">
        <f t="shared" ca="1" si="12"/>
        <v>-1.0581248875292456E-2</v>
      </c>
      <c r="D433">
        <f t="shared" ca="1" si="11"/>
        <v>1520.5214285714287</v>
      </c>
    </row>
    <row r="434" spans="1:4" x14ac:dyDescent="0.25">
      <c r="A434" s="2">
        <f ca="1">IFERROR(__xludf.DUMMYFUNCTION("""COMPUTED_VALUE"""),45009.6458333333)</f>
        <v>45009.645833333299</v>
      </c>
      <c r="B434" s="1">
        <f ca="1">IFERROR(__xludf.DUMMYFUNCTION("""COMPUTED_VALUE"""),1380.65)</f>
        <v>1380.65</v>
      </c>
      <c r="C434" s="3">
        <f t="shared" ca="1" si="12"/>
        <v>4.4378160125132854E-3</v>
      </c>
      <c r="D434">
        <f t="shared" ca="1" si="11"/>
        <v>1518.5479591836736</v>
      </c>
    </row>
    <row r="435" spans="1:4" x14ac:dyDescent="0.25">
      <c r="A435" s="2">
        <f ca="1">IFERROR(__xludf.DUMMYFUNCTION("""COMPUTED_VALUE"""),45012.6458333333)</f>
        <v>45012.645833333299</v>
      </c>
      <c r="B435" s="1">
        <f ca="1">IFERROR(__xludf.DUMMYFUNCTION("""COMPUTED_VALUE"""),1388.95)</f>
        <v>1388.95</v>
      </c>
      <c r="C435" s="3">
        <f t="shared" ca="1" si="12"/>
        <v>6.0116611740846371E-3</v>
      </c>
      <c r="D435">
        <f t="shared" ca="1" si="11"/>
        <v>1516.5081632653064</v>
      </c>
    </row>
    <row r="436" spans="1:4" x14ac:dyDescent="0.25">
      <c r="A436" s="2">
        <f ca="1">IFERROR(__xludf.DUMMYFUNCTION("""COMPUTED_VALUE"""),45013.6458333333)</f>
        <v>45013.645833333299</v>
      </c>
      <c r="B436" s="1">
        <f ca="1">IFERROR(__xludf.DUMMYFUNCTION("""COMPUTED_VALUE"""),1377.6)</f>
        <v>1377.6</v>
      </c>
      <c r="C436" s="3">
        <f t="shared" ca="1" si="12"/>
        <v>-8.1716404478203945E-3</v>
      </c>
      <c r="D436">
        <f t="shared" ref="D436:D499" ca="1" si="13">AVERAGE(B387:B435)</f>
        <v>1514.1673469387754</v>
      </c>
    </row>
    <row r="437" spans="1:4" x14ac:dyDescent="0.25">
      <c r="A437" s="2">
        <f ca="1">IFERROR(__xludf.DUMMYFUNCTION("""COMPUTED_VALUE"""),45014.6458333333)</f>
        <v>45014.645833333299</v>
      </c>
      <c r="B437" s="1">
        <f ca="1">IFERROR(__xludf.DUMMYFUNCTION("""COMPUTED_VALUE"""),1383.55)</f>
        <v>1383.55</v>
      </c>
      <c r="C437" s="3">
        <f t="shared" ca="1" si="12"/>
        <v>4.3191056910569436E-3</v>
      </c>
      <c r="D437">
        <f t="shared" ca="1" si="13"/>
        <v>1511.1489795918369</v>
      </c>
    </row>
    <row r="438" spans="1:4" x14ac:dyDescent="0.25">
      <c r="A438" s="2">
        <f ca="1">IFERROR(__xludf.DUMMYFUNCTION("""COMPUTED_VALUE"""),45016.6458333333)</f>
        <v>45016.645833333299</v>
      </c>
      <c r="B438" s="1">
        <f ca="1">IFERROR(__xludf.DUMMYFUNCTION("""COMPUTED_VALUE"""),1427.95)</f>
        <v>1427.95</v>
      </c>
      <c r="C438" s="3">
        <f t="shared" ca="1" si="12"/>
        <v>3.2091359184706077E-2</v>
      </c>
      <c r="D438">
        <f t="shared" ca="1" si="13"/>
        <v>1507.9663265306126</v>
      </c>
    </row>
    <row r="439" spans="1:4" x14ac:dyDescent="0.25">
      <c r="A439" s="2">
        <f ca="1">IFERROR(__xludf.DUMMYFUNCTION("""COMPUTED_VALUE"""),45019.6458333333)</f>
        <v>45019.645833333299</v>
      </c>
      <c r="B439" s="1">
        <f ca="1">IFERROR(__xludf.DUMMYFUNCTION("""COMPUTED_VALUE"""),1410.85)</f>
        <v>1410.85</v>
      </c>
      <c r="C439" s="3">
        <f t="shared" ca="1" si="12"/>
        <v>-1.1975209216009058E-2</v>
      </c>
      <c r="D439">
        <f t="shared" ca="1" si="13"/>
        <v>1505.5693877551018</v>
      </c>
    </row>
    <row r="440" spans="1:4" x14ac:dyDescent="0.25">
      <c r="A440" s="2">
        <f ca="1">IFERROR(__xludf.DUMMYFUNCTION("""COMPUTED_VALUE"""),45021.6458333333)</f>
        <v>45021.645833333299</v>
      </c>
      <c r="B440" s="1">
        <f ca="1">IFERROR(__xludf.DUMMYFUNCTION("""COMPUTED_VALUE"""),1423.55)</f>
        <v>1423.55</v>
      </c>
      <c r="C440" s="3">
        <f t="shared" ca="1" si="12"/>
        <v>9.0016656625438885E-3</v>
      </c>
      <c r="D440">
        <f t="shared" ca="1" si="13"/>
        <v>1502.9561224489801</v>
      </c>
    </row>
    <row r="441" spans="1:4" x14ac:dyDescent="0.25">
      <c r="A441" s="2">
        <f ca="1">IFERROR(__xludf.DUMMYFUNCTION("""COMPUTED_VALUE"""),45022.6458333333)</f>
        <v>45022.645833333299</v>
      </c>
      <c r="B441" s="1">
        <f ca="1">IFERROR(__xludf.DUMMYFUNCTION("""COMPUTED_VALUE"""),1421.9)</f>
        <v>1421.9</v>
      </c>
      <c r="C441" s="3">
        <f t="shared" ca="1" si="12"/>
        <v>-1.159074145621765E-3</v>
      </c>
      <c r="D441">
        <f t="shared" ca="1" si="13"/>
        <v>1500.8744897959189</v>
      </c>
    </row>
    <row r="442" spans="1:4" x14ac:dyDescent="0.25">
      <c r="A442" s="2">
        <f ca="1">IFERROR(__xludf.DUMMYFUNCTION("""COMPUTED_VALUE"""),45026.6458333333)</f>
        <v>45026.645833333299</v>
      </c>
      <c r="B442" s="1">
        <f ca="1">IFERROR(__xludf.DUMMYFUNCTION("""COMPUTED_VALUE"""),1427.6)</f>
        <v>1427.6</v>
      </c>
      <c r="C442" s="3">
        <f t="shared" ca="1" si="12"/>
        <v>4.0087207257893083E-3</v>
      </c>
      <c r="D442">
        <f t="shared" ca="1" si="13"/>
        <v>1498.3010204081636</v>
      </c>
    </row>
    <row r="443" spans="1:4" x14ac:dyDescent="0.25">
      <c r="A443" s="2">
        <f ca="1">IFERROR(__xludf.DUMMYFUNCTION("""COMPUTED_VALUE"""),45027.6458333333)</f>
        <v>45027.645833333299</v>
      </c>
      <c r="B443" s="1">
        <f ca="1">IFERROR(__xludf.DUMMYFUNCTION("""COMPUTED_VALUE"""),1406.15)</f>
        <v>1406.15</v>
      </c>
      <c r="C443" s="3">
        <f t="shared" ca="1" si="12"/>
        <v>-1.5025217147660282E-2</v>
      </c>
      <c r="D443">
        <f t="shared" ca="1" si="13"/>
        <v>1495.764285714286</v>
      </c>
    </row>
    <row r="444" spans="1:4" x14ac:dyDescent="0.25">
      <c r="A444" s="2">
        <f ca="1">IFERROR(__xludf.DUMMYFUNCTION("""COMPUTED_VALUE"""),45028.6458333333)</f>
        <v>45028.645833333299</v>
      </c>
      <c r="B444" s="1">
        <f ca="1">IFERROR(__xludf.DUMMYFUNCTION("""COMPUTED_VALUE"""),1428.3)</f>
        <v>1428.3</v>
      </c>
      <c r="C444" s="3">
        <f t="shared" ca="1" si="12"/>
        <v>1.5752231269779086E-2</v>
      </c>
      <c r="D444">
        <f t="shared" ca="1" si="13"/>
        <v>1492.9714285714288</v>
      </c>
    </row>
    <row r="445" spans="1:4" x14ac:dyDescent="0.25">
      <c r="A445" s="2">
        <f ca="1">IFERROR(__xludf.DUMMYFUNCTION("""COMPUTED_VALUE"""),45029.6458333333)</f>
        <v>45029.645833333299</v>
      </c>
      <c r="B445" s="1">
        <f ca="1">IFERROR(__xludf.DUMMYFUNCTION("""COMPUTED_VALUE"""),1389.2)</f>
        <v>1389.2</v>
      </c>
      <c r="C445" s="3">
        <f t="shared" ca="1" si="12"/>
        <v>-2.7375201288244704E-2</v>
      </c>
      <c r="D445">
        <f t="shared" ca="1" si="13"/>
        <v>1491.1173469387754</v>
      </c>
    </row>
    <row r="446" spans="1:4" x14ac:dyDescent="0.25">
      <c r="A446" s="2">
        <f ca="1">IFERROR(__xludf.DUMMYFUNCTION("""COMPUTED_VALUE"""),45033.6458333333)</f>
        <v>45033.645833333299</v>
      </c>
      <c r="B446" s="1">
        <f ca="1">IFERROR(__xludf.DUMMYFUNCTION("""COMPUTED_VALUE"""),1258.3)</f>
        <v>1258.3</v>
      </c>
      <c r="C446" s="3">
        <f t="shared" ca="1" si="12"/>
        <v>-9.4226893175928653E-2</v>
      </c>
      <c r="D446">
        <f t="shared" ca="1" si="13"/>
        <v>1488.0642857142857</v>
      </c>
    </row>
    <row r="447" spans="1:4" x14ac:dyDescent="0.25">
      <c r="A447" s="2">
        <f ca="1">IFERROR(__xludf.DUMMYFUNCTION("""COMPUTED_VALUE"""),45034.6458333333)</f>
        <v>45034.645833333299</v>
      </c>
      <c r="B447" s="1">
        <f ca="1">IFERROR(__xludf.DUMMYFUNCTION("""COMPUTED_VALUE"""),1259.35)</f>
        <v>1259.3499999999999</v>
      </c>
      <c r="C447" s="3">
        <f t="shared" ca="1" si="12"/>
        <v>8.3445919097191012E-4</v>
      </c>
      <c r="D447">
        <f t="shared" ca="1" si="13"/>
        <v>1482.4428571428571</v>
      </c>
    </row>
    <row r="448" spans="1:4" x14ac:dyDescent="0.25">
      <c r="A448" s="2">
        <f ca="1">IFERROR(__xludf.DUMMYFUNCTION("""COMPUTED_VALUE"""),45035.6458333333)</f>
        <v>45035.645833333299</v>
      </c>
      <c r="B448" s="1">
        <f ca="1">IFERROR(__xludf.DUMMYFUNCTION("""COMPUTED_VALUE"""),1232.2)</f>
        <v>1232.2</v>
      </c>
      <c r="C448" s="3">
        <f t="shared" ca="1" si="12"/>
        <v>-2.1558740620161089E-2</v>
      </c>
      <c r="D448">
        <f t="shared" ca="1" si="13"/>
        <v>1476.4887755102041</v>
      </c>
    </row>
    <row r="449" spans="1:4" x14ac:dyDescent="0.25">
      <c r="A449" s="2">
        <f ca="1">IFERROR(__xludf.DUMMYFUNCTION("""COMPUTED_VALUE"""),45036.6458333333)</f>
        <v>45036.645833333299</v>
      </c>
      <c r="B449" s="1">
        <f ca="1">IFERROR(__xludf.DUMMYFUNCTION("""COMPUTED_VALUE"""),1223.4)</f>
        <v>1223.4000000000001</v>
      </c>
      <c r="C449" s="3">
        <f t="shared" ca="1" si="12"/>
        <v>-7.1416977763349735E-3</v>
      </c>
      <c r="D449">
        <f t="shared" ca="1" si="13"/>
        <v>1469.3142857142857</v>
      </c>
    </row>
    <row r="450" spans="1:4" x14ac:dyDescent="0.25">
      <c r="A450" s="2">
        <f ca="1">IFERROR(__xludf.DUMMYFUNCTION("""COMPUTED_VALUE"""),45037.6458333333)</f>
        <v>45037.645833333299</v>
      </c>
      <c r="B450" s="1">
        <f ca="1">IFERROR(__xludf.DUMMYFUNCTION("""COMPUTED_VALUE"""),1227.35)</f>
        <v>1227.3499999999999</v>
      </c>
      <c r="C450" s="3">
        <f t="shared" ca="1" si="12"/>
        <v>3.2287068824585728E-3</v>
      </c>
      <c r="D450">
        <f t="shared" ca="1" si="13"/>
        <v>1461.6408163265307</v>
      </c>
    </row>
    <row r="451" spans="1:4" x14ac:dyDescent="0.25">
      <c r="A451" s="2">
        <f ca="1">IFERROR(__xludf.DUMMYFUNCTION("""COMPUTED_VALUE"""),45040.6458333333)</f>
        <v>45040.645833333299</v>
      </c>
      <c r="B451" s="1">
        <f ca="1">IFERROR(__xludf.DUMMYFUNCTION("""COMPUTED_VALUE"""),1226.3)</f>
        <v>1226.3</v>
      </c>
      <c r="C451" s="3">
        <f t="shared" ca="1" si="12"/>
        <v>-8.5550169063425643E-4</v>
      </c>
      <c r="D451">
        <f t="shared" ca="1" si="13"/>
        <v>1454.6510204081635</v>
      </c>
    </row>
    <row r="452" spans="1:4" x14ac:dyDescent="0.25">
      <c r="A452" s="2">
        <f ca="1">IFERROR(__xludf.DUMMYFUNCTION("""COMPUTED_VALUE"""),45041.6458333333)</f>
        <v>45041.645833333299</v>
      </c>
      <c r="B452" s="1">
        <f ca="1">IFERROR(__xludf.DUMMYFUNCTION("""COMPUTED_VALUE"""),1224.9)</f>
        <v>1224.9000000000001</v>
      </c>
      <c r="C452" s="3">
        <f t="shared" ref="C452:C515" ca="1" si="14">(B452-B451)/B451</f>
        <v>-1.1416456005870208E-3</v>
      </c>
      <c r="D452">
        <f t="shared" ca="1" si="13"/>
        <v>1447.791836734694</v>
      </c>
    </row>
    <row r="453" spans="1:4" x14ac:dyDescent="0.25">
      <c r="A453" s="2">
        <f ca="1">IFERROR(__xludf.DUMMYFUNCTION("""COMPUTED_VALUE"""),45042.6458333333)</f>
        <v>45042.645833333299</v>
      </c>
      <c r="B453" s="1">
        <f ca="1">IFERROR(__xludf.DUMMYFUNCTION("""COMPUTED_VALUE"""),1227.55)</f>
        <v>1227.55</v>
      </c>
      <c r="C453" s="3">
        <f t="shared" ca="1" si="14"/>
        <v>2.1634419136254907E-3</v>
      </c>
      <c r="D453">
        <f t="shared" ca="1" si="13"/>
        <v>1440.3306122448978</v>
      </c>
    </row>
    <row r="454" spans="1:4" x14ac:dyDescent="0.25">
      <c r="A454" s="2">
        <f ca="1">IFERROR(__xludf.DUMMYFUNCTION("""COMPUTED_VALUE"""),45043.6458333333)</f>
        <v>45043.645833333299</v>
      </c>
      <c r="B454" s="1">
        <f ca="1">IFERROR(__xludf.DUMMYFUNCTION("""COMPUTED_VALUE"""),1246.25)</f>
        <v>1246.25</v>
      </c>
      <c r="C454" s="3">
        <f t="shared" ca="1" si="14"/>
        <v>1.5233595372897271E-2</v>
      </c>
      <c r="D454">
        <f t="shared" ca="1" si="13"/>
        <v>1432.3826530612246</v>
      </c>
    </row>
    <row r="455" spans="1:4" x14ac:dyDescent="0.25">
      <c r="A455" s="2">
        <f ca="1">IFERROR(__xludf.DUMMYFUNCTION("""COMPUTED_VALUE"""),45044.6458333333)</f>
        <v>45044.645833333299</v>
      </c>
      <c r="B455" s="1">
        <f ca="1">IFERROR(__xludf.DUMMYFUNCTION("""COMPUTED_VALUE"""),1252.75)</f>
        <v>1252.75</v>
      </c>
      <c r="C455" s="3">
        <f t="shared" ca="1" si="14"/>
        <v>5.2156469408224677E-3</v>
      </c>
      <c r="D455">
        <f t="shared" ca="1" si="13"/>
        <v>1424.9887755102041</v>
      </c>
    </row>
    <row r="456" spans="1:4" x14ac:dyDescent="0.25">
      <c r="A456" s="2">
        <f ca="1">IFERROR(__xludf.DUMMYFUNCTION("""COMPUTED_VALUE"""),45048.6458333333)</f>
        <v>45048.645833333299</v>
      </c>
      <c r="B456" s="1">
        <f ca="1">IFERROR(__xludf.DUMMYFUNCTION("""COMPUTED_VALUE"""),1277.45)</f>
        <v>1277.45</v>
      </c>
      <c r="C456" s="3">
        <f t="shared" ca="1" si="14"/>
        <v>1.9716623428457428E-2</v>
      </c>
      <c r="D456">
        <f t="shared" ca="1" si="13"/>
        <v>1418.5663265306123</v>
      </c>
    </row>
    <row r="457" spans="1:4" x14ac:dyDescent="0.25">
      <c r="A457" s="2">
        <f ca="1">IFERROR(__xludf.DUMMYFUNCTION("""COMPUTED_VALUE"""),45049.6458333333)</f>
        <v>45049.645833333299</v>
      </c>
      <c r="B457" s="1">
        <f ca="1">IFERROR(__xludf.DUMMYFUNCTION("""COMPUTED_VALUE"""),1269.15)</f>
        <v>1269.1500000000001</v>
      </c>
      <c r="C457" s="3">
        <f t="shared" ca="1" si="14"/>
        <v>-6.4973188774511362E-3</v>
      </c>
      <c r="D457">
        <f t="shared" ca="1" si="13"/>
        <v>1412.1214285714286</v>
      </c>
    </row>
    <row r="458" spans="1:4" x14ac:dyDescent="0.25">
      <c r="A458" s="2">
        <f ca="1">IFERROR(__xludf.DUMMYFUNCTION("""COMPUTED_VALUE"""),45050.6458333333)</f>
        <v>45050.645833333299</v>
      </c>
      <c r="B458" s="1">
        <f ca="1">IFERROR(__xludf.DUMMYFUNCTION("""COMPUTED_VALUE"""),1273.55)</f>
        <v>1273.55</v>
      </c>
      <c r="C458" s="3">
        <f t="shared" ca="1" si="14"/>
        <v>3.4668872867666257E-3</v>
      </c>
      <c r="D458">
        <f t="shared" ca="1" si="13"/>
        <v>1405.4295918367347</v>
      </c>
    </row>
    <row r="459" spans="1:4" x14ac:dyDescent="0.25">
      <c r="A459" s="2">
        <f ca="1">IFERROR(__xludf.DUMMYFUNCTION("""COMPUTED_VALUE"""),45051.6458333333)</f>
        <v>45051.645833333299</v>
      </c>
      <c r="B459" s="1">
        <f ca="1">IFERROR(__xludf.DUMMYFUNCTION("""COMPUTED_VALUE"""),1259.1)</f>
        <v>1259.0999999999999</v>
      </c>
      <c r="C459" s="3">
        <f t="shared" ca="1" si="14"/>
        <v>-1.1346236896863135E-2</v>
      </c>
      <c r="D459">
        <f t="shared" ca="1" si="13"/>
        <v>1398.7306122448981</v>
      </c>
    </row>
    <row r="460" spans="1:4" x14ac:dyDescent="0.25">
      <c r="A460" s="2">
        <f ca="1">IFERROR(__xludf.DUMMYFUNCTION("""COMPUTED_VALUE"""),45054.6458333333)</f>
        <v>45054.645833333299</v>
      </c>
      <c r="B460" s="1">
        <f ca="1">IFERROR(__xludf.DUMMYFUNCTION("""COMPUTED_VALUE"""),1265.6)</f>
        <v>1265.5999999999999</v>
      </c>
      <c r="C460" s="3">
        <f t="shared" ca="1" si="14"/>
        <v>5.1624175998729255E-3</v>
      </c>
      <c r="D460">
        <f t="shared" ca="1" si="13"/>
        <v>1392.1040816326531</v>
      </c>
    </row>
    <row r="461" spans="1:4" x14ac:dyDescent="0.25">
      <c r="A461" s="2">
        <f ca="1">IFERROR(__xludf.DUMMYFUNCTION("""COMPUTED_VALUE"""),45055.6458333333)</f>
        <v>45055.645833333299</v>
      </c>
      <c r="B461" s="1">
        <f ca="1">IFERROR(__xludf.DUMMYFUNCTION("""COMPUTED_VALUE"""),1270.7)</f>
        <v>1270.7</v>
      </c>
      <c r="C461" s="3">
        <f t="shared" ca="1" si="14"/>
        <v>4.0297092288243816E-3</v>
      </c>
      <c r="D461">
        <f t="shared" ca="1" si="13"/>
        <v>1385.4336734693879</v>
      </c>
    </row>
    <row r="462" spans="1:4" x14ac:dyDescent="0.25">
      <c r="A462" s="2">
        <f ca="1">IFERROR(__xludf.DUMMYFUNCTION("""COMPUTED_VALUE"""),45056.6458333333)</f>
        <v>45056.645833333299</v>
      </c>
      <c r="B462" s="1">
        <f ca="1">IFERROR(__xludf.DUMMYFUNCTION("""COMPUTED_VALUE"""),1263.25)</f>
        <v>1263.25</v>
      </c>
      <c r="C462" s="3">
        <f t="shared" ca="1" si="14"/>
        <v>-5.86291020697257E-3</v>
      </c>
      <c r="D462">
        <f t="shared" ca="1" si="13"/>
        <v>1379.1316326530614</v>
      </c>
    </row>
    <row r="463" spans="1:4" x14ac:dyDescent="0.25">
      <c r="A463" s="2">
        <f ca="1">IFERROR(__xludf.DUMMYFUNCTION("""COMPUTED_VALUE"""),45057.6458333333)</f>
        <v>45057.645833333299</v>
      </c>
      <c r="B463" s="1">
        <f ca="1">IFERROR(__xludf.DUMMYFUNCTION("""COMPUTED_VALUE"""),1256.1)</f>
        <v>1256.0999999999999</v>
      </c>
      <c r="C463" s="3">
        <f t="shared" ca="1" si="14"/>
        <v>-5.6600039580447983E-3</v>
      </c>
      <c r="D463">
        <f t="shared" ca="1" si="13"/>
        <v>1373.0387755102042</v>
      </c>
    </row>
    <row r="464" spans="1:4" x14ac:dyDescent="0.25">
      <c r="A464" s="2">
        <f ca="1">IFERROR(__xludf.DUMMYFUNCTION("""COMPUTED_VALUE"""),45058.6458333333)</f>
        <v>45058.645833333299</v>
      </c>
      <c r="B464" s="1">
        <f ca="1">IFERROR(__xludf.DUMMYFUNCTION("""COMPUTED_VALUE"""),1245.2)</f>
        <v>1245.2</v>
      </c>
      <c r="C464" s="3">
        <f t="shared" ca="1" si="14"/>
        <v>-8.6776530531007603E-3</v>
      </c>
      <c r="D464">
        <f t="shared" ca="1" si="13"/>
        <v>1367.0265306122453</v>
      </c>
    </row>
    <row r="465" spans="1:4" x14ac:dyDescent="0.25">
      <c r="A465" s="2">
        <f ca="1">IFERROR(__xludf.DUMMYFUNCTION("""COMPUTED_VALUE"""),45061.6458333333)</f>
        <v>45061.645833333299</v>
      </c>
      <c r="B465" s="1">
        <f ca="1">IFERROR(__xludf.DUMMYFUNCTION("""COMPUTED_VALUE"""),1258.35)</f>
        <v>1258.3499999999999</v>
      </c>
      <c r="C465" s="3">
        <f t="shared" ca="1" si="14"/>
        <v>1.0560552521683154E-2</v>
      </c>
      <c r="D465">
        <f t="shared" ca="1" si="13"/>
        <v>1360.7928571428572</v>
      </c>
    </row>
    <row r="466" spans="1:4" x14ac:dyDescent="0.25">
      <c r="A466" s="2">
        <f ca="1">IFERROR(__xludf.DUMMYFUNCTION("""COMPUTED_VALUE"""),45062.6458333333)</f>
        <v>45062.645833333299</v>
      </c>
      <c r="B466" s="1">
        <f ca="1">IFERROR(__xludf.DUMMYFUNCTION("""COMPUTED_VALUE"""),1264.3)</f>
        <v>1264.3</v>
      </c>
      <c r="C466" s="3">
        <f t="shared" ca="1" si="14"/>
        <v>4.7284141931895306E-3</v>
      </c>
      <c r="D466">
        <f t="shared" ca="1" si="13"/>
        <v>1355.6714285714288</v>
      </c>
    </row>
    <row r="467" spans="1:4" x14ac:dyDescent="0.25">
      <c r="A467" s="2">
        <f ca="1">IFERROR(__xludf.DUMMYFUNCTION("""COMPUTED_VALUE"""),45063.6458333333)</f>
        <v>45063.645833333299</v>
      </c>
      <c r="B467" s="1">
        <f ca="1">IFERROR(__xludf.DUMMYFUNCTION("""COMPUTED_VALUE"""),1246.9)</f>
        <v>1246.9000000000001</v>
      </c>
      <c r="C467" s="3">
        <f t="shared" ca="1" si="14"/>
        <v>-1.3762556355295313E-2</v>
      </c>
      <c r="D467">
        <f t="shared" ca="1" si="13"/>
        <v>1351.1153061224488</v>
      </c>
    </row>
    <row r="468" spans="1:4" x14ac:dyDescent="0.25">
      <c r="A468" s="2">
        <f ca="1">IFERROR(__xludf.DUMMYFUNCTION("""COMPUTED_VALUE"""),45064.6458333333)</f>
        <v>45064.645833333299</v>
      </c>
      <c r="B468" s="1">
        <f ca="1">IFERROR(__xludf.DUMMYFUNCTION("""COMPUTED_VALUE"""),1246)</f>
        <v>1246</v>
      </c>
      <c r="C468" s="3">
        <f t="shared" ca="1" si="14"/>
        <v>-7.2179003929753055E-4</v>
      </c>
      <c r="D468">
        <f t="shared" ca="1" si="13"/>
        <v>1346.0306122448981</v>
      </c>
    </row>
    <row r="469" spans="1:4" x14ac:dyDescent="0.25">
      <c r="A469" s="2">
        <f ca="1">IFERROR(__xludf.DUMMYFUNCTION("""COMPUTED_VALUE"""),45065.6458333333)</f>
        <v>45065.645833333299</v>
      </c>
      <c r="B469" s="1">
        <f ca="1">IFERROR(__xludf.DUMMYFUNCTION("""COMPUTED_VALUE"""),1268.9)</f>
        <v>1268.9000000000001</v>
      </c>
      <c r="C469" s="3">
        <f t="shared" ca="1" si="14"/>
        <v>1.837881219903699E-2</v>
      </c>
      <c r="D469">
        <f t="shared" ca="1" si="13"/>
        <v>1341.415306122449</v>
      </c>
    </row>
    <row r="470" spans="1:4" x14ac:dyDescent="0.25">
      <c r="A470" s="2">
        <f ca="1">IFERROR(__xludf.DUMMYFUNCTION("""COMPUTED_VALUE"""),45068.6458333333)</f>
        <v>45068.645833333299</v>
      </c>
      <c r="B470" s="1">
        <f ca="1">IFERROR(__xludf.DUMMYFUNCTION("""COMPUTED_VALUE"""),1292.8)</f>
        <v>1292.8</v>
      </c>
      <c r="C470" s="3">
        <f t="shared" ca="1" si="14"/>
        <v>1.8835211600598836E-2</v>
      </c>
      <c r="D470">
        <f t="shared" ca="1" si="13"/>
        <v>1337.1214285714286</v>
      </c>
    </row>
    <row r="471" spans="1:4" x14ac:dyDescent="0.25">
      <c r="A471" s="2">
        <f ca="1">IFERROR(__xludf.DUMMYFUNCTION("""COMPUTED_VALUE"""),45069.6458333333)</f>
        <v>45069.645833333299</v>
      </c>
      <c r="B471" s="1">
        <f ca="1">IFERROR(__xludf.DUMMYFUNCTION("""COMPUTED_VALUE"""),1300.05)</f>
        <v>1300.05</v>
      </c>
      <c r="C471" s="3">
        <f t="shared" ca="1" si="14"/>
        <v>5.6079826732673265E-3</v>
      </c>
      <c r="D471">
        <f t="shared" ca="1" si="13"/>
        <v>1332.7408163265306</v>
      </c>
    </row>
    <row r="472" spans="1:4" x14ac:dyDescent="0.25">
      <c r="A472" s="2">
        <f ca="1">IFERROR(__xludf.DUMMYFUNCTION("""COMPUTED_VALUE"""),45070.6458333333)</f>
        <v>45070.645833333299</v>
      </c>
      <c r="B472" s="1">
        <f ca="1">IFERROR(__xludf.DUMMYFUNCTION("""COMPUTED_VALUE"""),1298.65)</f>
        <v>1298.6500000000001</v>
      </c>
      <c r="C472" s="3">
        <f t="shared" ca="1" si="14"/>
        <v>-1.0768816583976491E-3</v>
      </c>
      <c r="D472">
        <f t="shared" ca="1" si="13"/>
        <v>1328.8091836734693</v>
      </c>
    </row>
    <row r="473" spans="1:4" x14ac:dyDescent="0.25">
      <c r="A473" s="2">
        <f ca="1">IFERROR(__xludf.DUMMYFUNCTION("""COMPUTED_VALUE"""),45071.6458333333)</f>
        <v>45071.645833333299</v>
      </c>
      <c r="B473" s="1">
        <f ca="1">IFERROR(__xludf.DUMMYFUNCTION("""COMPUTED_VALUE"""),1304.35)</f>
        <v>1304.3499999999999</v>
      </c>
      <c r="C473" s="3">
        <f t="shared" ca="1" si="14"/>
        <v>4.389173372348067E-3</v>
      </c>
      <c r="D473">
        <f t="shared" ca="1" si="13"/>
        <v>1325.1000000000001</v>
      </c>
    </row>
    <row r="474" spans="1:4" x14ac:dyDescent="0.25">
      <c r="A474" s="2">
        <f ca="1">IFERROR(__xludf.DUMMYFUNCTION("""COMPUTED_VALUE"""),45072.6458333333)</f>
        <v>45072.645833333299</v>
      </c>
      <c r="B474" s="1">
        <f ca="1">IFERROR(__xludf.DUMMYFUNCTION("""COMPUTED_VALUE"""),1317.45)</f>
        <v>1317.45</v>
      </c>
      <c r="C474" s="3">
        <f t="shared" ca="1" si="14"/>
        <v>1.0043316594472447E-2</v>
      </c>
      <c r="D474">
        <f t="shared" ca="1" si="13"/>
        <v>1321.6877551020409</v>
      </c>
    </row>
    <row r="475" spans="1:4" x14ac:dyDescent="0.25">
      <c r="A475" s="2">
        <f ca="1">IFERROR(__xludf.DUMMYFUNCTION("""COMPUTED_VALUE"""),45075.6458333333)</f>
        <v>45075.645833333299</v>
      </c>
      <c r="B475" s="1">
        <f ca="1">IFERROR(__xludf.DUMMYFUNCTION("""COMPUTED_VALUE"""),1314.4)</f>
        <v>1314.4</v>
      </c>
      <c r="C475" s="3">
        <f t="shared" ca="1" si="14"/>
        <v>-2.3150783710956429E-3</v>
      </c>
      <c r="D475">
        <f t="shared" ca="1" si="13"/>
        <v>1319.2867346938776</v>
      </c>
    </row>
    <row r="476" spans="1:4" x14ac:dyDescent="0.25">
      <c r="A476" s="2">
        <f ca="1">IFERROR(__xludf.DUMMYFUNCTION("""COMPUTED_VALUE"""),45076.6458333333)</f>
        <v>45076.645833333299</v>
      </c>
      <c r="B476" s="1">
        <f ca="1">IFERROR(__xludf.DUMMYFUNCTION("""COMPUTED_VALUE"""),1323.85)</f>
        <v>1323.85</v>
      </c>
      <c r="C476" s="3">
        <f t="shared" ca="1" si="14"/>
        <v>7.1895922093729589E-3</v>
      </c>
      <c r="D476">
        <f t="shared" ca="1" si="13"/>
        <v>1317.1316326530614</v>
      </c>
    </row>
    <row r="477" spans="1:4" x14ac:dyDescent="0.25">
      <c r="A477" s="2">
        <f ca="1">IFERROR(__xludf.DUMMYFUNCTION("""COMPUTED_VALUE"""),45077.6458333333)</f>
        <v>45077.645833333299</v>
      </c>
      <c r="B477" s="1">
        <f ca="1">IFERROR(__xludf.DUMMYFUNCTION("""COMPUTED_VALUE"""),1318.3)</f>
        <v>1318.3</v>
      </c>
      <c r="C477" s="3">
        <f t="shared" ca="1" si="14"/>
        <v>-4.1923178607847977E-3</v>
      </c>
      <c r="D477">
        <f t="shared" ca="1" si="13"/>
        <v>1315.176530612245</v>
      </c>
    </row>
    <row r="478" spans="1:4" x14ac:dyDescent="0.25">
      <c r="A478" s="2">
        <f ca="1">IFERROR(__xludf.DUMMYFUNCTION("""COMPUTED_VALUE"""),45078.6458333333)</f>
        <v>45078.645833333299</v>
      </c>
      <c r="B478" s="1">
        <f ca="1">IFERROR(__xludf.DUMMYFUNCTION("""COMPUTED_VALUE"""),1319.5)</f>
        <v>1319.5</v>
      </c>
      <c r="C478" s="3">
        <f t="shared" ca="1" si="14"/>
        <v>9.1026321778050936E-4</v>
      </c>
      <c r="D478">
        <f t="shared" ca="1" si="13"/>
        <v>1313.4255102040818</v>
      </c>
    </row>
    <row r="479" spans="1:4" x14ac:dyDescent="0.25">
      <c r="A479" s="2">
        <f ca="1">IFERROR(__xludf.DUMMYFUNCTION("""COMPUTED_VALUE"""),45079.6458333333)</f>
        <v>45079.645833333299</v>
      </c>
      <c r="B479" s="1">
        <f ca="1">IFERROR(__xludf.DUMMYFUNCTION("""COMPUTED_VALUE"""),1299)</f>
        <v>1299</v>
      </c>
      <c r="C479" s="3">
        <f t="shared" ca="1" si="14"/>
        <v>-1.5536187949981054E-2</v>
      </c>
      <c r="D479">
        <f t="shared" ca="1" si="13"/>
        <v>1311.3602040816327</v>
      </c>
    </row>
    <row r="480" spans="1:4" x14ac:dyDescent="0.25">
      <c r="A480" s="2">
        <f ca="1">IFERROR(__xludf.DUMMYFUNCTION("""COMPUTED_VALUE"""),45082.6458333333)</f>
        <v>45082.645833333299</v>
      </c>
      <c r="B480" s="1">
        <f ca="1">IFERROR(__xludf.DUMMYFUNCTION("""COMPUTED_VALUE"""),1304.5)</f>
        <v>1304.5</v>
      </c>
      <c r="C480" s="3">
        <f t="shared" ca="1" si="14"/>
        <v>4.2340261739799842E-3</v>
      </c>
      <c r="D480">
        <f t="shared" ca="1" si="13"/>
        <v>1309.2244897959183</v>
      </c>
    </row>
    <row r="481" spans="1:4" x14ac:dyDescent="0.25">
      <c r="A481" s="2">
        <f ca="1">IFERROR(__xludf.DUMMYFUNCTION("""COMPUTED_VALUE"""),45083.6458333333)</f>
        <v>45083.645833333299</v>
      </c>
      <c r="B481" s="1">
        <f ca="1">IFERROR(__xludf.DUMMYFUNCTION("""COMPUTED_VALUE"""),1279)</f>
        <v>1279</v>
      </c>
      <c r="C481" s="3">
        <f t="shared" ca="1" si="14"/>
        <v>-1.9547719432732848E-2</v>
      </c>
      <c r="D481">
        <f t="shared" ca="1" si="13"/>
        <v>1307.465306122449</v>
      </c>
    </row>
    <row r="482" spans="1:4" x14ac:dyDescent="0.25">
      <c r="A482" s="2">
        <f ca="1">IFERROR(__xludf.DUMMYFUNCTION("""COMPUTED_VALUE"""),45084.6458333333)</f>
        <v>45084.645833333299</v>
      </c>
      <c r="B482" s="1">
        <f ca="1">IFERROR(__xludf.DUMMYFUNCTION("""COMPUTED_VALUE"""),1288.95)</f>
        <v>1288.95</v>
      </c>
      <c r="C482" s="3">
        <f t="shared" ca="1" si="14"/>
        <v>7.779515246286197E-3</v>
      </c>
      <c r="D482">
        <f t="shared" ca="1" si="13"/>
        <v>1305.215306122449</v>
      </c>
    </row>
    <row r="483" spans="1:4" x14ac:dyDescent="0.25">
      <c r="A483" s="2">
        <f ca="1">IFERROR(__xludf.DUMMYFUNCTION("""COMPUTED_VALUE"""),45085.6458333333)</f>
        <v>45085.645833333299</v>
      </c>
      <c r="B483" s="1">
        <f ca="1">IFERROR(__xludf.DUMMYFUNCTION("""COMPUTED_VALUE"""),1282.8)</f>
        <v>1282.8</v>
      </c>
      <c r="C483" s="3">
        <f t="shared" ca="1" si="14"/>
        <v>-4.771325497498034E-3</v>
      </c>
      <c r="D483">
        <f t="shared" ca="1" si="13"/>
        <v>1303.4683673469387</v>
      </c>
    </row>
    <row r="484" spans="1:4" x14ac:dyDescent="0.25">
      <c r="A484" s="2">
        <f ca="1">IFERROR(__xludf.DUMMYFUNCTION("""COMPUTED_VALUE"""),45086.6458333333)</f>
        <v>45086.645833333299</v>
      </c>
      <c r="B484" s="1">
        <f ca="1">IFERROR(__xludf.DUMMYFUNCTION("""COMPUTED_VALUE"""),1265.95)</f>
        <v>1265.95</v>
      </c>
      <c r="C484" s="3">
        <f t="shared" ca="1" si="14"/>
        <v>-1.3135328967882685E-2</v>
      </c>
      <c r="D484">
        <f t="shared" ca="1" si="13"/>
        <v>1301.4714285714285</v>
      </c>
    </row>
    <row r="485" spans="1:4" x14ac:dyDescent="0.25">
      <c r="A485" s="2">
        <f ca="1">IFERROR(__xludf.DUMMYFUNCTION("""COMPUTED_VALUE"""),45089.6458333333)</f>
        <v>45089.645833333299</v>
      </c>
      <c r="B485" s="1">
        <f ca="1">IFERROR(__xludf.DUMMYFUNCTION("""COMPUTED_VALUE"""),1291.95)</f>
        <v>1291.95</v>
      </c>
      <c r="C485" s="3">
        <f t="shared" ca="1" si="14"/>
        <v>2.0537935937438287E-2</v>
      </c>
      <c r="D485">
        <f t="shared" ca="1" si="13"/>
        <v>1298.961224489796</v>
      </c>
    </row>
    <row r="486" spans="1:4" x14ac:dyDescent="0.25">
      <c r="A486" s="2">
        <f ca="1">IFERROR(__xludf.DUMMYFUNCTION("""COMPUTED_VALUE"""),45090.6458333333)</f>
        <v>45090.645833333299</v>
      </c>
      <c r="B486" s="1">
        <f ca="1">IFERROR(__xludf.DUMMYFUNCTION("""COMPUTED_VALUE"""),1304.85)</f>
        <v>1304.8499999999999</v>
      </c>
      <c r="C486" s="3">
        <f t="shared" ca="1" si="14"/>
        <v>9.9849065366305681E-3</v>
      </c>
      <c r="D486">
        <f t="shared" ca="1" si="13"/>
        <v>1297.2132653061224</v>
      </c>
    </row>
    <row r="487" spans="1:4" x14ac:dyDescent="0.25">
      <c r="A487" s="2">
        <f ca="1">IFERROR(__xludf.DUMMYFUNCTION("""COMPUTED_VALUE"""),45091.6458333333)</f>
        <v>45091.645833333299</v>
      </c>
      <c r="B487" s="1">
        <f ca="1">IFERROR(__xludf.DUMMYFUNCTION("""COMPUTED_VALUE"""),1300.4)</f>
        <v>1300.4000000000001</v>
      </c>
      <c r="C487" s="3">
        <f t="shared" ca="1" si="14"/>
        <v>-3.4103536804995353E-3</v>
      </c>
      <c r="D487">
        <f t="shared" ca="1" si="13"/>
        <v>1295.6071428571429</v>
      </c>
    </row>
    <row r="488" spans="1:4" x14ac:dyDescent="0.25">
      <c r="A488" s="2">
        <f ca="1">IFERROR(__xludf.DUMMYFUNCTION("""COMPUTED_VALUE"""),45092.6458333333)</f>
        <v>45092.645833333299</v>
      </c>
      <c r="B488" s="1">
        <f ca="1">IFERROR(__xludf.DUMMYFUNCTION("""COMPUTED_VALUE"""),1286.8)</f>
        <v>1286.8</v>
      </c>
      <c r="C488" s="3">
        <f t="shared" ca="1" si="14"/>
        <v>-1.0458320516764177E-2</v>
      </c>
      <c r="D488">
        <f t="shared" ca="1" si="13"/>
        <v>1293.0040816326532</v>
      </c>
    </row>
    <row r="489" spans="1:4" x14ac:dyDescent="0.25">
      <c r="A489" s="2">
        <f ca="1">IFERROR(__xludf.DUMMYFUNCTION("""COMPUTED_VALUE"""),45093.6458333333)</f>
        <v>45093.645833333299</v>
      </c>
      <c r="B489" s="1">
        <f ca="1">IFERROR(__xludf.DUMMYFUNCTION("""COMPUTED_VALUE"""),1291.65)</f>
        <v>1291.6500000000001</v>
      </c>
      <c r="C489" s="3">
        <f t="shared" ca="1" si="14"/>
        <v>3.7690394777744299E-3</v>
      </c>
      <c r="D489">
        <f t="shared" ca="1" si="13"/>
        <v>1290.4724489795919</v>
      </c>
    </row>
    <row r="490" spans="1:4" x14ac:dyDescent="0.25">
      <c r="A490" s="2">
        <f ca="1">IFERROR(__xludf.DUMMYFUNCTION("""COMPUTED_VALUE"""),45096.6458333333)</f>
        <v>45096.645833333299</v>
      </c>
      <c r="B490" s="1">
        <f ca="1">IFERROR(__xludf.DUMMYFUNCTION("""COMPUTED_VALUE"""),1294)</f>
        <v>1294</v>
      </c>
      <c r="C490" s="3">
        <f t="shared" ca="1" si="14"/>
        <v>1.8193783145588271E-3</v>
      </c>
      <c r="D490">
        <f t="shared" ca="1" si="13"/>
        <v>1287.7806122448981</v>
      </c>
    </row>
    <row r="491" spans="1:4" x14ac:dyDescent="0.25">
      <c r="A491" s="2">
        <f ca="1">IFERROR(__xludf.DUMMYFUNCTION("""COMPUTED_VALUE"""),45097.6458333333)</f>
        <v>45097.645833333299</v>
      </c>
      <c r="B491" s="1">
        <f ca="1">IFERROR(__xludf.DUMMYFUNCTION("""COMPUTED_VALUE"""),1303.4)</f>
        <v>1303.4000000000001</v>
      </c>
      <c r="C491" s="3">
        <f t="shared" ca="1" si="14"/>
        <v>7.2642967542504563E-3</v>
      </c>
      <c r="D491">
        <f t="shared" ca="1" si="13"/>
        <v>1285.1704081632652</v>
      </c>
    </row>
    <row r="492" spans="1:4" x14ac:dyDescent="0.25">
      <c r="A492" s="2">
        <f ca="1">IFERROR(__xludf.DUMMYFUNCTION("""COMPUTED_VALUE"""),45098.6458333333)</f>
        <v>45098.645833333299</v>
      </c>
      <c r="B492" s="1">
        <f ca="1">IFERROR(__xludf.DUMMYFUNCTION("""COMPUTED_VALUE"""),1299.35)</f>
        <v>1299.3499999999999</v>
      </c>
      <c r="C492" s="3">
        <f t="shared" ca="1" si="14"/>
        <v>-3.1072579407704325E-3</v>
      </c>
      <c r="D492">
        <f t="shared" ca="1" si="13"/>
        <v>1282.6357142857144</v>
      </c>
    </row>
    <row r="493" spans="1:4" x14ac:dyDescent="0.25">
      <c r="A493" s="2">
        <f ca="1">IFERROR(__xludf.DUMMYFUNCTION("""COMPUTED_VALUE"""),45099.6458333333)</f>
        <v>45099.645833333299</v>
      </c>
      <c r="B493" s="1">
        <f ca="1">IFERROR(__xludf.DUMMYFUNCTION("""COMPUTED_VALUE"""),1281.55)</f>
        <v>1281.55</v>
      </c>
      <c r="C493" s="3">
        <f t="shared" ca="1" si="14"/>
        <v>-1.3699157270943129E-2</v>
      </c>
      <c r="D493">
        <f t="shared" ca="1" si="13"/>
        <v>1280.4561224489796</v>
      </c>
    </row>
    <row r="494" spans="1:4" x14ac:dyDescent="0.25">
      <c r="A494" s="2">
        <f ca="1">IFERROR(__xludf.DUMMYFUNCTION("""COMPUTED_VALUE"""),45100.6458333333)</f>
        <v>45100.645833333299</v>
      </c>
      <c r="B494" s="1">
        <f ca="1">IFERROR(__xludf.DUMMYFUNCTION("""COMPUTED_VALUE"""),1265)</f>
        <v>1265</v>
      </c>
      <c r="C494" s="3">
        <f t="shared" ca="1" si="14"/>
        <v>-1.2914049393312751E-2</v>
      </c>
      <c r="D494">
        <f t="shared" ca="1" si="13"/>
        <v>1277.461224489796</v>
      </c>
    </row>
    <row r="495" spans="1:4" x14ac:dyDescent="0.25">
      <c r="A495" s="2">
        <f ca="1">IFERROR(__xludf.DUMMYFUNCTION("""COMPUTED_VALUE"""),45103.6458333333)</f>
        <v>45103.645833333299</v>
      </c>
      <c r="B495" s="1">
        <f ca="1">IFERROR(__xludf.DUMMYFUNCTION("""COMPUTED_VALUE"""),1270.35)</f>
        <v>1270.3499999999999</v>
      </c>
      <c r="C495" s="3">
        <f t="shared" ca="1" si="14"/>
        <v>4.2292490118576356E-3</v>
      </c>
      <c r="D495">
        <f t="shared" ca="1" si="13"/>
        <v>1274.9265306122447</v>
      </c>
    </row>
    <row r="496" spans="1:4" x14ac:dyDescent="0.25">
      <c r="A496" s="2">
        <f ca="1">IFERROR(__xludf.DUMMYFUNCTION("""COMPUTED_VALUE"""),45104.6458333333)</f>
        <v>45104.645833333299</v>
      </c>
      <c r="B496" s="1">
        <f ca="1">IFERROR(__xludf.DUMMYFUNCTION("""COMPUTED_VALUE"""),1279.15)</f>
        <v>1279.1500000000001</v>
      </c>
      <c r="C496" s="3">
        <f t="shared" ca="1" si="14"/>
        <v>6.9272247805724271E-3</v>
      </c>
      <c r="D496">
        <f t="shared" ca="1" si="13"/>
        <v>1275.1724489795918</v>
      </c>
    </row>
    <row r="497" spans="1:4" x14ac:dyDescent="0.25">
      <c r="A497" s="2">
        <f ca="1">IFERROR(__xludf.DUMMYFUNCTION("""COMPUTED_VALUE"""),45105.6458333333)</f>
        <v>45105.645833333299</v>
      </c>
      <c r="B497" s="1">
        <f ca="1">IFERROR(__xludf.DUMMYFUNCTION("""COMPUTED_VALUE"""),1293.35)</f>
        <v>1293.3499999999999</v>
      </c>
      <c r="C497" s="3">
        <f t="shared" ca="1" si="14"/>
        <v>1.1101121838720883E-2</v>
      </c>
      <c r="D497">
        <f t="shared" ca="1" si="13"/>
        <v>1275.5765306122448</v>
      </c>
    </row>
    <row r="498" spans="1:4" x14ac:dyDescent="0.25">
      <c r="A498" s="2">
        <f ca="1">IFERROR(__xludf.DUMMYFUNCTION("""COMPUTED_VALUE"""),45107.6458333333)</f>
        <v>45107.645833333299</v>
      </c>
      <c r="B498" s="1">
        <f ca="1">IFERROR(__xludf.DUMMYFUNCTION("""COMPUTED_VALUE"""),1335.5)</f>
        <v>1335.5</v>
      </c>
      <c r="C498" s="3">
        <f t="shared" ca="1" si="14"/>
        <v>3.2589786214095251E-2</v>
      </c>
      <c r="D498">
        <f t="shared" ca="1" si="13"/>
        <v>1276.8244897959185</v>
      </c>
    </row>
    <row r="499" spans="1:4" x14ac:dyDescent="0.25">
      <c r="A499" s="2">
        <f ca="1">IFERROR(__xludf.DUMMYFUNCTION("""COMPUTED_VALUE"""),45110.6458333333)</f>
        <v>45110.645833333299</v>
      </c>
      <c r="B499" s="1">
        <f ca="1">IFERROR(__xludf.DUMMYFUNCTION("""COMPUTED_VALUE"""),1333.7)</f>
        <v>1333.7</v>
      </c>
      <c r="C499" s="3">
        <f t="shared" ca="1" si="14"/>
        <v>-1.347809809060243E-3</v>
      </c>
      <c r="D499">
        <f t="shared" ca="1" si="13"/>
        <v>1279.1122448979593</v>
      </c>
    </row>
    <row r="500" spans="1:4" x14ac:dyDescent="0.25">
      <c r="A500" s="2">
        <f ca="1">IFERROR(__xludf.DUMMYFUNCTION("""COMPUTED_VALUE"""),45111.6458333333)</f>
        <v>45111.645833333299</v>
      </c>
      <c r="B500" s="1">
        <f ca="1">IFERROR(__xludf.DUMMYFUNCTION("""COMPUTED_VALUE"""),1345.15)</f>
        <v>1345.15</v>
      </c>
      <c r="C500" s="3">
        <f t="shared" ca="1" si="14"/>
        <v>8.5851390867511777E-3</v>
      </c>
      <c r="D500">
        <f t="shared" ref="D500:D563" ca="1" si="15">AVERAGE(B451:B499)</f>
        <v>1281.2826530612247</v>
      </c>
    </row>
    <row r="501" spans="1:4" x14ac:dyDescent="0.25">
      <c r="A501" s="2">
        <f ca="1">IFERROR(__xludf.DUMMYFUNCTION("""COMPUTED_VALUE"""),45112.6458333333)</f>
        <v>45112.645833333299</v>
      </c>
      <c r="B501" s="1">
        <f ca="1">IFERROR(__xludf.DUMMYFUNCTION("""COMPUTED_VALUE"""),1347.3)</f>
        <v>1347.3</v>
      </c>
      <c r="C501" s="3">
        <f t="shared" ca="1" si="14"/>
        <v>1.5983347582053031E-3</v>
      </c>
      <c r="D501">
        <f t="shared" ca="1" si="15"/>
        <v>1283.7081632653062</v>
      </c>
    </row>
    <row r="502" spans="1:4" x14ac:dyDescent="0.25">
      <c r="A502" s="2">
        <f ca="1">IFERROR(__xludf.DUMMYFUNCTION("""COMPUTED_VALUE"""),45113.6458333333)</f>
        <v>45113.645833333299</v>
      </c>
      <c r="B502" s="1">
        <f ca="1">IFERROR(__xludf.DUMMYFUNCTION("""COMPUTED_VALUE"""),1343.9)</f>
        <v>1343.9</v>
      </c>
      <c r="C502" s="3">
        <f t="shared" ca="1" si="14"/>
        <v>-2.5235656498180537E-3</v>
      </c>
      <c r="D502">
        <f t="shared" ca="1" si="15"/>
        <v>1286.2061224489796</v>
      </c>
    </row>
    <row r="503" spans="1:4" x14ac:dyDescent="0.25">
      <c r="A503" s="2">
        <f ca="1">IFERROR(__xludf.DUMMYFUNCTION("""COMPUTED_VALUE"""),45114.6458333333)</f>
        <v>45114.645833333299</v>
      </c>
      <c r="B503" s="1">
        <f ca="1">IFERROR(__xludf.DUMMYFUNCTION("""COMPUTED_VALUE"""),1330.2)</f>
        <v>1330.2</v>
      </c>
      <c r="C503" s="3">
        <f t="shared" ca="1" si="14"/>
        <v>-1.0194210878785658E-2</v>
      </c>
      <c r="D503">
        <f t="shared" ca="1" si="15"/>
        <v>1288.5806122448982</v>
      </c>
    </row>
    <row r="504" spans="1:4" x14ac:dyDescent="0.25">
      <c r="A504" s="2">
        <f ca="1">IFERROR(__xludf.DUMMYFUNCTION("""COMPUTED_VALUE"""),45117.6458333333)</f>
        <v>45117.645833333299</v>
      </c>
      <c r="B504" s="1">
        <f ca="1">IFERROR(__xludf.DUMMYFUNCTION("""COMPUTED_VALUE"""),1329.15)</f>
        <v>1329.15</v>
      </c>
      <c r="C504" s="3">
        <f t="shared" ca="1" si="14"/>
        <v>-7.8935498421286608E-4</v>
      </c>
      <c r="D504">
        <f t="shared" ca="1" si="15"/>
        <v>1290.2938775510204</v>
      </c>
    </row>
    <row r="505" spans="1:4" x14ac:dyDescent="0.25">
      <c r="A505" s="2">
        <f ca="1">IFERROR(__xludf.DUMMYFUNCTION("""COMPUTED_VALUE"""),45118.6458333333)</f>
        <v>45118.645833333299</v>
      </c>
      <c r="B505" s="1">
        <f ca="1">IFERROR(__xludf.DUMMYFUNCTION("""COMPUTED_VALUE"""),1348.6)</f>
        <v>1348.6</v>
      </c>
      <c r="C505" s="3">
        <f t="shared" ca="1" si="14"/>
        <v>1.4633412331188969E-2</v>
      </c>
      <c r="D505">
        <f t="shared" ca="1" si="15"/>
        <v>1291.8530612244899</v>
      </c>
    </row>
    <row r="506" spans="1:4" x14ac:dyDescent="0.25">
      <c r="A506" s="2">
        <f ca="1">IFERROR(__xludf.DUMMYFUNCTION("""COMPUTED_VALUE"""),45119.6458333333)</f>
        <v>45119.645833333299</v>
      </c>
      <c r="B506" s="1">
        <f ca="1">IFERROR(__xludf.DUMMYFUNCTION("""COMPUTED_VALUE"""),1333.3)</f>
        <v>1333.3</v>
      </c>
      <c r="C506" s="3">
        <f t="shared" ca="1" si="14"/>
        <v>-1.13450986207919E-2</v>
      </c>
      <c r="D506">
        <f t="shared" ca="1" si="15"/>
        <v>1293.3051020408163</v>
      </c>
    </row>
    <row r="507" spans="1:4" x14ac:dyDescent="0.25">
      <c r="A507" s="2">
        <f ca="1">IFERROR(__xludf.DUMMYFUNCTION("""COMPUTED_VALUE"""),45120.6458333333)</f>
        <v>45120.645833333299</v>
      </c>
      <c r="B507" s="1">
        <f ca="1">IFERROR(__xludf.DUMMYFUNCTION("""COMPUTED_VALUE"""),1365.1)</f>
        <v>1365.1</v>
      </c>
      <c r="C507" s="3">
        <f t="shared" ca="1" si="14"/>
        <v>2.3850596264906588E-2</v>
      </c>
      <c r="D507">
        <f t="shared" ca="1" si="15"/>
        <v>1294.6142857142859</v>
      </c>
    </row>
    <row r="508" spans="1:4" x14ac:dyDescent="0.25">
      <c r="A508" s="2">
        <f ca="1">IFERROR(__xludf.DUMMYFUNCTION("""COMPUTED_VALUE"""),45121.6458333333)</f>
        <v>45121.645833333299</v>
      </c>
      <c r="B508" s="1">
        <f ca="1">IFERROR(__xludf.DUMMYFUNCTION("""COMPUTED_VALUE"""),1425.95)</f>
        <v>1425.95</v>
      </c>
      <c r="C508" s="3">
        <f t="shared" ca="1" si="14"/>
        <v>4.4575488975166756E-2</v>
      </c>
      <c r="D508">
        <f t="shared" ca="1" si="15"/>
        <v>1296.4826530612245</v>
      </c>
    </row>
    <row r="509" spans="1:4" x14ac:dyDescent="0.25">
      <c r="A509" s="2">
        <f ca="1">IFERROR(__xludf.DUMMYFUNCTION("""COMPUTED_VALUE"""),45124.6458333333)</f>
        <v>45124.645833333299</v>
      </c>
      <c r="B509" s="1">
        <f ca="1">IFERROR(__xludf.DUMMYFUNCTION("""COMPUTED_VALUE"""),1422.95)</f>
        <v>1422.95</v>
      </c>
      <c r="C509" s="3">
        <f t="shared" ca="1" si="14"/>
        <v>-2.1038605841719555E-3</v>
      </c>
      <c r="D509">
        <f t="shared" ca="1" si="15"/>
        <v>1299.8877551020407</v>
      </c>
    </row>
    <row r="510" spans="1:4" x14ac:dyDescent="0.25">
      <c r="A510" s="2">
        <f ca="1">IFERROR(__xludf.DUMMYFUNCTION("""COMPUTED_VALUE"""),45125.6458333333)</f>
        <v>45125.645833333299</v>
      </c>
      <c r="B510" s="1">
        <f ca="1">IFERROR(__xludf.DUMMYFUNCTION("""COMPUTED_VALUE"""),1475.2)</f>
        <v>1475.2</v>
      </c>
      <c r="C510" s="3">
        <f t="shared" ca="1" si="14"/>
        <v>3.6719491197863594E-2</v>
      </c>
      <c r="D510">
        <f t="shared" ca="1" si="15"/>
        <v>1303.098979591837</v>
      </c>
    </row>
    <row r="511" spans="1:4" x14ac:dyDescent="0.25">
      <c r="A511" s="2">
        <f ca="1">IFERROR(__xludf.DUMMYFUNCTION("""COMPUTED_VALUE"""),45126.6458333333)</f>
        <v>45126.645833333299</v>
      </c>
      <c r="B511" s="1">
        <f ca="1">IFERROR(__xludf.DUMMYFUNCTION("""COMPUTED_VALUE"""),1474.95)</f>
        <v>1474.95</v>
      </c>
      <c r="C511" s="3">
        <f t="shared" ca="1" si="14"/>
        <v>-1.6946854663774403E-4</v>
      </c>
      <c r="D511">
        <f t="shared" ca="1" si="15"/>
        <v>1307.2724489795919</v>
      </c>
    </row>
    <row r="512" spans="1:4" x14ac:dyDescent="0.25">
      <c r="A512" s="2">
        <f ca="1">IFERROR(__xludf.DUMMYFUNCTION("""COMPUTED_VALUE"""),45127.6458333333)</f>
        <v>45127.645833333299</v>
      </c>
      <c r="B512" s="1">
        <f ca="1">IFERROR(__xludf.DUMMYFUNCTION("""COMPUTED_VALUE"""),1449.5)</f>
        <v>1449.5</v>
      </c>
      <c r="C512" s="3">
        <f t="shared" ca="1" si="14"/>
        <v>-1.7254822197362654E-2</v>
      </c>
      <c r="D512">
        <f t="shared" ca="1" si="15"/>
        <v>1311.5928571428572</v>
      </c>
    </row>
    <row r="513" spans="1:4" x14ac:dyDescent="0.25">
      <c r="A513" s="2">
        <f ca="1">IFERROR(__xludf.DUMMYFUNCTION("""COMPUTED_VALUE"""),45128.6458333333)</f>
        <v>45128.645833333299</v>
      </c>
      <c r="B513" s="1">
        <f ca="1">IFERROR(__xludf.DUMMYFUNCTION("""COMPUTED_VALUE"""),1331.6)</f>
        <v>1331.6</v>
      </c>
      <c r="C513" s="3">
        <f t="shared" ca="1" si="14"/>
        <v>-8.1338392549154939E-2</v>
      </c>
      <c r="D513">
        <f t="shared" ca="1" si="15"/>
        <v>1315.5397959183672</v>
      </c>
    </row>
    <row r="514" spans="1:4" x14ac:dyDescent="0.25">
      <c r="A514" s="2">
        <f ca="1">IFERROR(__xludf.DUMMYFUNCTION("""COMPUTED_VALUE"""),45131.6458333333)</f>
        <v>45131.645833333299</v>
      </c>
      <c r="B514" s="1">
        <f ca="1">IFERROR(__xludf.DUMMYFUNCTION("""COMPUTED_VALUE"""),1336.6)</f>
        <v>1336.6</v>
      </c>
      <c r="C514" s="3">
        <f t="shared" ca="1" si="14"/>
        <v>3.7548813457494745E-3</v>
      </c>
      <c r="D514">
        <f t="shared" ca="1" si="15"/>
        <v>1317.3030612244895</v>
      </c>
    </row>
    <row r="515" spans="1:4" x14ac:dyDescent="0.25">
      <c r="A515" s="2">
        <f ca="1">IFERROR(__xludf.DUMMYFUNCTION("""COMPUTED_VALUE"""),45132.6458333333)</f>
        <v>45132.645833333299</v>
      </c>
      <c r="B515" s="1">
        <f ca="1">IFERROR(__xludf.DUMMYFUNCTION("""COMPUTED_VALUE"""),1334.6)</f>
        <v>1334.6</v>
      </c>
      <c r="C515" s="3">
        <f t="shared" ca="1" si="14"/>
        <v>-1.4963339817447255E-3</v>
      </c>
      <c r="D515">
        <f t="shared" ca="1" si="15"/>
        <v>1318.8999999999999</v>
      </c>
    </row>
    <row r="516" spans="1:4" x14ac:dyDescent="0.25">
      <c r="A516" s="2">
        <f ca="1">IFERROR(__xludf.DUMMYFUNCTION("""COMPUTED_VALUE"""),45133.6458333333)</f>
        <v>45133.645833333299</v>
      </c>
      <c r="B516" s="1">
        <f ca="1">IFERROR(__xludf.DUMMYFUNCTION("""COMPUTED_VALUE"""),1348.85)</f>
        <v>1348.85</v>
      </c>
      <c r="C516" s="3">
        <f t="shared" ref="C516:C579" ca="1" si="16">(B516-B515)/B515</f>
        <v>1.0677356511314252E-2</v>
      </c>
      <c r="D516">
        <f t="shared" ca="1" si="15"/>
        <v>1320.334693877551</v>
      </c>
    </row>
    <row r="517" spans="1:4" x14ac:dyDescent="0.25">
      <c r="A517" s="2">
        <f ca="1">IFERROR(__xludf.DUMMYFUNCTION("""COMPUTED_VALUE"""),45134.6458333333)</f>
        <v>45134.645833333299</v>
      </c>
      <c r="B517" s="1">
        <f ca="1">IFERROR(__xludf.DUMMYFUNCTION("""COMPUTED_VALUE"""),1353.15)</f>
        <v>1353.15</v>
      </c>
      <c r="C517" s="3">
        <f t="shared" ca="1" si="16"/>
        <v>3.1879008043890589E-3</v>
      </c>
      <c r="D517">
        <f t="shared" ca="1" si="15"/>
        <v>1322.4153061224486</v>
      </c>
    </row>
    <row r="518" spans="1:4" x14ac:dyDescent="0.25">
      <c r="A518" s="2">
        <f ca="1">IFERROR(__xludf.DUMMYFUNCTION("""COMPUTED_VALUE"""),45135.6458333333)</f>
        <v>45135.645833333299</v>
      </c>
      <c r="B518" s="1">
        <f ca="1">IFERROR(__xludf.DUMMYFUNCTION("""COMPUTED_VALUE"""),1340.5)</f>
        <v>1340.5</v>
      </c>
      <c r="C518" s="3">
        <f t="shared" ca="1" si="16"/>
        <v>-9.3485570705391791E-3</v>
      </c>
      <c r="D518">
        <f t="shared" ca="1" si="15"/>
        <v>1324.6020408163263</v>
      </c>
    </row>
    <row r="519" spans="1:4" x14ac:dyDescent="0.25">
      <c r="A519" s="2">
        <f ca="1">IFERROR(__xludf.DUMMYFUNCTION("""COMPUTED_VALUE"""),45138.6458333333)</f>
        <v>45138.645833333299</v>
      </c>
      <c r="B519" s="1">
        <f ca="1">IFERROR(__xludf.DUMMYFUNCTION("""COMPUTED_VALUE"""),1355.7)</f>
        <v>1355.7</v>
      </c>
      <c r="C519" s="3">
        <f t="shared" ca="1" si="16"/>
        <v>1.1339052592316334E-2</v>
      </c>
      <c r="D519">
        <f t="shared" ca="1" si="15"/>
        <v>1326.063265306122</v>
      </c>
    </row>
    <row r="520" spans="1:4" x14ac:dyDescent="0.25">
      <c r="A520" s="2">
        <f ca="1">IFERROR(__xludf.DUMMYFUNCTION("""COMPUTED_VALUE"""),45139.6458333333)</f>
        <v>45139.645833333299</v>
      </c>
      <c r="B520" s="1">
        <f ca="1">IFERROR(__xludf.DUMMYFUNCTION("""COMPUTED_VALUE"""),1365.2)</f>
        <v>1365.2</v>
      </c>
      <c r="C520" s="3">
        <f t="shared" ca="1" si="16"/>
        <v>7.0074500258169208E-3</v>
      </c>
      <c r="D520">
        <f t="shared" ca="1" si="15"/>
        <v>1327.3469387755097</v>
      </c>
    </row>
    <row r="521" spans="1:4" x14ac:dyDescent="0.25">
      <c r="A521" s="2">
        <f ca="1">IFERROR(__xludf.DUMMYFUNCTION("""COMPUTED_VALUE"""),45140.6458333333)</f>
        <v>45140.645833333299</v>
      </c>
      <c r="B521" s="1">
        <f ca="1">IFERROR(__xludf.DUMMYFUNCTION("""COMPUTED_VALUE"""),1356.85)</f>
        <v>1356.85</v>
      </c>
      <c r="C521" s="3">
        <f t="shared" ca="1" si="16"/>
        <v>-6.116319953120522E-3</v>
      </c>
      <c r="D521">
        <f t="shared" ca="1" si="15"/>
        <v>1328.6765306122445</v>
      </c>
    </row>
    <row r="522" spans="1:4" x14ac:dyDescent="0.25">
      <c r="A522" s="2">
        <f ca="1">IFERROR(__xludf.DUMMYFUNCTION("""COMPUTED_VALUE"""),45141.6458333333)</f>
        <v>45141.645833333299</v>
      </c>
      <c r="B522" s="1">
        <f ca="1">IFERROR(__xludf.DUMMYFUNCTION("""COMPUTED_VALUE"""),1364.3)</f>
        <v>1364.3</v>
      </c>
      <c r="C522" s="3">
        <f t="shared" ca="1" si="16"/>
        <v>5.4906585105207253E-3</v>
      </c>
      <c r="D522">
        <f t="shared" ca="1" si="15"/>
        <v>1329.8642857142852</v>
      </c>
    </row>
    <row r="523" spans="1:4" x14ac:dyDescent="0.25">
      <c r="A523" s="2">
        <f ca="1">IFERROR(__xludf.DUMMYFUNCTION("""COMPUTED_VALUE"""),45142.6458333333)</f>
        <v>45142.645833333299</v>
      </c>
      <c r="B523" s="1">
        <f ca="1">IFERROR(__xludf.DUMMYFUNCTION("""COMPUTED_VALUE"""),1378.35)</f>
        <v>1378.35</v>
      </c>
      <c r="C523" s="3">
        <f t="shared" ca="1" si="16"/>
        <v>1.0298321483544643E-2</v>
      </c>
      <c r="D523">
        <f t="shared" ca="1" si="15"/>
        <v>1331.0877551020403</v>
      </c>
    </row>
    <row r="524" spans="1:4" x14ac:dyDescent="0.25">
      <c r="A524" s="2">
        <f ca="1">IFERROR(__xludf.DUMMYFUNCTION("""COMPUTED_VALUE"""),45145.6458333333)</f>
        <v>45145.645833333299</v>
      </c>
      <c r="B524" s="1">
        <f ca="1">IFERROR(__xludf.DUMMYFUNCTION("""COMPUTED_VALUE"""),1393)</f>
        <v>1393</v>
      </c>
      <c r="C524" s="3">
        <f t="shared" ca="1" si="16"/>
        <v>1.0628650197700215E-2</v>
      </c>
      <c r="D524">
        <f t="shared" ca="1" si="15"/>
        <v>1332.3306122448976</v>
      </c>
    </row>
    <row r="525" spans="1:4" x14ac:dyDescent="0.25">
      <c r="A525" s="2">
        <f ca="1">IFERROR(__xludf.DUMMYFUNCTION("""COMPUTED_VALUE"""),45146.6458333333)</f>
        <v>45146.645833333299</v>
      </c>
      <c r="B525" s="1">
        <f ca="1">IFERROR(__xludf.DUMMYFUNCTION("""COMPUTED_VALUE"""),1390.2)</f>
        <v>1390.2</v>
      </c>
      <c r="C525" s="3">
        <f t="shared" ca="1" si="16"/>
        <v>-2.0100502512562487E-3</v>
      </c>
      <c r="D525">
        <f t="shared" ca="1" si="15"/>
        <v>1333.9346938775507</v>
      </c>
    </row>
    <row r="526" spans="1:4" x14ac:dyDescent="0.25">
      <c r="A526" s="2">
        <f ca="1">IFERROR(__xludf.DUMMYFUNCTION("""COMPUTED_VALUE"""),45147.6458333333)</f>
        <v>45147.645833333299</v>
      </c>
      <c r="B526" s="1">
        <f ca="1">IFERROR(__xludf.DUMMYFUNCTION("""COMPUTED_VALUE"""),1394.4)</f>
        <v>1394.4</v>
      </c>
      <c r="C526" s="3">
        <f t="shared" ca="1" si="16"/>
        <v>3.021148036253809E-3</v>
      </c>
      <c r="D526">
        <f t="shared" ca="1" si="15"/>
        <v>1335.2887755102035</v>
      </c>
    </row>
    <row r="527" spans="1:4" x14ac:dyDescent="0.25">
      <c r="A527" s="2">
        <f ca="1">IFERROR(__xludf.DUMMYFUNCTION("""COMPUTED_VALUE"""),45148.6458333333)</f>
        <v>45148.645833333299</v>
      </c>
      <c r="B527" s="1">
        <f ca="1">IFERROR(__xludf.DUMMYFUNCTION("""COMPUTED_VALUE"""),1389.1)</f>
        <v>1389.1</v>
      </c>
      <c r="C527" s="3">
        <f t="shared" ca="1" si="16"/>
        <v>-3.800917957544594E-3</v>
      </c>
      <c r="D527">
        <f t="shared" ca="1" si="15"/>
        <v>1336.8418367346935</v>
      </c>
    </row>
    <row r="528" spans="1:4" x14ac:dyDescent="0.25">
      <c r="A528" s="2">
        <f ca="1">IFERROR(__xludf.DUMMYFUNCTION("""COMPUTED_VALUE"""),45149.6458333333)</f>
        <v>45149.645833333299</v>
      </c>
      <c r="B528" s="1">
        <f ca="1">IFERROR(__xludf.DUMMYFUNCTION("""COMPUTED_VALUE"""),1371.85)</f>
        <v>1371.85</v>
      </c>
      <c r="C528" s="3">
        <f t="shared" ca="1" si="16"/>
        <v>-1.2418112446908072E-2</v>
      </c>
      <c r="D528">
        <f t="shared" ca="1" si="15"/>
        <v>1338.2622448979587</v>
      </c>
    </row>
    <row r="529" spans="1:4" x14ac:dyDescent="0.25">
      <c r="A529" s="2">
        <f ca="1">IFERROR(__xludf.DUMMYFUNCTION("""COMPUTED_VALUE"""),45152.6458333333)</f>
        <v>45152.645833333299</v>
      </c>
      <c r="B529" s="1">
        <f ca="1">IFERROR(__xludf.DUMMYFUNCTION("""COMPUTED_VALUE"""),1393.55)</f>
        <v>1393.55</v>
      </c>
      <c r="C529" s="3">
        <f t="shared" ca="1" si="16"/>
        <v>1.581805590990272E-2</v>
      </c>
      <c r="D529">
        <f t="shared" ca="1" si="15"/>
        <v>1339.7489795918364</v>
      </c>
    </row>
    <row r="530" spans="1:4" x14ac:dyDescent="0.25">
      <c r="A530" s="2">
        <f ca="1">IFERROR(__xludf.DUMMYFUNCTION("""COMPUTED_VALUE"""),45154.6458333333)</f>
        <v>45154.645833333299</v>
      </c>
      <c r="B530" s="1">
        <f ca="1">IFERROR(__xludf.DUMMYFUNCTION("""COMPUTED_VALUE"""),1418.5)</f>
        <v>1418.5</v>
      </c>
      <c r="C530" s="3">
        <f t="shared" ca="1" si="16"/>
        <v>1.7903914463061998E-2</v>
      </c>
      <c r="D530">
        <f t="shared" ca="1" si="15"/>
        <v>1341.5663265306116</v>
      </c>
    </row>
    <row r="531" spans="1:4" x14ac:dyDescent="0.25">
      <c r="A531" s="2">
        <f ca="1">IFERROR(__xludf.DUMMYFUNCTION("""COMPUTED_VALUE"""),45155.6458333333)</f>
        <v>45155.645833333299</v>
      </c>
      <c r="B531" s="1">
        <f ca="1">IFERROR(__xludf.DUMMYFUNCTION("""COMPUTED_VALUE"""),1411.55)</f>
        <v>1411.55</v>
      </c>
      <c r="C531" s="3">
        <f t="shared" ca="1" si="16"/>
        <v>-4.8995417694748297E-3</v>
      </c>
      <c r="D531">
        <f t="shared" ca="1" si="15"/>
        <v>1344.413265306122</v>
      </c>
    </row>
    <row r="532" spans="1:4" x14ac:dyDescent="0.25">
      <c r="A532" s="2">
        <f ca="1">IFERROR(__xludf.DUMMYFUNCTION("""COMPUTED_VALUE"""),45156.6458333333)</f>
        <v>45156.645833333299</v>
      </c>
      <c r="B532" s="1">
        <f ca="1">IFERROR(__xludf.DUMMYFUNCTION("""COMPUTED_VALUE"""),1388.8)</f>
        <v>1388.8</v>
      </c>
      <c r="C532" s="3">
        <f t="shared" ca="1" si="16"/>
        <v>-1.611703446565832E-2</v>
      </c>
      <c r="D532">
        <f t="shared" ca="1" si="15"/>
        <v>1346.9153061224486</v>
      </c>
    </row>
    <row r="533" spans="1:4" x14ac:dyDescent="0.25">
      <c r="A533" s="2">
        <f ca="1">IFERROR(__xludf.DUMMYFUNCTION("""COMPUTED_VALUE"""),45159.6458333333)</f>
        <v>45159.645833333299</v>
      </c>
      <c r="B533" s="1">
        <f ca="1">IFERROR(__xludf.DUMMYFUNCTION("""COMPUTED_VALUE"""),1405.4)</f>
        <v>1405.4</v>
      </c>
      <c r="C533" s="3">
        <f t="shared" ca="1" si="16"/>
        <v>1.1952764976958625E-2</v>
      </c>
      <c r="D533">
        <f t="shared" ca="1" si="15"/>
        <v>1349.078571428571</v>
      </c>
    </row>
    <row r="534" spans="1:4" x14ac:dyDescent="0.25">
      <c r="A534" s="2">
        <f ca="1">IFERROR(__xludf.DUMMYFUNCTION("""COMPUTED_VALUE"""),45160.6458333333)</f>
        <v>45160.645833333299</v>
      </c>
      <c r="B534" s="1">
        <f ca="1">IFERROR(__xludf.DUMMYFUNCTION("""COMPUTED_VALUE"""),1403.75)</f>
        <v>1403.75</v>
      </c>
      <c r="C534" s="3">
        <f t="shared" ca="1" si="16"/>
        <v>-1.1740429770884381E-3</v>
      </c>
      <c r="D534">
        <f t="shared" ca="1" si="15"/>
        <v>1351.9244897959181</v>
      </c>
    </row>
    <row r="535" spans="1:4" x14ac:dyDescent="0.25">
      <c r="A535" s="2">
        <f ca="1">IFERROR(__xludf.DUMMYFUNCTION("""COMPUTED_VALUE"""),45161.6458333333)</f>
        <v>45161.645833333299</v>
      </c>
      <c r="B535" s="1">
        <f ca="1">IFERROR(__xludf.DUMMYFUNCTION("""COMPUTED_VALUE"""),1407.95)</f>
        <v>1407.95</v>
      </c>
      <c r="C535" s="3">
        <f t="shared" ca="1" si="16"/>
        <v>2.9919857524488302E-3</v>
      </c>
      <c r="D535">
        <f t="shared" ca="1" si="15"/>
        <v>1354.2061224489794</v>
      </c>
    </row>
    <row r="536" spans="1:4" x14ac:dyDescent="0.25">
      <c r="A536" s="2">
        <f ca="1">IFERROR(__xludf.DUMMYFUNCTION("""COMPUTED_VALUE"""),45162.6458333333)</f>
        <v>45162.645833333299</v>
      </c>
      <c r="B536" s="1">
        <f ca="1">IFERROR(__xludf.DUMMYFUNCTION("""COMPUTED_VALUE"""),1423.6)</f>
        <v>1423.6</v>
      </c>
      <c r="C536" s="3">
        <f t="shared" ca="1" si="16"/>
        <v>1.1115451543023448E-2</v>
      </c>
      <c r="D536">
        <f t="shared" ca="1" si="15"/>
        <v>1356.3102040816325</v>
      </c>
    </row>
    <row r="537" spans="1:4" x14ac:dyDescent="0.25">
      <c r="A537" s="2">
        <f ca="1">IFERROR(__xludf.DUMMYFUNCTION("""COMPUTED_VALUE"""),45163.6458333333)</f>
        <v>45163.645833333299</v>
      </c>
      <c r="B537" s="1">
        <f ca="1">IFERROR(__xludf.DUMMYFUNCTION("""COMPUTED_VALUE"""),1420.1)</f>
        <v>1420.1</v>
      </c>
      <c r="C537" s="3">
        <f t="shared" ca="1" si="16"/>
        <v>-2.4585557740938466E-3</v>
      </c>
      <c r="D537">
        <f t="shared" ca="1" si="15"/>
        <v>1358.8244897959182</v>
      </c>
    </row>
    <row r="538" spans="1:4" x14ac:dyDescent="0.25">
      <c r="A538" s="2">
        <f ca="1">IFERROR(__xludf.DUMMYFUNCTION("""COMPUTED_VALUE"""),45166.6458333333)</f>
        <v>45166.645833333299</v>
      </c>
      <c r="B538" s="1">
        <f ca="1">IFERROR(__xludf.DUMMYFUNCTION("""COMPUTED_VALUE"""),1415.65)</f>
        <v>1415.65</v>
      </c>
      <c r="C538" s="3">
        <f t="shared" ca="1" si="16"/>
        <v>-3.1335821421025409E-3</v>
      </c>
      <c r="D538">
        <f t="shared" ca="1" si="15"/>
        <v>1361.5448979591836</v>
      </c>
    </row>
    <row r="539" spans="1:4" x14ac:dyDescent="0.25">
      <c r="A539" s="2">
        <f ca="1">IFERROR(__xludf.DUMMYFUNCTION("""COMPUTED_VALUE"""),45167.6458333333)</f>
        <v>45167.645833333299</v>
      </c>
      <c r="B539" s="1">
        <f ca="1">IFERROR(__xludf.DUMMYFUNCTION("""COMPUTED_VALUE"""),1417.65)</f>
        <v>1417.65</v>
      </c>
      <c r="C539" s="3">
        <f t="shared" ca="1" si="16"/>
        <v>1.4127785822766925E-3</v>
      </c>
      <c r="D539">
        <f t="shared" ca="1" si="15"/>
        <v>1364.0755102040816</v>
      </c>
    </row>
    <row r="540" spans="1:4" x14ac:dyDescent="0.25">
      <c r="A540" s="2">
        <f ca="1">IFERROR(__xludf.DUMMYFUNCTION("""COMPUTED_VALUE"""),45168.6458333333)</f>
        <v>45168.645833333299</v>
      </c>
      <c r="B540" s="1">
        <f ca="1">IFERROR(__xludf.DUMMYFUNCTION("""COMPUTED_VALUE"""),1435.15)</f>
        <v>1435.15</v>
      </c>
      <c r="C540" s="3">
        <f t="shared" ca="1" si="16"/>
        <v>1.2344372729517158E-2</v>
      </c>
      <c r="D540">
        <f t="shared" ca="1" si="15"/>
        <v>1366.5989795918363</v>
      </c>
    </row>
    <row r="541" spans="1:4" x14ac:dyDescent="0.25">
      <c r="A541" s="2">
        <f ca="1">IFERROR(__xludf.DUMMYFUNCTION("""COMPUTED_VALUE"""),45169.6458333333)</f>
        <v>45169.645833333299</v>
      </c>
      <c r="B541" s="1">
        <f ca="1">IFERROR(__xludf.DUMMYFUNCTION("""COMPUTED_VALUE"""),1435.45)</f>
        <v>1435.45</v>
      </c>
      <c r="C541" s="3">
        <f t="shared" ca="1" si="16"/>
        <v>2.0903738285193499E-4</v>
      </c>
      <c r="D541">
        <f t="shared" ca="1" si="15"/>
        <v>1369.2877551020406</v>
      </c>
    </row>
    <row r="542" spans="1:4" x14ac:dyDescent="0.25">
      <c r="A542" s="2">
        <f ca="1">IFERROR(__xludf.DUMMYFUNCTION("""COMPUTED_VALUE"""),45170.6458333333)</f>
        <v>45170.645833333299</v>
      </c>
      <c r="B542" s="1">
        <f ca="1">IFERROR(__xludf.DUMMYFUNCTION("""COMPUTED_VALUE"""),1443.85)</f>
        <v>1443.85</v>
      </c>
      <c r="C542" s="3">
        <f t="shared" ca="1" si="16"/>
        <v>5.8518234699918934E-3</v>
      </c>
      <c r="D542">
        <f t="shared" ca="1" si="15"/>
        <v>1372.0653061224486</v>
      </c>
    </row>
    <row r="543" spans="1:4" x14ac:dyDescent="0.25">
      <c r="A543" s="2">
        <f ca="1">IFERROR(__xludf.DUMMYFUNCTION("""COMPUTED_VALUE"""),45173.6458333333)</f>
        <v>45173.645833333299</v>
      </c>
      <c r="B543" s="1">
        <f ca="1">IFERROR(__xludf.DUMMYFUNCTION("""COMPUTED_VALUE"""),1465.1)</f>
        <v>1465.1</v>
      </c>
      <c r="C543" s="3">
        <f t="shared" ca="1" si="16"/>
        <v>1.4717595318073208E-2</v>
      </c>
      <c r="D543">
        <f t="shared" ca="1" si="15"/>
        <v>1375.3775510204082</v>
      </c>
    </row>
    <row r="544" spans="1:4" x14ac:dyDescent="0.25">
      <c r="A544" s="2">
        <f ca="1">IFERROR(__xludf.DUMMYFUNCTION("""COMPUTED_VALUE"""),45174.6458333333)</f>
        <v>45174.645833333299</v>
      </c>
      <c r="B544" s="1">
        <f ca="1">IFERROR(__xludf.DUMMYFUNCTION("""COMPUTED_VALUE"""),1478.9)</f>
        <v>1478.9</v>
      </c>
      <c r="C544" s="3">
        <f t="shared" ca="1" si="16"/>
        <v>9.4191522762952576E-3</v>
      </c>
      <c r="D544">
        <f t="shared" ca="1" si="15"/>
        <v>1379.461224489796</v>
      </c>
    </row>
    <row r="545" spans="1:4" x14ac:dyDescent="0.25">
      <c r="A545" s="2">
        <f ca="1">IFERROR(__xludf.DUMMYFUNCTION("""COMPUTED_VALUE"""),45175.6458333333)</f>
        <v>45175.645833333299</v>
      </c>
      <c r="B545" s="1">
        <f ca="1">IFERROR(__xludf.DUMMYFUNCTION("""COMPUTED_VALUE"""),1477.45)</f>
        <v>1477.45</v>
      </c>
      <c r="C545" s="3">
        <f t="shared" ca="1" si="16"/>
        <v>-9.8045844884714676E-4</v>
      </c>
      <c r="D545">
        <f t="shared" ca="1" si="15"/>
        <v>1383.7173469387753</v>
      </c>
    </row>
    <row r="546" spans="1:4" x14ac:dyDescent="0.25">
      <c r="A546" s="2">
        <f ca="1">IFERROR(__xludf.DUMMYFUNCTION("""COMPUTED_VALUE"""),45176.6458333333)</f>
        <v>45176.645833333299</v>
      </c>
      <c r="B546" s="1">
        <f ca="1">IFERROR(__xludf.DUMMYFUNCTION("""COMPUTED_VALUE"""),1466.2)</f>
        <v>1466.2</v>
      </c>
      <c r="C546" s="3">
        <f t="shared" ca="1" si="16"/>
        <v>-7.6144708788791499E-3</v>
      </c>
      <c r="D546">
        <f t="shared" ca="1" si="15"/>
        <v>1387.7642857142857</v>
      </c>
    </row>
    <row r="547" spans="1:4" x14ac:dyDescent="0.25">
      <c r="A547" s="2">
        <f ca="1">IFERROR(__xludf.DUMMYFUNCTION("""COMPUTED_VALUE"""),45177.6458333333)</f>
        <v>45177.645833333299</v>
      </c>
      <c r="B547" s="1">
        <f ca="1">IFERROR(__xludf.DUMMYFUNCTION("""COMPUTED_VALUE"""),1469.6)</f>
        <v>1469.6</v>
      </c>
      <c r="C547" s="3">
        <f t="shared" ca="1" si="16"/>
        <v>2.3189196562541695E-3</v>
      </c>
      <c r="D547">
        <f t="shared" ca="1" si="15"/>
        <v>1391.291836734694</v>
      </c>
    </row>
    <row r="548" spans="1:4" x14ac:dyDescent="0.25">
      <c r="A548" s="2">
        <f ca="1">IFERROR(__xludf.DUMMYFUNCTION("""COMPUTED_VALUE"""),45180.6458333333)</f>
        <v>45180.645833333299</v>
      </c>
      <c r="B548" s="1">
        <f ca="1">IFERROR(__xludf.DUMMYFUNCTION("""COMPUTED_VALUE"""),1476.45)</f>
        <v>1476.45</v>
      </c>
      <c r="C548" s="3">
        <f t="shared" ca="1" si="16"/>
        <v>4.6611322808928534E-3</v>
      </c>
      <c r="D548">
        <f t="shared" ca="1" si="15"/>
        <v>1394.0285714285717</v>
      </c>
    </row>
    <row r="549" spans="1:4" x14ac:dyDescent="0.25">
      <c r="A549" s="2">
        <f ca="1">IFERROR(__xludf.DUMMYFUNCTION("""COMPUTED_VALUE"""),45181.6458333333)</f>
        <v>45181.645833333299</v>
      </c>
      <c r="B549" s="1">
        <f ca="1">IFERROR(__xludf.DUMMYFUNCTION("""COMPUTED_VALUE"""),1501.1)</f>
        <v>1501.1</v>
      </c>
      <c r="C549" s="3">
        <f t="shared" ca="1" si="16"/>
        <v>1.6695451928612458E-2</v>
      </c>
      <c r="D549">
        <f t="shared" ca="1" si="15"/>
        <v>1396.9418367346937</v>
      </c>
    </row>
    <row r="550" spans="1:4" x14ac:dyDescent="0.25">
      <c r="A550" s="2">
        <f ca="1">IFERROR(__xludf.DUMMYFUNCTION("""COMPUTED_VALUE"""),45182.6458333333)</f>
        <v>45182.645833333299</v>
      </c>
      <c r="B550" s="1">
        <f ca="1">IFERROR(__xludf.DUMMYFUNCTION("""COMPUTED_VALUE"""),1498.35)</f>
        <v>1498.35</v>
      </c>
      <c r="C550" s="3">
        <f t="shared" ca="1" si="16"/>
        <v>-1.8319898740923324E-3</v>
      </c>
      <c r="D550">
        <f t="shared" ca="1" si="15"/>
        <v>1400.1244897959182</v>
      </c>
    </row>
    <row r="551" spans="1:4" x14ac:dyDescent="0.25">
      <c r="A551" s="2">
        <f ca="1">IFERROR(__xludf.DUMMYFUNCTION("""COMPUTED_VALUE"""),45183.6458333333)</f>
        <v>45183.645833333299</v>
      </c>
      <c r="B551" s="1">
        <f ca="1">IFERROR(__xludf.DUMMYFUNCTION("""COMPUTED_VALUE"""),1506.95)</f>
        <v>1506.95</v>
      </c>
      <c r="C551" s="3">
        <f t="shared" ca="1" si="16"/>
        <v>5.7396469449728952E-3</v>
      </c>
      <c r="D551">
        <f t="shared" ca="1" si="15"/>
        <v>1403.207142857143</v>
      </c>
    </row>
    <row r="552" spans="1:4" x14ac:dyDescent="0.25">
      <c r="A552" s="2">
        <f ca="1">IFERROR(__xludf.DUMMYFUNCTION("""COMPUTED_VALUE"""),45184.6458333333)</f>
        <v>45184.645833333299</v>
      </c>
      <c r="B552" s="1">
        <f ca="1">IFERROR(__xludf.DUMMYFUNCTION("""COMPUTED_VALUE"""),1511.6)</f>
        <v>1511.6</v>
      </c>
      <c r="C552" s="3">
        <f t="shared" ca="1" si="16"/>
        <v>3.0857029098509329E-3</v>
      </c>
      <c r="D552">
        <f t="shared" ca="1" si="15"/>
        <v>1406.534693877551</v>
      </c>
    </row>
    <row r="553" spans="1:4" x14ac:dyDescent="0.25">
      <c r="A553" s="2">
        <f ca="1">IFERROR(__xludf.DUMMYFUNCTION("""COMPUTED_VALUE"""),45187.6458333333)</f>
        <v>45187.645833333299</v>
      </c>
      <c r="B553" s="1">
        <f ca="1">IFERROR(__xludf.DUMMYFUNCTION("""COMPUTED_VALUE"""),1491.8)</f>
        <v>1491.8</v>
      </c>
      <c r="C553" s="3">
        <f t="shared" ca="1" si="16"/>
        <v>-1.3098703360677399E-2</v>
      </c>
      <c r="D553">
        <f t="shared" ca="1" si="15"/>
        <v>1410.2367346938775</v>
      </c>
    </row>
    <row r="554" spans="1:4" x14ac:dyDescent="0.25">
      <c r="A554" s="2">
        <f ca="1">IFERROR(__xludf.DUMMYFUNCTION("""COMPUTED_VALUE"""),45189.6458333333)</f>
        <v>45189.645833333299</v>
      </c>
      <c r="B554" s="1">
        <f ca="1">IFERROR(__xludf.DUMMYFUNCTION("""COMPUTED_VALUE"""),1490.25)</f>
        <v>1490.25</v>
      </c>
      <c r="C554" s="3">
        <f t="shared" ca="1" si="16"/>
        <v>-1.0390132725566126E-3</v>
      </c>
      <c r="D554">
        <f t="shared" ca="1" si="15"/>
        <v>1413.5561224489795</v>
      </c>
    </row>
    <row r="555" spans="1:4" x14ac:dyDescent="0.25">
      <c r="A555" s="2">
        <f ca="1">IFERROR(__xludf.DUMMYFUNCTION("""COMPUTED_VALUE"""),45190.6458333333)</f>
        <v>45190.645833333299</v>
      </c>
      <c r="B555" s="1">
        <f ca="1">IFERROR(__xludf.DUMMYFUNCTION("""COMPUTED_VALUE"""),1501.75)</f>
        <v>1501.75</v>
      </c>
      <c r="C555" s="3">
        <f t="shared" ca="1" si="16"/>
        <v>7.7168260359000169E-3</v>
      </c>
      <c r="D555">
        <f t="shared" ca="1" si="15"/>
        <v>1416.44693877551</v>
      </c>
    </row>
    <row r="556" spans="1:4" x14ac:dyDescent="0.25">
      <c r="A556" s="2">
        <f ca="1">IFERROR(__xludf.DUMMYFUNCTION("""COMPUTED_VALUE"""),45191.6458333333)</f>
        <v>45191.645833333299</v>
      </c>
      <c r="B556" s="1">
        <f ca="1">IFERROR(__xludf.DUMMYFUNCTION("""COMPUTED_VALUE"""),1496.15)</f>
        <v>1496.15</v>
      </c>
      <c r="C556" s="3">
        <f t="shared" ca="1" si="16"/>
        <v>-3.7289828533377122E-3</v>
      </c>
      <c r="D556">
        <f t="shared" ca="1" si="15"/>
        <v>1419.8846938775505</v>
      </c>
    </row>
    <row r="557" spans="1:4" x14ac:dyDescent="0.25">
      <c r="A557" s="2">
        <f ca="1">IFERROR(__xludf.DUMMYFUNCTION("""COMPUTED_VALUE"""),45194.6458333333)</f>
        <v>45194.645833333299</v>
      </c>
      <c r="B557" s="1">
        <f ca="1">IFERROR(__xludf.DUMMYFUNCTION("""COMPUTED_VALUE"""),1474.15)</f>
        <v>1474.15</v>
      </c>
      <c r="C557" s="3">
        <f t="shared" ca="1" si="16"/>
        <v>-1.4704407980483239E-2</v>
      </c>
      <c r="D557">
        <f t="shared" ca="1" si="15"/>
        <v>1422.5591836734686</v>
      </c>
    </row>
    <row r="558" spans="1:4" x14ac:dyDescent="0.25">
      <c r="A558" s="2">
        <f ca="1">IFERROR(__xludf.DUMMYFUNCTION("""COMPUTED_VALUE"""),45195.6458333333)</f>
        <v>45195.645833333299</v>
      </c>
      <c r="B558" s="1">
        <f ca="1">IFERROR(__xludf.DUMMYFUNCTION("""COMPUTED_VALUE"""),1460.65)</f>
        <v>1460.65</v>
      </c>
      <c r="C558" s="3">
        <f t="shared" ca="1" si="16"/>
        <v>-9.1578197605399723E-3</v>
      </c>
      <c r="D558">
        <f t="shared" ca="1" si="15"/>
        <v>1423.5428571428567</v>
      </c>
    </row>
    <row r="559" spans="1:4" x14ac:dyDescent="0.25">
      <c r="A559" s="2">
        <f ca="1">IFERROR(__xludf.DUMMYFUNCTION("""COMPUTED_VALUE"""),45196.6458333333)</f>
        <v>45196.645833333299</v>
      </c>
      <c r="B559" s="1">
        <f ca="1">IFERROR(__xludf.DUMMYFUNCTION("""COMPUTED_VALUE"""),1467)</f>
        <v>1467</v>
      </c>
      <c r="C559" s="3">
        <f t="shared" ca="1" si="16"/>
        <v>4.3473795912777934E-3</v>
      </c>
      <c r="D559">
        <f t="shared" ca="1" si="15"/>
        <v>1424.3122448979584</v>
      </c>
    </row>
    <row r="560" spans="1:4" x14ac:dyDescent="0.25">
      <c r="A560" s="2">
        <f ca="1">IFERROR(__xludf.DUMMYFUNCTION("""COMPUTED_VALUE"""),45197.6458333333)</f>
        <v>45197.645833333299</v>
      </c>
      <c r="B560" s="1">
        <f ca="1">IFERROR(__xludf.DUMMYFUNCTION("""COMPUTED_VALUE"""),1439.45)</f>
        <v>1439.45</v>
      </c>
      <c r="C560" s="3">
        <f t="shared" ca="1" si="16"/>
        <v>-1.8779822767552797E-2</v>
      </c>
      <c r="D560">
        <f t="shared" ca="1" si="15"/>
        <v>1424.1448979591833</v>
      </c>
    </row>
    <row r="561" spans="1:4" x14ac:dyDescent="0.25">
      <c r="A561" s="2">
        <f ca="1">IFERROR(__xludf.DUMMYFUNCTION("""COMPUTED_VALUE"""),45198.6458333333)</f>
        <v>45198.645833333299</v>
      </c>
      <c r="B561" s="1">
        <f ca="1">IFERROR(__xludf.DUMMYFUNCTION("""COMPUTED_VALUE"""),1435.45)</f>
        <v>1435.45</v>
      </c>
      <c r="C561" s="3">
        <f t="shared" ca="1" si="16"/>
        <v>-2.7788391399492861E-3</v>
      </c>
      <c r="D561">
        <f t="shared" ca="1" si="15"/>
        <v>1423.4204081632649</v>
      </c>
    </row>
    <row r="562" spans="1:4" x14ac:dyDescent="0.25">
      <c r="A562" s="2">
        <f ca="1">IFERROR(__xludf.DUMMYFUNCTION("""COMPUTED_VALUE"""),45202.6458333333)</f>
        <v>45202.645833333299</v>
      </c>
      <c r="B562" s="1">
        <f ca="1">IFERROR(__xludf.DUMMYFUNCTION("""COMPUTED_VALUE"""),1434)</f>
        <v>1434</v>
      </c>
      <c r="C562" s="3">
        <f t="shared" ca="1" si="16"/>
        <v>-1.0101361942248391E-3</v>
      </c>
      <c r="D562">
        <f t="shared" ca="1" si="15"/>
        <v>1423.1336734693875</v>
      </c>
    </row>
    <row r="563" spans="1:4" x14ac:dyDescent="0.25">
      <c r="A563" s="2">
        <f ca="1">IFERROR(__xludf.DUMMYFUNCTION("""COMPUTED_VALUE"""),45203.6458333333)</f>
        <v>45203.645833333299</v>
      </c>
      <c r="B563" s="1">
        <f ca="1">IFERROR(__xludf.DUMMYFUNCTION("""COMPUTED_VALUE"""),1444.35)</f>
        <v>1444.35</v>
      </c>
      <c r="C563" s="3">
        <f t="shared" ca="1" si="16"/>
        <v>7.217573221757259E-3</v>
      </c>
      <c r="D563">
        <f t="shared" ca="1" si="15"/>
        <v>1425.2234693877547</v>
      </c>
    </row>
    <row r="564" spans="1:4" x14ac:dyDescent="0.25">
      <c r="A564" s="2">
        <f ca="1">IFERROR(__xludf.DUMMYFUNCTION("""COMPUTED_VALUE"""),45204.6458333333)</f>
        <v>45204.645833333299</v>
      </c>
      <c r="B564" s="1">
        <f ca="1">IFERROR(__xludf.DUMMYFUNCTION("""COMPUTED_VALUE"""),1463.45)</f>
        <v>1463.45</v>
      </c>
      <c r="C564" s="3">
        <f t="shared" ca="1" si="16"/>
        <v>1.3223941565410142E-2</v>
      </c>
      <c r="D564">
        <f t="shared" ref="D564:D627" ca="1" si="17">AVERAGE(B515:B563)</f>
        <v>1427.4224489795915</v>
      </c>
    </row>
    <row r="565" spans="1:4" x14ac:dyDescent="0.25">
      <c r="A565" s="2">
        <f ca="1">IFERROR(__xludf.DUMMYFUNCTION("""COMPUTED_VALUE"""),45205.6458333333)</f>
        <v>45205.645833333299</v>
      </c>
      <c r="B565" s="1">
        <f ca="1">IFERROR(__xludf.DUMMYFUNCTION("""COMPUTED_VALUE"""),1478.7)</f>
        <v>1478.7</v>
      </c>
      <c r="C565" s="3">
        <f t="shared" ca="1" si="16"/>
        <v>1.0420581502613687E-2</v>
      </c>
      <c r="D565">
        <f t="shared" ca="1" si="17"/>
        <v>1430.0520408163263</v>
      </c>
    </row>
    <row r="566" spans="1:4" x14ac:dyDescent="0.25">
      <c r="A566" s="2">
        <f ca="1">IFERROR(__xludf.DUMMYFUNCTION("""COMPUTED_VALUE"""),45208.6458333333)</f>
        <v>45208.645833333299</v>
      </c>
      <c r="B566" s="1">
        <f ca="1">IFERROR(__xludf.DUMMYFUNCTION("""COMPUTED_VALUE"""),1475.45)</f>
        <v>1475.45</v>
      </c>
      <c r="C566" s="3">
        <f t="shared" ca="1" si="16"/>
        <v>-2.1978765131534456E-3</v>
      </c>
      <c r="D566">
        <f t="shared" ca="1" si="17"/>
        <v>1432.7020408163262</v>
      </c>
    </row>
    <row r="567" spans="1:4" x14ac:dyDescent="0.25">
      <c r="A567" s="2">
        <f ca="1">IFERROR(__xludf.DUMMYFUNCTION("""COMPUTED_VALUE"""),45209.6458333333)</f>
        <v>45209.645833333299</v>
      </c>
      <c r="B567" s="1">
        <f ca="1">IFERROR(__xludf.DUMMYFUNCTION("""COMPUTED_VALUE"""),1495.15)</f>
        <v>1495.15</v>
      </c>
      <c r="C567" s="3">
        <f t="shared" ca="1" si="16"/>
        <v>1.3351858754956146E-2</v>
      </c>
      <c r="D567">
        <f t="shared" ca="1" si="17"/>
        <v>1435.1979591836732</v>
      </c>
    </row>
    <row r="568" spans="1:4" x14ac:dyDescent="0.25">
      <c r="A568" s="2">
        <f ca="1">IFERROR(__xludf.DUMMYFUNCTION("""COMPUTED_VALUE"""),45210.6458333333)</f>
        <v>45210.645833333299</v>
      </c>
      <c r="B568" s="1">
        <f ca="1">IFERROR(__xludf.DUMMYFUNCTION("""COMPUTED_VALUE"""),1494.4)</f>
        <v>1494.4</v>
      </c>
      <c r="C568" s="3">
        <f t="shared" ca="1" si="16"/>
        <v>-5.0162191084506566E-4</v>
      </c>
      <c r="D568">
        <f t="shared" ca="1" si="17"/>
        <v>1438.3540816326527</v>
      </c>
    </row>
    <row r="569" spans="1:4" x14ac:dyDescent="0.25">
      <c r="A569" s="2">
        <f ca="1">IFERROR(__xludf.DUMMYFUNCTION("""COMPUTED_VALUE"""),45211.6458333333)</f>
        <v>45211.645833333299</v>
      </c>
      <c r="B569" s="1">
        <f ca="1">IFERROR(__xludf.DUMMYFUNCTION("""COMPUTED_VALUE"""),1465.5)</f>
        <v>1465.5</v>
      </c>
      <c r="C569" s="3">
        <f t="shared" ca="1" si="16"/>
        <v>-1.9338865096359802E-2</v>
      </c>
      <c r="D569">
        <f t="shared" ca="1" si="17"/>
        <v>1441.1846938775504</v>
      </c>
    </row>
    <row r="570" spans="1:4" x14ac:dyDescent="0.25">
      <c r="A570" s="2">
        <f ca="1">IFERROR(__xludf.DUMMYFUNCTION("""COMPUTED_VALUE"""),45212.6458333333)</f>
        <v>45212.645833333299</v>
      </c>
      <c r="B570" s="1">
        <f ca="1">IFERROR(__xludf.DUMMYFUNCTION("""COMPUTED_VALUE"""),1431.15)</f>
        <v>1431.15</v>
      </c>
      <c r="C570" s="3">
        <f t="shared" ca="1" si="16"/>
        <v>-2.343909928352092E-2</v>
      </c>
      <c r="D570">
        <f t="shared" ca="1" si="17"/>
        <v>1443.2316326530604</v>
      </c>
    </row>
    <row r="571" spans="1:4" x14ac:dyDescent="0.25">
      <c r="A571" s="2">
        <f ca="1">IFERROR(__xludf.DUMMYFUNCTION("""COMPUTED_VALUE"""),45215.6458333333)</f>
        <v>45215.645833333299</v>
      </c>
      <c r="B571" s="1">
        <f ca="1">IFERROR(__xludf.DUMMYFUNCTION("""COMPUTED_VALUE"""),1434.15)</f>
        <v>1434.15</v>
      </c>
      <c r="C571" s="3">
        <f t="shared" ca="1" si="16"/>
        <v>2.0962163295252067E-3</v>
      </c>
      <c r="D571">
        <f t="shared" ca="1" si="17"/>
        <v>1444.7479591836727</v>
      </c>
    </row>
    <row r="572" spans="1:4" x14ac:dyDescent="0.25">
      <c r="A572" s="2">
        <f ca="1">IFERROR(__xludf.DUMMYFUNCTION("""COMPUTED_VALUE"""),45216.6458333333)</f>
        <v>45216.645833333299</v>
      </c>
      <c r="B572" s="1">
        <f ca="1">IFERROR(__xludf.DUMMYFUNCTION("""COMPUTED_VALUE"""),1442.45)</f>
        <v>1442.45</v>
      </c>
      <c r="C572" s="3">
        <f t="shared" ca="1" si="16"/>
        <v>5.7874002022103369E-3</v>
      </c>
      <c r="D572">
        <f t="shared" ca="1" si="17"/>
        <v>1446.1734693877545</v>
      </c>
    </row>
    <row r="573" spans="1:4" x14ac:dyDescent="0.25">
      <c r="A573" s="2">
        <f ca="1">IFERROR(__xludf.DUMMYFUNCTION("""COMPUTED_VALUE"""),45217.6458333333)</f>
        <v>45217.645833333299</v>
      </c>
      <c r="B573" s="1">
        <f ca="1">IFERROR(__xludf.DUMMYFUNCTION("""COMPUTED_VALUE"""),1440.55)</f>
        <v>1440.55</v>
      </c>
      <c r="C573" s="3">
        <f t="shared" ca="1" si="16"/>
        <v>-1.3172033692676287E-3</v>
      </c>
      <c r="D573">
        <f t="shared" ca="1" si="17"/>
        <v>1447.4816326530604</v>
      </c>
    </row>
    <row r="574" spans="1:4" x14ac:dyDescent="0.25">
      <c r="A574" s="2">
        <f ca="1">IFERROR(__xludf.DUMMYFUNCTION("""COMPUTED_VALUE"""),45218.6458333333)</f>
        <v>45218.645833333299</v>
      </c>
      <c r="B574" s="1">
        <f ca="1">IFERROR(__xludf.DUMMYFUNCTION("""COMPUTED_VALUE"""),1433.65)</f>
        <v>1433.65</v>
      </c>
      <c r="C574" s="3">
        <f t="shared" ca="1" si="16"/>
        <v>-4.7898372149525279E-3</v>
      </c>
      <c r="D574">
        <f t="shared" ca="1" si="17"/>
        <v>1448.4520408163262</v>
      </c>
    </row>
    <row r="575" spans="1:4" x14ac:dyDescent="0.25">
      <c r="A575" s="2">
        <f ca="1">IFERROR(__xludf.DUMMYFUNCTION("""COMPUTED_VALUE"""),45219.6458333333)</f>
        <v>45219.645833333299</v>
      </c>
      <c r="B575" s="1">
        <f ca="1">IFERROR(__xludf.DUMMYFUNCTION("""COMPUTED_VALUE"""),1427.25)</f>
        <v>1427.25</v>
      </c>
      <c r="C575" s="3">
        <f t="shared" ca="1" si="16"/>
        <v>-4.4641300177868312E-3</v>
      </c>
      <c r="D575">
        <f t="shared" ca="1" si="17"/>
        <v>1449.3387755102035</v>
      </c>
    </row>
    <row r="576" spans="1:4" x14ac:dyDescent="0.25">
      <c r="A576" s="2">
        <f ca="1">IFERROR(__xludf.DUMMYFUNCTION("""COMPUTED_VALUE"""),45222.6458333333)</f>
        <v>45222.645833333299</v>
      </c>
      <c r="B576" s="1">
        <f ca="1">IFERROR(__xludf.DUMMYFUNCTION("""COMPUTED_VALUE"""),1408.65)</f>
        <v>1408.65</v>
      </c>
      <c r="C576" s="3">
        <f t="shared" ca="1" si="16"/>
        <v>-1.3032054650551697E-2</v>
      </c>
      <c r="D576">
        <f t="shared" ca="1" si="17"/>
        <v>1450.0091836734694</v>
      </c>
    </row>
    <row r="577" spans="1:4" x14ac:dyDescent="0.25">
      <c r="A577" s="2">
        <f ca="1">IFERROR(__xludf.DUMMYFUNCTION("""COMPUTED_VALUE"""),45224.6458333333)</f>
        <v>45224.645833333299</v>
      </c>
      <c r="B577" s="1">
        <f ca="1">IFERROR(__xludf.DUMMYFUNCTION("""COMPUTED_VALUE"""),1370.05)</f>
        <v>1370.05</v>
      </c>
      <c r="C577" s="3">
        <f t="shared" ca="1" si="16"/>
        <v>-2.7402122599652246E-2</v>
      </c>
      <c r="D577">
        <f t="shared" ca="1" si="17"/>
        <v>1450.4081632653058</v>
      </c>
    </row>
    <row r="578" spans="1:4" x14ac:dyDescent="0.25">
      <c r="A578" s="2">
        <f ca="1">IFERROR(__xludf.DUMMYFUNCTION("""COMPUTED_VALUE"""),45225.6458333333)</f>
        <v>45225.645833333299</v>
      </c>
      <c r="B578" s="1">
        <f ca="1">IFERROR(__xludf.DUMMYFUNCTION("""COMPUTED_VALUE"""),1359.45)</f>
        <v>1359.45</v>
      </c>
      <c r="C578" s="3">
        <f t="shared" ca="1" si="16"/>
        <v>-7.7369439071566072E-3</v>
      </c>
      <c r="D578">
        <f t="shared" ca="1" si="17"/>
        <v>1450.3714285714282</v>
      </c>
    </row>
    <row r="579" spans="1:4" x14ac:dyDescent="0.25">
      <c r="A579" s="2">
        <f ca="1">IFERROR(__xludf.DUMMYFUNCTION("""COMPUTED_VALUE"""),45226.6458333333)</f>
        <v>45226.645833333299</v>
      </c>
      <c r="B579" s="1">
        <f ca="1">IFERROR(__xludf.DUMMYFUNCTION("""COMPUTED_VALUE"""),1380.35)</f>
        <v>1380.35</v>
      </c>
      <c r="C579" s="3">
        <f t="shared" ca="1" si="16"/>
        <v>1.5373864430468103E-2</v>
      </c>
      <c r="D579">
        <f t="shared" ca="1" si="17"/>
        <v>1449.6755102040815</v>
      </c>
    </row>
    <row r="580" spans="1:4" x14ac:dyDescent="0.25">
      <c r="A580" s="2">
        <f ca="1">IFERROR(__xludf.DUMMYFUNCTION("""COMPUTED_VALUE"""),45229.6458333333)</f>
        <v>45229.645833333299</v>
      </c>
      <c r="B580" s="1">
        <f ca="1">IFERROR(__xludf.DUMMYFUNCTION("""COMPUTED_VALUE"""),1377.05)</f>
        <v>1377.05</v>
      </c>
      <c r="C580" s="3">
        <f t="shared" ref="C580:C643" ca="1" si="18">(B580-B579)/B579</f>
        <v>-2.3906980113738941E-3</v>
      </c>
      <c r="D580">
        <f t="shared" ca="1" si="17"/>
        <v>1448.8969387755101</v>
      </c>
    </row>
    <row r="581" spans="1:4" x14ac:dyDescent="0.25">
      <c r="A581" s="2">
        <f ca="1">IFERROR(__xludf.DUMMYFUNCTION("""COMPUTED_VALUE"""),45230.6458333333)</f>
        <v>45230.645833333299</v>
      </c>
      <c r="B581" s="1">
        <f ca="1">IFERROR(__xludf.DUMMYFUNCTION("""COMPUTED_VALUE"""),1368.4)</f>
        <v>1368.4</v>
      </c>
      <c r="C581" s="3">
        <f t="shared" ca="1" si="18"/>
        <v>-6.2815438800333055E-3</v>
      </c>
      <c r="D581">
        <f t="shared" ca="1" si="17"/>
        <v>1448.1928571428571</v>
      </c>
    </row>
    <row r="582" spans="1:4" x14ac:dyDescent="0.25">
      <c r="A582" s="2">
        <f ca="1">IFERROR(__xludf.DUMMYFUNCTION("""COMPUTED_VALUE"""),45231.6458333333)</f>
        <v>45231.645833333299</v>
      </c>
      <c r="B582" s="1">
        <f ca="1">IFERROR(__xludf.DUMMYFUNCTION("""COMPUTED_VALUE"""),1354.15)</f>
        <v>1354.15</v>
      </c>
      <c r="C582" s="3">
        <f t="shared" ca="1" si="18"/>
        <v>-1.0413621748026892E-2</v>
      </c>
      <c r="D582">
        <f t="shared" ca="1" si="17"/>
        <v>1447.7765306122449</v>
      </c>
    </row>
    <row r="583" spans="1:4" x14ac:dyDescent="0.25">
      <c r="A583" s="2">
        <f ca="1">IFERROR(__xludf.DUMMYFUNCTION("""COMPUTED_VALUE"""),45232.6458333333)</f>
        <v>45232.645833333299</v>
      </c>
      <c r="B583" s="1">
        <f ca="1">IFERROR(__xludf.DUMMYFUNCTION("""COMPUTED_VALUE"""),1370.15)</f>
        <v>1370.15</v>
      </c>
      <c r="C583" s="3">
        <f t="shared" ca="1" si="18"/>
        <v>1.1815530037292766E-2</v>
      </c>
      <c r="D583">
        <f t="shared" ca="1" si="17"/>
        <v>1446.7306122448977</v>
      </c>
    </row>
    <row r="584" spans="1:4" x14ac:dyDescent="0.25">
      <c r="A584" s="2">
        <f ca="1">IFERROR(__xludf.DUMMYFUNCTION("""COMPUTED_VALUE"""),45233.6458333333)</f>
        <v>45233.645833333299</v>
      </c>
      <c r="B584" s="1">
        <f ca="1">IFERROR(__xludf.DUMMYFUNCTION("""COMPUTED_VALUE"""),1389.05)</f>
        <v>1389.05</v>
      </c>
      <c r="C584" s="3">
        <f t="shared" ca="1" si="18"/>
        <v>1.3794110133926842E-2</v>
      </c>
      <c r="D584">
        <f t="shared" ca="1" si="17"/>
        <v>1446.0448979591831</v>
      </c>
    </row>
    <row r="585" spans="1:4" x14ac:dyDescent="0.25">
      <c r="A585" s="2">
        <f ca="1">IFERROR(__xludf.DUMMYFUNCTION("""COMPUTED_VALUE"""),45236.6458333333)</f>
        <v>45236.645833333299</v>
      </c>
      <c r="B585" s="1">
        <f ca="1">IFERROR(__xludf.DUMMYFUNCTION("""COMPUTED_VALUE"""),1403.3)</f>
        <v>1403.3</v>
      </c>
      <c r="C585" s="3">
        <f t="shared" ca="1" si="18"/>
        <v>1.0258809978042547E-2</v>
      </c>
      <c r="D585">
        <f t="shared" ca="1" si="17"/>
        <v>1445.6591836734692</v>
      </c>
    </row>
    <row r="586" spans="1:4" x14ac:dyDescent="0.25">
      <c r="A586" s="2">
        <f ca="1">IFERROR(__xludf.DUMMYFUNCTION("""COMPUTED_VALUE"""),45237.6458333333)</f>
        <v>45237.645833333299</v>
      </c>
      <c r="B586" s="1">
        <f ca="1">IFERROR(__xludf.DUMMYFUNCTION("""COMPUTED_VALUE"""),1404.3)</f>
        <v>1404.3</v>
      </c>
      <c r="C586" s="3">
        <f t="shared" ca="1" si="18"/>
        <v>7.1260600014252126E-4</v>
      </c>
      <c r="D586">
        <f t="shared" ca="1" si="17"/>
        <v>1445.2448979591836</v>
      </c>
    </row>
    <row r="587" spans="1:4" x14ac:dyDescent="0.25">
      <c r="A587" s="2">
        <f ca="1">IFERROR(__xludf.DUMMYFUNCTION("""COMPUTED_VALUE"""),45238.6458333333)</f>
        <v>45238.645833333299</v>
      </c>
      <c r="B587" s="1">
        <f ca="1">IFERROR(__xludf.DUMMYFUNCTION("""COMPUTED_VALUE"""),1391)</f>
        <v>1391</v>
      </c>
      <c r="C587" s="3">
        <f t="shared" ca="1" si="18"/>
        <v>-9.4709107740510966E-3</v>
      </c>
      <c r="D587">
        <f t="shared" ca="1" si="17"/>
        <v>1444.922448979592</v>
      </c>
    </row>
    <row r="588" spans="1:4" x14ac:dyDescent="0.25">
      <c r="A588" s="2">
        <f ca="1">IFERROR(__xludf.DUMMYFUNCTION("""COMPUTED_VALUE"""),45239.6458333333)</f>
        <v>45239.645833333299</v>
      </c>
      <c r="B588" s="1">
        <f ca="1">IFERROR(__xludf.DUMMYFUNCTION("""COMPUTED_VALUE"""),1374.8)</f>
        <v>1374.8</v>
      </c>
      <c r="C588" s="3">
        <f t="shared" ca="1" si="18"/>
        <v>-1.1646297627606071E-2</v>
      </c>
      <c r="D588">
        <f t="shared" ca="1" si="17"/>
        <v>1444.4193877551024</v>
      </c>
    </row>
    <row r="589" spans="1:4" x14ac:dyDescent="0.25">
      <c r="A589" s="2">
        <f ca="1">IFERROR(__xludf.DUMMYFUNCTION("""COMPUTED_VALUE"""),45240.6458333333)</f>
        <v>45240.645833333299</v>
      </c>
      <c r="B589" s="1">
        <f ca="1">IFERROR(__xludf.DUMMYFUNCTION("""COMPUTED_VALUE"""),1368.85)</f>
        <v>1368.85</v>
      </c>
      <c r="C589" s="3">
        <f t="shared" ca="1" si="18"/>
        <v>-4.3279022403258987E-3</v>
      </c>
      <c r="D589">
        <f t="shared" ca="1" si="17"/>
        <v>1443.5448979591838</v>
      </c>
    </row>
    <row r="590" spans="1:4" x14ac:dyDescent="0.25">
      <c r="A590" s="2">
        <f ca="1">IFERROR(__xludf.DUMMYFUNCTION("""COMPUTED_VALUE"""),45243.6458333333)</f>
        <v>45243.645833333299</v>
      </c>
      <c r="B590" s="1">
        <f ca="1">IFERROR(__xludf.DUMMYFUNCTION("""COMPUTED_VALUE"""),1373.55)</f>
        <v>1373.55</v>
      </c>
      <c r="C590" s="3">
        <f t="shared" ca="1" si="18"/>
        <v>3.4335391021660853E-3</v>
      </c>
      <c r="D590">
        <f t="shared" ca="1" si="17"/>
        <v>1442.1918367346943</v>
      </c>
    </row>
    <row r="591" spans="1:4" x14ac:dyDescent="0.25">
      <c r="A591" s="2">
        <f ca="1">IFERROR(__xludf.DUMMYFUNCTION("""COMPUTED_VALUE"""),45245.6458333333)</f>
        <v>45245.645833333299</v>
      </c>
      <c r="B591" s="1">
        <f ca="1">IFERROR(__xludf.DUMMYFUNCTION("""COMPUTED_VALUE"""),1410.5)</f>
        <v>1410.5</v>
      </c>
      <c r="C591" s="3">
        <f t="shared" ca="1" si="18"/>
        <v>2.6901095700921005E-2</v>
      </c>
      <c r="D591">
        <f t="shared" ca="1" si="17"/>
        <v>1440.928571428572</v>
      </c>
    </row>
    <row r="592" spans="1:4" x14ac:dyDescent="0.25">
      <c r="A592" s="2">
        <f ca="1">IFERROR(__xludf.DUMMYFUNCTION("""COMPUTED_VALUE"""),45246.6458333333)</f>
        <v>45246.645833333299</v>
      </c>
      <c r="B592" s="1">
        <f ca="1">IFERROR(__xludf.DUMMYFUNCTION("""COMPUTED_VALUE"""),1444.9)</f>
        <v>1444.9</v>
      </c>
      <c r="C592" s="3">
        <f t="shared" ca="1" si="18"/>
        <v>2.4388514711095422E-2</v>
      </c>
      <c r="D592">
        <f t="shared" ca="1" si="17"/>
        <v>1440.2479591836743</v>
      </c>
    </row>
    <row r="593" spans="1:4" x14ac:dyDescent="0.25">
      <c r="A593" s="2">
        <f ca="1">IFERROR(__xludf.DUMMYFUNCTION("""COMPUTED_VALUE"""),45247.6458333333)</f>
        <v>45247.645833333299</v>
      </c>
      <c r="B593" s="1">
        <f ca="1">IFERROR(__xludf.DUMMYFUNCTION("""COMPUTED_VALUE"""),1437.55)</f>
        <v>1437.55</v>
      </c>
      <c r="C593" s="3">
        <f t="shared" ca="1" si="18"/>
        <v>-5.0868572219531704E-3</v>
      </c>
      <c r="D593">
        <f t="shared" ca="1" si="17"/>
        <v>1439.8357142857149</v>
      </c>
    </row>
    <row r="594" spans="1:4" x14ac:dyDescent="0.25">
      <c r="A594" s="2">
        <f ca="1">IFERROR(__xludf.DUMMYFUNCTION("""COMPUTED_VALUE"""),45250.6458333333)</f>
        <v>45250.645833333299</v>
      </c>
      <c r="B594" s="1">
        <f ca="1">IFERROR(__xludf.DUMMYFUNCTION("""COMPUTED_VALUE"""),1436.6)</f>
        <v>1436.6</v>
      </c>
      <c r="C594" s="3">
        <f t="shared" ca="1" si="18"/>
        <v>-6.6084657924944906E-4</v>
      </c>
      <c r="D594">
        <f t="shared" ca="1" si="17"/>
        <v>1438.9918367346943</v>
      </c>
    </row>
    <row r="595" spans="1:4" x14ac:dyDescent="0.25">
      <c r="A595" s="2">
        <f ca="1">IFERROR(__xludf.DUMMYFUNCTION("""COMPUTED_VALUE"""),45251.6458333333)</f>
        <v>45251.645833333299</v>
      </c>
      <c r="B595" s="1">
        <f ca="1">IFERROR(__xludf.DUMMYFUNCTION("""COMPUTED_VALUE"""),1439)</f>
        <v>1439</v>
      </c>
      <c r="C595" s="3">
        <f t="shared" ca="1" si="18"/>
        <v>1.6706111652513512E-3</v>
      </c>
      <c r="D595">
        <f t="shared" ca="1" si="17"/>
        <v>1438.1581632653069</v>
      </c>
    </row>
    <row r="596" spans="1:4" x14ac:dyDescent="0.25">
      <c r="A596" s="2">
        <f ca="1">IFERROR(__xludf.DUMMYFUNCTION("""COMPUTED_VALUE"""),45252.6458333333)</f>
        <v>45252.645833333299</v>
      </c>
      <c r="B596" s="1">
        <f ca="1">IFERROR(__xludf.DUMMYFUNCTION("""COMPUTED_VALUE"""),1457.8)</f>
        <v>1457.8</v>
      </c>
      <c r="C596" s="3">
        <f t="shared" ca="1" si="18"/>
        <v>1.3064628214037494E-2</v>
      </c>
      <c r="D596">
        <f t="shared" ca="1" si="17"/>
        <v>1437.6030612244904</v>
      </c>
    </row>
    <row r="597" spans="1:4" x14ac:dyDescent="0.25">
      <c r="A597" s="2">
        <f ca="1">IFERROR(__xludf.DUMMYFUNCTION("""COMPUTED_VALUE"""),45253.6458333333)</f>
        <v>45253.645833333299</v>
      </c>
      <c r="B597" s="1">
        <f ca="1">IFERROR(__xludf.DUMMYFUNCTION("""COMPUTED_VALUE"""),1449.25)</f>
        <v>1449.25</v>
      </c>
      <c r="C597" s="3">
        <f t="shared" ca="1" si="18"/>
        <v>-5.8650020578954283E-3</v>
      </c>
      <c r="D597">
        <f t="shared" ca="1" si="17"/>
        <v>1437.3622448979597</v>
      </c>
    </row>
    <row r="598" spans="1:4" x14ac:dyDescent="0.25">
      <c r="A598" s="2">
        <f ca="1">IFERROR(__xludf.DUMMYFUNCTION("""COMPUTED_VALUE"""),45254.6458333333)</f>
        <v>45254.645833333299</v>
      </c>
      <c r="B598" s="1">
        <f ca="1">IFERROR(__xludf.DUMMYFUNCTION("""COMPUTED_VALUE"""),1437.4)</f>
        <v>1437.4</v>
      </c>
      <c r="C598" s="3">
        <f t="shared" ca="1" si="18"/>
        <v>-8.1766430912540346E-3</v>
      </c>
      <c r="D598">
        <f t="shared" ca="1" si="17"/>
        <v>1436.8071428571436</v>
      </c>
    </row>
    <row r="599" spans="1:4" x14ac:dyDescent="0.25">
      <c r="A599" s="2">
        <f ca="1">IFERROR(__xludf.DUMMYFUNCTION("""COMPUTED_VALUE"""),45258.6458333333)</f>
        <v>45258.645833333299</v>
      </c>
      <c r="B599" s="1">
        <f ca="1">IFERROR(__xludf.DUMMYFUNCTION("""COMPUTED_VALUE"""),1442.7)</f>
        <v>1442.7</v>
      </c>
      <c r="C599" s="3">
        <f t="shared" ca="1" si="18"/>
        <v>3.6872130235146472E-3</v>
      </c>
      <c r="D599">
        <f t="shared" ca="1" si="17"/>
        <v>1435.5071428571432</v>
      </c>
    </row>
    <row r="600" spans="1:4" x14ac:dyDescent="0.25">
      <c r="A600" s="2">
        <f ca="1">IFERROR(__xludf.DUMMYFUNCTION("""COMPUTED_VALUE"""),45259.6458333333)</f>
        <v>45259.645833333299</v>
      </c>
      <c r="B600" s="1">
        <f ca="1">IFERROR(__xludf.DUMMYFUNCTION("""COMPUTED_VALUE"""),1459.6)</f>
        <v>1459.6</v>
      </c>
      <c r="C600" s="3">
        <f t="shared" ca="1" si="18"/>
        <v>1.171414708532603E-2</v>
      </c>
      <c r="D600">
        <f t="shared" ca="1" si="17"/>
        <v>1434.3714285714291</v>
      </c>
    </row>
    <row r="601" spans="1:4" x14ac:dyDescent="0.25">
      <c r="A601" s="2">
        <f ca="1">IFERROR(__xludf.DUMMYFUNCTION("""COMPUTED_VALUE"""),45260.6458333333)</f>
        <v>45260.645833333299</v>
      </c>
      <c r="B601" s="1">
        <f ca="1">IFERROR(__xludf.DUMMYFUNCTION("""COMPUTED_VALUE"""),1455.15)</f>
        <v>1455.15</v>
      </c>
      <c r="C601" s="3">
        <f t="shared" ca="1" si="18"/>
        <v>-3.0487804878047537E-3</v>
      </c>
      <c r="D601">
        <f t="shared" ca="1" si="17"/>
        <v>1433.4051020408167</v>
      </c>
    </row>
    <row r="602" spans="1:4" x14ac:dyDescent="0.25">
      <c r="A602" s="2">
        <f ca="1">IFERROR(__xludf.DUMMYFUNCTION("""COMPUTED_VALUE"""),45261.6458333333)</f>
        <v>45261.645833333299</v>
      </c>
      <c r="B602" s="1">
        <f ca="1">IFERROR(__xludf.DUMMYFUNCTION("""COMPUTED_VALUE"""),1452.3)</f>
        <v>1452.3</v>
      </c>
      <c r="C602" s="3">
        <f t="shared" ca="1" si="18"/>
        <v>-1.9585609730956507E-3</v>
      </c>
      <c r="D602">
        <f t="shared" ca="1" si="17"/>
        <v>1432.2530612244902</v>
      </c>
    </row>
    <row r="603" spans="1:4" x14ac:dyDescent="0.25">
      <c r="A603" s="2">
        <f ca="1">IFERROR(__xludf.DUMMYFUNCTION("""COMPUTED_VALUE"""),45264.6458333333)</f>
        <v>45264.645833333299</v>
      </c>
      <c r="B603" s="1">
        <f ca="1">IFERROR(__xludf.DUMMYFUNCTION("""COMPUTED_VALUE"""),1464.35)</f>
        <v>1464.35</v>
      </c>
      <c r="C603" s="3">
        <f t="shared" ca="1" si="18"/>
        <v>8.2971837774564166E-3</v>
      </c>
      <c r="D603">
        <f t="shared" ca="1" si="17"/>
        <v>1431.4469387755109</v>
      </c>
    </row>
    <row r="604" spans="1:4" x14ac:dyDescent="0.25">
      <c r="A604" s="2">
        <f ca="1">IFERROR(__xludf.DUMMYFUNCTION("""COMPUTED_VALUE"""),45265.6458333333)</f>
        <v>45265.645833333299</v>
      </c>
      <c r="B604" s="1">
        <f ca="1">IFERROR(__xludf.DUMMYFUNCTION("""COMPUTED_VALUE"""),1453.95)</f>
        <v>1453.95</v>
      </c>
      <c r="C604" s="3">
        <f t="shared" ca="1" si="18"/>
        <v>-7.10212722368277E-3</v>
      </c>
      <c r="D604">
        <f t="shared" ca="1" si="17"/>
        <v>1430.9183673469397</v>
      </c>
    </row>
    <row r="605" spans="1:4" x14ac:dyDescent="0.25">
      <c r="A605" s="2">
        <f ca="1">IFERROR(__xludf.DUMMYFUNCTION("""COMPUTED_VALUE"""),45266.6458333333)</f>
        <v>45266.645833333299</v>
      </c>
      <c r="B605" s="1">
        <f ca="1">IFERROR(__xludf.DUMMYFUNCTION("""COMPUTED_VALUE"""),1474.3)</f>
        <v>1474.3</v>
      </c>
      <c r="C605" s="3">
        <f t="shared" ca="1" si="18"/>
        <v>1.3996354757728882E-2</v>
      </c>
      <c r="D605">
        <f t="shared" ca="1" si="17"/>
        <v>1429.942857142858</v>
      </c>
    </row>
    <row r="606" spans="1:4" x14ac:dyDescent="0.25">
      <c r="A606" s="2">
        <f ca="1">IFERROR(__xludf.DUMMYFUNCTION("""COMPUTED_VALUE"""),45267.6458333333)</f>
        <v>45267.645833333299</v>
      </c>
      <c r="B606" s="1">
        <f ca="1">IFERROR(__xludf.DUMMYFUNCTION("""COMPUTED_VALUE"""),1465.9)</f>
        <v>1465.9</v>
      </c>
      <c r="C606" s="3">
        <f t="shared" ca="1" si="18"/>
        <v>-5.6976192091160987E-3</v>
      </c>
      <c r="D606">
        <f t="shared" ca="1" si="17"/>
        <v>1429.4969387755109</v>
      </c>
    </row>
    <row r="607" spans="1:4" x14ac:dyDescent="0.25">
      <c r="A607" s="2">
        <f ca="1">IFERROR(__xludf.DUMMYFUNCTION("""COMPUTED_VALUE"""),45268.6458333333)</f>
        <v>45268.645833333299</v>
      </c>
      <c r="B607" s="1">
        <f ca="1">IFERROR(__xludf.DUMMYFUNCTION("""COMPUTED_VALUE"""),1491.15)</f>
        <v>1491.15</v>
      </c>
      <c r="C607" s="3">
        <f t="shared" ca="1" si="18"/>
        <v>1.722491302271642E-2</v>
      </c>
      <c r="D607">
        <f t="shared" ca="1" si="17"/>
        <v>1429.3285714285721</v>
      </c>
    </row>
    <row r="608" spans="1:4" x14ac:dyDescent="0.25">
      <c r="A608" s="2">
        <f ca="1">IFERROR(__xludf.DUMMYFUNCTION("""COMPUTED_VALUE"""),45271.6458333333)</f>
        <v>45271.645833333299</v>
      </c>
      <c r="B608" s="1">
        <f ca="1">IFERROR(__xludf.DUMMYFUNCTION("""COMPUTED_VALUE"""),1488.5)</f>
        <v>1488.5</v>
      </c>
      <c r="C608" s="3">
        <f t="shared" ca="1" si="18"/>
        <v>-1.7771518626563999E-3</v>
      </c>
      <c r="D608">
        <f t="shared" ca="1" si="17"/>
        <v>1429.9510204081637</v>
      </c>
    </row>
    <row r="609" spans="1:4" x14ac:dyDescent="0.25">
      <c r="A609" s="2">
        <f ca="1">IFERROR(__xludf.DUMMYFUNCTION("""COMPUTED_VALUE"""),45272.6458333333)</f>
        <v>45272.645833333299</v>
      </c>
      <c r="B609" s="1">
        <f ca="1">IFERROR(__xludf.DUMMYFUNCTION("""COMPUTED_VALUE"""),1476.05)</f>
        <v>1476.05</v>
      </c>
      <c r="C609" s="3">
        <f t="shared" ca="1" si="18"/>
        <v>-8.364124958011452E-3</v>
      </c>
      <c r="D609">
        <f t="shared" ca="1" si="17"/>
        <v>1430.3897959183676</v>
      </c>
    </row>
    <row r="610" spans="1:4" x14ac:dyDescent="0.25">
      <c r="A610" s="2">
        <f ca="1">IFERROR(__xludf.DUMMYFUNCTION("""COMPUTED_VALUE"""),45273.6458333333)</f>
        <v>45273.645833333299</v>
      </c>
      <c r="B610" s="1">
        <f ca="1">IFERROR(__xludf.DUMMYFUNCTION("""COMPUTED_VALUE"""),1449)</f>
        <v>1449</v>
      </c>
      <c r="C610" s="3">
        <f t="shared" ca="1" si="18"/>
        <v>-1.8325937468242917E-2</v>
      </c>
      <c r="D610">
        <f t="shared" ca="1" si="17"/>
        <v>1431.1367346938778</v>
      </c>
    </row>
    <row r="611" spans="1:4" x14ac:dyDescent="0.25">
      <c r="A611" s="2">
        <f ca="1">IFERROR(__xludf.DUMMYFUNCTION("""COMPUTED_VALUE"""),45274.6458333333)</f>
        <v>45274.645833333299</v>
      </c>
      <c r="B611" s="1">
        <f ca="1">IFERROR(__xludf.DUMMYFUNCTION("""COMPUTED_VALUE"""),1501.45)</f>
        <v>1501.45</v>
      </c>
      <c r="C611" s="3">
        <f t="shared" ca="1" si="18"/>
        <v>3.6197377501725359E-2</v>
      </c>
      <c r="D611">
        <f t="shared" ca="1" si="17"/>
        <v>1431.4132653061226</v>
      </c>
    </row>
    <row r="612" spans="1:4" x14ac:dyDescent="0.25">
      <c r="A612" s="2">
        <f ca="1">IFERROR(__xludf.DUMMYFUNCTION("""COMPUTED_VALUE"""),45275.6458333333)</f>
        <v>45275.645833333299</v>
      </c>
      <c r="B612" s="1">
        <f ca="1">IFERROR(__xludf.DUMMYFUNCTION("""COMPUTED_VALUE"""),1578.4)</f>
        <v>1578.4</v>
      </c>
      <c r="C612" s="3">
        <f t="shared" ca="1" si="18"/>
        <v>5.1250457890705682E-2</v>
      </c>
      <c r="D612">
        <f t="shared" ca="1" si="17"/>
        <v>1432.7897959183676</v>
      </c>
    </row>
    <row r="613" spans="1:4" x14ac:dyDescent="0.25">
      <c r="A613" s="2">
        <f ca="1">IFERROR(__xludf.DUMMYFUNCTION("""COMPUTED_VALUE"""),45278.6458333333)</f>
        <v>45278.645833333299</v>
      </c>
      <c r="B613" s="1">
        <f ca="1">IFERROR(__xludf.DUMMYFUNCTION("""COMPUTED_VALUE"""),1564.35)</f>
        <v>1564.35</v>
      </c>
      <c r="C613" s="3">
        <f t="shared" ca="1" si="18"/>
        <v>-8.9014191586417775E-3</v>
      </c>
      <c r="D613">
        <f t="shared" ca="1" si="17"/>
        <v>1435.5255102040817</v>
      </c>
    </row>
    <row r="614" spans="1:4" x14ac:dyDescent="0.25">
      <c r="A614" s="2">
        <f ca="1">IFERROR(__xludf.DUMMYFUNCTION("""COMPUTED_VALUE"""),45279.6458333333)</f>
        <v>45279.645833333299</v>
      </c>
      <c r="B614" s="1">
        <f ca="1">IFERROR(__xludf.DUMMYFUNCTION("""COMPUTED_VALUE"""),1558.3)</f>
        <v>1558.3</v>
      </c>
      <c r="C614" s="3">
        <f t="shared" ca="1" si="18"/>
        <v>-3.8674209735672675E-3</v>
      </c>
      <c r="D614">
        <f t="shared" ca="1" si="17"/>
        <v>1437.5846938775512</v>
      </c>
    </row>
    <row r="615" spans="1:4" x14ac:dyDescent="0.25">
      <c r="A615" s="2">
        <f ca="1">IFERROR(__xludf.DUMMYFUNCTION("""COMPUTED_VALUE"""),45280.6458333333)</f>
        <v>45280.645833333299</v>
      </c>
      <c r="B615" s="1">
        <f ca="1">IFERROR(__xludf.DUMMYFUNCTION("""COMPUTED_VALUE"""),1536.4)</f>
        <v>1536.4</v>
      </c>
      <c r="C615" s="3">
        <f t="shared" ca="1" si="18"/>
        <v>-1.4053776551369995E-2</v>
      </c>
      <c r="D615">
        <f t="shared" ca="1" si="17"/>
        <v>1439.2091836734696</v>
      </c>
    </row>
    <row r="616" spans="1:4" x14ac:dyDescent="0.25">
      <c r="A616" s="2">
        <f ca="1">IFERROR(__xludf.DUMMYFUNCTION("""COMPUTED_VALUE"""),45281.6458333333)</f>
        <v>45281.645833333299</v>
      </c>
      <c r="B616" s="1">
        <f ca="1">IFERROR(__xludf.DUMMYFUNCTION("""COMPUTED_VALUE"""),1536)</f>
        <v>1536</v>
      </c>
      <c r="C616" s="3">
        <f t="shared" ca="1" si="18"/>
        <v>-2.6034886748248562E-4</v>
      </c>
      <c r="D616">
        <f t="shared" ca="1" si="17"/>
        <v>1440.4530612244901</v>
      </c>
    </row>
    <row r="617" spans="1:4" x14ac:dyDescent="0.25">
      <c r="A617" s="2">
        <f ca="1">IFERROR(__xludf.DUMMYFUNCTION("""COMPUTED_VALUE"""),45282.6458333333)</f>
        <v>45282.645833333299</v>
      </c>
      <c r="B617" s="1">
        <f ca="1">IFERROR(__xludf.DUMMYFUNCTION("""COMPUTED_VALUE"""),1562.9)</f>
        <v>1562.9</v>
      </c>
      <c r="C617" s="3">
        <f t="shared" ca="1" si="18"/>
        <v>1.7513020833333393E-2</v>
      </c>
      <c r="D617">
        <f t="shared" ca="1" si="17"/>
        <v>1441.2867346938776</v>
      </c>
    </row>
    <row r="618" spans="1:4" x14ac:dyDescent="0.25">
      <c r="A618" s="2">
        <f ca="1">IFERROR(__xludf.DUMMYFUNCTION("""COMPUTED_VALUE"""),45286.6458333333)</f>
        <v>45286.645833333299</v>
      </c>
      <c r="B618" s="1">
        <f ca="1">IFERROR(__xludf.DUMMYFUNCTION("""COMPUTED_VALUE"""),1543.95)</f>
        <v>1543.95</v>
      </c>
      <c r="C618" s="3">
        <f t="shared" ca="1" si="18"/>
        <v>-1.2124896026617215E-2</v>
      </c>
      <c r="D618">
        <f t="shared" ca="1" si="17"/>
        <v>1442.6846938775507</v>
      </c>
    </row>
    <row r="619" spans="1:4" x14ac:dyDescent="0.25">
      <c r="A619" s="2">
        <f ca="1">IFERROR(__xludf.DUMMYFUNCTION("""COMPUTED_VALUE"""),45287.6458333333)</f>
        <v>45287.645833333299</v>
      </c>
      <c r="B619" s="1">
        <f ca="1">IFERROR(__xludf.DUMMYFUNCTION("""COMPUTED_VALUE"""),1567.1)</f>
        <v>1567.1</v>
      </c>
      <c r="C619" s="3">
        <f t="shared" ca="1" si="18"/>
        <v>1.4994008873344256E-2</v>
      </c>
      <c r="D619">
        <f t="shared" ca="1" si="17"/>
        <v>1444.2857142857142</v>
      </c>
    </row>
    <row r="620" spans="1:4" x14ac:dyDescent="0.25">
      <c r="A620" s="2">
        <f ca="1">IFERROR(__xludf.DUMMYFUNCTION("""COMPUTED_VALUE"""),45288.6458333333)</f>
        <v>45288.645833333299</v>
      </c>
      <c r="B620" s="1">
        <f ca="1">IFERROR(__xludf.DUMMYFUNCTION("""COMPUTED_VALUE"""),1562.65)</f>
        <v>1562.65</v>
      </c>
      <c r="C620" s="3">
        <f t="shared" ca="1" si="18"/>
        <v>-2.8396400995468179E-3</v>
      </c>
      <c r="D620">
        <f t="shared" ca="1" si="17"/>
        <v>1447.0602040816325</v>
      </c>
    </row>
    <row r="621" spans="1:4" x14ac:dyDescent="0.25">
      <c r="A621" s="2">
        <f ca="1">IFERROR(__xludf.DUMMYFUNCTION("""COMPUTED_VALUE"""),45289.6458333333)</f>
        <v>45289.645833333299</v>
      </c>
      <c r="B621" s="1">
        <f ca="1">IFERROR(__xludf.DUMMYFUNCTION("""COMPUTED_VALUE"""),1542.9)</f>
        <v>1542.9</v>
      </c>
      <c r="C621" s="3">
        <f t="shared" ca="1" si="18"/>
        <v>-1.2638786676479058E-2</v>
      </c>
      <c r="D621">
        <f t="shared" ca="1" si="17"/>
        <v>1449.6826530612245</v>
      </c>
    </row>
    <row r="622" spans="1:4" x14ac:dyDescent="0.25">
      <c r="A622" s="2">
        <f ca="1">IFERROR(__xludf.DUMMYFUNCTION("""COMPUTED_VALUE"""),45292.6458333333)</f>
        <v>45292.645833333299</v>
      </c>
      <c r="B622" s="1">
        <f ca="1">IFERROR(__xludf.DUMMYFUNCTION("""COMPUTED_VALUE"""),1551.35)</f>
        <v>1551.35</v>
      </c>
      <c r="C622" s="3">
        <f t="shared" ca="1" si="18"/>
        <v>5.47669972130392E-3</v>
      </c>
      <c r="D622">
        <f t="shared" ca="1" si="17"/>
        <v>1451.7326530612245</v>
      </c>
    </row>
    <row r="623" spans="1:4" x14ac:dyDescent="0.25">
      <c r="A623" s="2">
        <f ca="1">IFERROR(__xludf.DUMMYFUNCTION("""COMPUTED_VALUE"""),45293.6458333333)</f>
        <v>45293.645833333299</v>
      </c>
      <c r="B623" s="1">
        <f ca="1">IFERROR(__xludf.DUMMYFUNCTION("""COMPUTED_VALUE"""),1534.4)</f>
        <v>1534.4</v>
      </c>
      <c r="C623" s="3">
        <f t="shared" ca="1" si="18"/>
        <v>-1.0925967705546664E-2</v>
      </c>
      <c r="D623">
        <f t="shared" ca="1" si="17"/>
        <v>1453.9938775510204</v>
      </c>
    </row>
    <row r="624" spans="1:4" x14ac:dyDescent="0.25">
      <c r="A624" s="2">
        <f ca="1">IFERROR(__xludf.DUMMYFUNCTION("""COMPUTED_VALUE"""),45294.6458333333)</f>
        <v>45294.645833333299</v>
      </c>
      <c r="B624" s="1">
        <f ca="1">IFERROR(__xludf.DUMMYFUNCTION("""COMPUTED_VALUE"""),1490)</f>
        <v>1490</v>
      </c>
      <c r="C624" s="3">
        <f t="shared" ca="1" si="18"/>
        <v>-2.8936392075078265E-2</v>
      </c>
      <c r="D624">
        <f t="shared" ca="1" si="17"/>
        <v>1456.0499999999997</v>
      </c>
    </row>
    <row r="625" spans="1:4" x14ac:dyDescent="0.25">
      <c r="A625" s="2">
        <f ca="1">IFERROR(__xludf.DUMMYFUNCTION("""COMPUTED_VALUE"""),45295.6458333333)</f>
        <v>45295.645833333299</v>
      </c>
      <c r="B625" s="1">
        <f ca="1">IFERROR(__xludf.DUMMYFUNCTION("""COMPUTED_VALUE"""),1512.7)</f>
        <v>1512.7</v>
      </c>
      <c r="C625" s="3">
        <f t="shared" ca="1" si="18"/>
        <v>1.5234899328859091E-2</v>
      </c>
      <c r="D625">
        <f t="shared" ca="1" si="17"/>
        <v>1457.3306122448978</v>
      </c>
    </row>
    <row r="626" spans="1:4" x14ac:dyDescent="0.25">
      <c r="A626" s="2">
        <f ca="1">IFERROR(__xludf.DUMMYFUNCTION("""COMPUTED_VALUE"""),45296.6458333333)</f>
        <v>45296.645833333299</v>
      </c>
      <c r="B626" s="1">
        <f ca="1">IFERROR(__xludf.DUMMYFUNCTION("""COMPUTED_VALUE"""),1532.55)</f>
        <v>1532.55</v>
      </c>
      <c r="C626" s="3">
        <f t="shared" ca="1" si="18"/>
        <v>1.3122231771005426E-2</v>
      </c>
      <c r="D626">
        <f t="shared" ca="1" si="17"/>
        <v>1459.454081632653</v>
      </c>
    </row>
    <row r="627" spans="1:4" x14ac:dyDescent="0.25">
      <c r="A627" s="2">
        <f ca="1">IFERROR(__xludf.DUMMYFUNCTION("""COMPUTED_VALUE"""),45299.6458333333)</f>
        <v>45299.645833333299</v>
      </c>
      <c r="B627" s="1">
        <f ca="1">IFERROR(__xludf.DUMMYFUNCTION("""COMPUTED_VALUE"""),1522.8)</f>
        <v>1522.8</v>
      </c>
      <c r="C627" s="3">
        <f t="shared" ca="1" si="18"/>
        <v>-6.3619457766467651E-3</v>
      </c>
      <c r="D627">
        <f t="shared" ca="1" si="17"/>
        <v>1462.7704081632653</v>
      </c>
    </row>
    <row r="628" spans="1:4" x14ac:dyDescent="0.25">
      <c r="A628" s="2">
        <f ca="1">IFERROR(__xludf.DUMMYFUNCTION("""COMPUTED_VALUE"""),45300.6458333333)</f>
        <v>45300.645833333299</v>
      </c>
      <c r="B628" s="1">
        <f ca="1">IFERROR(__xludf.DUMMYFUNCTION("""COMPUTED_VALUE"""),1529.3)</f>
        <v>1529.3</v>
      </c>
      <c r="C628" s="3">
        <f t="shared" ca="1" si="18"/>
        <v>4.2684528500131335E-3</v>
      </c>
      <c r="D628">
        <f t="shared" ref="D628:D691" ca="1" si="19">AVERAGE(B579:B627)</f>
        <v>1466.1040816326531</v>
      </c>
    </row>
    <row r="629" spans="1:4" x14ac:dyDescent="0.25">
      <c r="A629" s="2">
        <f ca="1">IFERROR(__xludf.DUMMYFUNCTION("""COMPUTED_VALUE"""),45301.6458333333)</f>
        <v>45301.645833333299</v>
      </c>
      <c r="B629" s="1">
        <f ca="1">IFERROR(__xludf.DUMMYFUNCTION("""COMPUTED_VALUE"""),1519.9)</f>
        <v>1519.9</v>
      </c>
      <c r="C629" s="3">
        <f t="shared" ca="1" si="18"/>
        <v>-6.1466030209899065E-3</v>
      </c>
      <c r="D629">
        <f t="shared" ca="1" si="19"/>
        <v>1469.1438775510208</v>
      </c>
    </row>
    <row r="630" spans="1:4" x14ac:dyDescent="0.25">
      <c r="A630" s="2">
        <f ca="1">IFERROR(__xludf.DUMMYFUNCTION("""COMPUTED_VALUE"""),45302.6458333333)</f>
        <v>45302.645833333299</v>
      </c>
      <c r="B630" s="1">
        <f ca="1">IFERROR(__xludf.DUMMYFUNCTION("""COMPUTED_VALUE"""),1494.2)</f>
        <v>1494.2</v>
      </c>
      <c r="C630" s="3">
        <f t="shared" ca="1" si="18"/>
        <v>-1.6909007171524472E-2</v>
      </c>
      <c r="D630">
        <f t="shared" ca="1" si="19"/>
        <v>1472.0591836734695</v>
      </c>
    </row>
    <row r="631" spans="1:4" x14ac:dyDescent="0.25">
      <c r="A631" s="2">
        <f ca="1">IFERROR(__xludf.DUMMYFUNCTION("""COMPUTED_VALUE"""),45303.6458333333)</f>
        <v>45303.645833333299</v>
      </c>
      <c r="B631" s="1">
        <f ca="1">IFERROR(__xludf.DUMMYFUNCTION("""COMPUTED_VALUE"""),1612.75)</f>
        <v>1612.75</v>
      </c>
      <c r="C631" s="3">
        <f t="shared" ca="1" si="18"/>
        <v>7.9340115111765461E-2</v>
      </c>
      <c r="D631">
        <f t="shared" ca="1" si="19"/>
        <v>1474.6265306122448</v>
      </c>
    </row>
    <row r="632" spans="1:4" x14ac:dyDescent="0.25">
      <c r="A632" s="2">
        <f ca="1">IFERROR(__xludf.DUMMYFUNCTION("""COMPUTED_VALUE"""),45306.6458333333)</f>
        <v>45306.645833333299</v>
      </c>
      <c r="B632" s="1">
        <f ca="1">IFERROR(__xludf.DUMMYFUNCTION("""COMPUTED_VALUE"""),1652.1)</f>
        <v>1652.1</v>
      </c>
      <c r="C632" s="3">
        <f t="shared" ca="1" si="18"/>
        <v>2.439931793520379E-2</v>
      </c>
      <c r="D632">
        <f t="shared" ca="1" si="19"/>
        <v>1479.9040816326531</v>
      </c>
    </row>
    <row r="633" spans="1:4" x14ac:dyDescent="0.25">
      <c r="A633" s="2">
        <f ca="1">IFERROR(__xludf.DUMMYFUNCTION("""COMPUTED_VALUE"""),45307.6458333333)</f>
        <v>45307.645833333299</v>
      </c>
      <c r="B633" s="1">
        <f ca="1">IFERROR(__xludf.DUMMYFUNCTION("""COMPUTED_VALUE"""),1631.55)</f>
        <v>1631.55</v>
      </c>
      <c r="C633" s="3">
        <f t="shared" ca="1" si="18"/>
        <v>-1.2438714363537289E-2</v>
      </c>
      <c r="D633">
        <f t="shared" ca="1" si="19"/>
        <v>1485.658163265306</v>
      </c>
    </row>
    <row r="634" spans="1:4" x14ac:dyDescent="0.25">
      <c r="A634" s="2">
        <f ca="1">IFERROR(__xludf.DUMMYFUNCTION("""COMPUTED_VALUE"""),45308.6458333333)</f>
        <v>45308.645833333299</v>
      </c>
      <c r="B634" s="1">
        <f ca="1">IFERROR(__xludf.DUMMYFUNCTION("""COMPUTED_VALUE"""),1640.2)</f>
        <v>1640.2</v>
      </c>
      <c r="C634" s="3">
        <f t="shared" ca="1" si="18"/>
        <v>5.3017069657688033E-3</v>
      </c>
      <c r="D634">
        <f t="shared" ca="1" si="19"/>
        <v>1490.6071428571431</v>
      </c>
    </row>
    <row r="635" spans="1:4" x14ac:dyDescent="0.25">
      <c r="A635" s="2">
        <f ca="1">IFERROR(__xludf.DUMMYFUNCTION("""COMPUTED_VALUE"""),45309.6458333333)</f>
        <v>45309.645833333299</v>
      </c>
      <c r="B635" s="1">
        <f ca="1">IFERROR(__xludf.DUMMYFUNCTION("""COMPUTED_VALUE"""),1642.6)</f>
        <v>1642.6</v>
      </c>
      <c r="C635" s="3">
        <f t="shared" ca="1" si="18"/>
        <v>1.463236190708367E-3</v>
      </c>
      <c r="D635">
        <f t="shared" ca="1" si="19"/>
        <v>1495.4418367346943</v>
      </c>
    </row>
    <row r="636" spans="1:4" x14ac:dyDescent="0.25">
      <c r="A636" s="2">
        <f ca="1">IFERROR(__xludf.DUMMYFUNCTION("""COMPUTED_VALUE"""),45310.6458333333)</f>
        <v>45310.645833333299</v>
      </c>
      <c r="B636" s="1">
        <f ca="1">IFERROR(__xludf.DUMMYFUNCTION("""COMPUTED_VALUE"""),1659.2)</f>
        <v>1659.2</v>
      </c>
      <c r="C636" s="3">
        <f t="shared" ca="1" si="18"/>
        <v>1.0105929623767282E-2</v>
      </c>
      <c r="D636">
        <f t="shared" ca="1" si="19"/>
        <v>1500.3051020408166</v>
      </c>
    </row>
    <row r="637" spans="1:4" x14ac:dyDescent="0.25">
      <c r="A637" s="2">
        <f ca="1">IFERROR(__xludf.DUMMYFUNCTION("""COMPUTED_VALUE"""),45314.6458333333)</f>
        <v>45314.645833333299</v>
      </c>
      <c r="B637" s="1">
        <f ca="1">IFERROR(__xludf.DUMMYFUNCTION("""COMPUTED_VALUE"""),1642.15)</f>
        <v>1642.15</v>
      </c>
      <c r="C637" s="3">
        <f t="shared" ca="1" si="18"/>
        <v>-1.0276036644165836E-2</v>
      </c>
      <c r="D637">
        <f t="shared" ca="1" si="19"/>
        <v>1505.7785714285717</v>
      </c>
    </row>
    <row r="638" spans="1:4" x14ac:dyDescent="0.25">
      <c r="A638" s="2">
        <f ca="1">IFERROR(__xludf.DUMMYFUNCTION("""COMPUTED_VALUE"""),45315.6458333333)</f>
        <v>45315.645833333299</v>
      </c>
      <c r="B638" s="1">
        <f ca="1">IFERROR(__xludf.DUMMYFUNCTION("""COMPUTED_VALUE"""),1675.4)</f>
        <v>1675.4</v>
      </c>
      <c r="C638" s="3">
        <f t="shared" ca="1" si="18"/>
        <v>2.0247845811892946E-2</v>
      </c>
      <c r="D638">
        <f t="shared" ca="1" si="19"/>
        <v>1511.2346938775511</v>
      </c>
    </row>
    <row r="639" spans="1:4" x14ac:dyDescent="0.25">
      <c r="A639" s="2">
        <f ca="1">IFERROR(__xludf.DUMMYFUNCTION("""COMPUTED_VALUE"""),45316.6458333333)</f>
        <v>45316.645833333299</v>
      </c>
      <c r="B639" s="1">
        <f ca="1">IFERROR(__xludf.DUMMYFUNCTION("""COMPUTED_VALUE"""),1669.1)</f>
        <v>1669.1</v>
      </c>
      <c r="C639" s="3">
        <f t="shared" ca="1" si="18"/>
        <v>-3.7602960487048954E-3</v>
      </c>
      <c r="D639">
        <f t="shared" ca="1" si="19"/>
        <v>1517.4908163265304</v>
      </c>
    </row>
    <row r="640" spans="1:4" x14ac:dyDescent="0.25">
      <c r="A640" s="2">
        <f ca="1">IFERROR(__xludf.DUMMYFUNCTION("""COMPUTED_VALUE"""),45320.6458333333)</f>
        <v>45320.645833333299</v>
      </c>
      <c r="B640" s="1">
        <f ca="1">IFERROR(__xludf.DUMMYFUNCTION("""COMPUTED_VALUE"""),1656.6)</f>
        <v>1656.6</v>
      </c>
      <c r="C640" s="3">
        <f t="shared" ca="1" si="18"/>
        <v>-7.4890659636930087E-3</v>
      </c>
      <c r="D640">
        <f t="shared" ca="1" si="19"/>
        <v>1523.5224489795919</v>
      </c>
    </row>
    <row r="641" spans="1:4" x14ac:dyDescent="0.25">
      <c r="A641" s="2">
        <f ca="1">IFERROR(__xludf.DUMMYFUNCTION("""COMPUTED_VALUE"""),45321.6458333333)</f>
        <v>45321.645833333299</v>
      </c>
      <c r="B641" s="1">
        <f ca="1">IFERROR(__xludf.DUMMYFUNCTION("""COMPUTED_VALUE"""),1651.45)</f>
        <v>1651.45</v>
      </c>
      <c r="C641" s="3">
        <f t="shared" ca="1" si="18"/>
        <v>-3.1087770131594012E-3</v>
      </c>
      <c r="D641">
        <f t="shared" ca="1" si="19"/>
        <v>1528.5448979591838</v>
      </c>
    </row>
    <row r="642" spans="1:4" x14ac:dyDescent="0.25">
      <c r="A642" s="2">
        <f ca="1">IFERROR(__xludf.DUMMYFUNCTION("""COMPUTED_VALUE"""),45322.6458333333)</f>
        <v>45322.645833333299</v>
      </c>
      <c r="B642" s="1">
        <f ca="1">IFERROR(__xludf.DUMMYFUNCTION("""COMPUTED_VALUE"""),1660.9)</f>
        <v>1660.9</v>
      </c>
      <c r="C642" s="3">
        <f t="shared" ca="1" si="18"/>
        <v>5.7222440885282902E-3</v>
      </c>
      <c r="D642">
        <f t="shared" ca="1" si="19"/>
        <v>1532.7602040816328</v>
      </c>
    </row>
    <row r="643" spans="1:4" x14ac:dyDescent="0.25">
      <c r="A643" s="2">
        <f ca="1">IFERROR(__xludf.DUMMYFUNCTION("""COMPUTED_VALUE"""),45323.6458333333)</f>
        <v>45323.645833333299</v>
      </c>
      <c r="B643" s="1">
        <f ca="1">IFERROR(__xludf.DUMMYFUNCTION("""COMPUTED_VALUE"""),1657.05)</f>
        <v>1657.05</v>
      </c>
      <c r="C643" s="3">
        <f t="shared" ca="1" si="18"/>
        <v>-2.318020350412509E-3</v>
      </c>
      <c r="D643">
        <f t="shared" ca="1" si="19"/>
        <v>1537.3183673469389</v>
      </c>
    </row>
    <row r="644" spans="1:4" x14ac:dyDescent="0.25">
      <c r="A644" s="2">
        <f ca="1">IFERROR(__xludf.DUMMYFUNCTION("""COMPUTED_VALUE"""),45324.6458333333)</f>
        <v>45324.645833333299</v>
      </c>
      <c r="B644" s="1">
        <f ca="1">IFERROR(__xludf.DUMMYFUNCTION("""COMPUTED_VALUE"""),1693.35)</f>
        <v>1693.35</v>
      </c>
      <c r="C644" s="3">
        <f t="shared" ref="C644:C707" ca="1" si="20">(B644-B643)/B643</f>
        <v>2.1906399927582122E-2</v>
      </c>
      <c r="D644">
        <f t="shared" ca="1" si="19"/>
        <v>1541.8173469387755</v>
      </c>
    </row>
    <row r="645" spans="1:4" x14ac:dyDescent="0.25">
      <c r="A645" s="2">
        <f ca="1">IFERROR(__xludf.DUMMYFUNCTION("""COMPUTED_VALUE"""),45327.6458333333)</f>
        <v>45327.645833333299</v>
      </c>
      <c r="B645" s="1">
        <f ca="1">IFERROR(__xludf.DUMMYFUNCTION("""COMPUTED_VALUE"""),1687.2)</f>
        <v>1687.2</v>
      </c>
      <c r="C645" s="3">
        <f t="shared" ca="1" si="20"/>
        <v>-3.6318540171847899E-3</v>
      </c>
      <c r="D645">
        <f t="shared" ca="1" si="19"/>
        <v>1547.0081632653064</v>
      </c>
    </row>
    <row r="646" spans="1:4" x14ac:dyDescent="0.25">
      <c r="A646" s="2">
        <f ca="1">IFERROR(__xludf.DUMMYFUNCTION("""COMPUTED_VALUE"""),45328.6458333333)</f>
        <v>45328.645833333299</v>
      </c>
      <c r="B646" s="1">
        <f ca="1">IFERROR(__xludf.DUMMYFUNCTION("""COMPUTED_VALUE"""),1729.45)</f>
        <v>1729.45</v>
      </c>
      <c r="C646" s="3">
        <f t="shared" ca="1" si="20"/>
        <v>2.5041488857278329E-2</v>
      </c>
      <c r="D646">
        <f t="shared" ca="1" si="19"/>
        <v>1551.6897959183675</v>
      </c>
    </row>
    <row r="647" spans="1:4" x14ac:dyDescent="0.25">
      <c r="A647" s="2">
        <f ca="1">IFERROR(__xludf.DUMMYFUNCTION("""COMPUTED_VALUE"""),45329.6458333333)</f>
        <v>45329.645833333299</v>
      </c>
      <c r="B647" s="1">
        <f ca="1">IFERROR(__xludf.DUMMYFUNCTION("""COMPUTED_VALUE"""),1693.75)</f>
        <v>1693.75</v>
      </c>
      <c r="C647" s="3">
        <f t="shared" ca="1" si="20"/>
        <v>-2.0642400763248456E-2</v>
      </c>
      <c r="D647">
        <f t="shared" ca="1" si="19"/>
        <v>1557.408163265306</v>
      </c>
    </row>
    <row r="648" spans="1:4" x14ac:dyDescent="0.25">
      <c r="A648" s="2">
        <f ca="1">IFERROR(__xludf.DUMMYFUNCTION("""COMPUTED_VALUE"""),45330.6458333333)</f>
        <v>45330.645833333299</v>
      </c>
      <c r="B648" s="1">
        <f ca="1">IFERROR(__xludf.DUMMYFUNCTION("""COMPUTED_VALUE"""),1692.1)</f>
        <v>1692.1</v>
      </c>
      <c r="C648" s="3">
        <f t="shared" ca="1" si="20"/>
        <v>-9.7416974169747068E-4</v>
      </c>
      <c r="D648">
        <f t="shared" ca="1" si="19"/>
        <v>1562.6397959183671</v>
      </c>
    </row>
    <row r="649" spans="1:4" x14ac:dyDescent="0.25">
      <c r="A649" s="2">
        <f ca="1">IFERROR(__xludf.DUMMYFUNCTION("""COMPUTED_VALUE"""),45331.6458333333)</f>
        <v>45331.645833333299</v>
      </c>
      <c r="B649" s="1">
        <f ca="1">IFERROR(__xludf.DUMMYFUNCTION("""COMPUTED_VALUE"""),1669.35)</f>
        <v>1669.35</v>
      </c>
      <c r="C649" s="3">
        <f t="shared" ca="1" si="20"/>
        <v>-1.3444831865728977E-2</v>
      </c>
      <c r="D649">
        <f t="shared" ca="1" si="19"/>
        <v>1567.7295918367347</v>
      </c>
    </row>
    <row r="650" spans="1:4" x14ac:dyDescent="0.25">
      <c r="A650" s="2">
        <f ca="1">IFERROR(__xludf.DUMMYFUNCTION("""COMPUTED_VALUE"""),45334.6458333333)</f>
        <v>45334.645833333299</v>
      </c>
      <c r="B650" s="1">
        <f ca="1">IFERROR(__xludf.DUMMYFUNCTION("""COMPUTED_VALUE"""),1680.1)</f>
        <v>1680.1</v>
      </c>
      <c r="C650" s="3">
        <f t="shared" ca="1" si="20"/>
        <v>6.4396321921706056E-3</v>
      </c>
      <c r="D650">
        <f t="shared" ca="1" si="19"/>
        <v>1572.010204081633</v>
      </c>
    </row>
    <row r="651" spans="1:4" x14ac:dyDescent="0.25">
      <c r="A651" s="2">
        <f ca="1">IFERROR(__xludf.DUMMYFUNCTION("""COMPUTED_VALUE"""),45335.6458333333)</f>
        <v>45335.645833333299</v>
      </c>
      <c r="B651" s="1">
        <f ca="1">IFERROR(__xludf.DUMMYFUNCTION("""COMPUTED_VALUE"""),1684.55)</f>
        <v>1684.55</v>
      </c>
      <c r="C651" s="3">
        <f t="shared" ca="1" si="20"/>
        <v>2.6486518659603869E-3</v>
      </c>
      <c r="D651">
        <f t="shared" ca="1" si="19"/>
        <v>1576.6010204081635</v>
      </c>
    </row>
    <row r="652" spans="1:4" x14ac:dyDescent="0.25">
      <c r="A652" s="2">
        <f ca="1">IFERROR(__xludf.DUMMYFUNCTION("""COMPUTED_VALUE"""),45336.6458333333)</f>
        <v>45336.645833333299</v>
      </c>
      <c r="B652" s="1">
        <f ca="1">IFERROR(__xludf.DUMMYFUNCTION("""COMPUTED_VALUE"""),1666.2)</f>
        <v>1666.2</v>
      </c>
      <c r="C652" s="3">
        <f t="shared" ca="1" si="20"/>
        <v>-1.0893116856133632E-2</v>
      </c>
      <c r="D652">
        <f t="shared" ca="1" si="19"/>
        <v>1581.3408163265312</v>
      </c>
    </row>
    <row r="653" spans="1:4" x14ac:dyDescent="0.25">
      <c r="A653" s="2">
        <f ca="1">IFERROR(__xludf.DUMMYFUNCTION("""COMPUTED_VALUE"""),45337.6458333333)</f>
        <v>45337.645833333299</v>
      </c>
      <c r="B653" s="1">
        <f ca="1">IFERROR(__xludf.DUMMYFUNCTION("""COMPUTED_VALUE"""),1676.35)</f>
        <v>1676.35</v>
      </c>
      <c r="C653" s="3">
        <f t="shared" ca="1" si="20"/>
        <v>6.0917056775896435E-3</v>
      </c>
      <c r="D653">
        <f t="shared" ca="1" si="19"/>
        <v>1585.460204081633</v>
      </c>
    </row>
    <row r="654" spans="1:4" x14ac:dyDescent="0.25">
      <c r="A654" s="2">
        <f ca="1">IFERROR(__xludf.DUMMYFUNCTION("""COMPUTED_VALUE"""),45338.6458333333)</f>
        <v>45338.645833333299</v>
      </c>
      <c r="B654" s="1">
        <f ca="1">IFERROR(__xludf.DUMMYFUNCTION("""COMPUTED_VALUE"""),1701.65)</f>
        <v>1701.65</v>
      </c>
      <c r="C654" s="3">
        <f t="shared" ca="1" si="20"/>
        <v>1.5092313657649169E-2</v>
      </c>
      <c r="D654">
        <f t="shared" ca="1" si="19"/>
        <v>1589.9989795918373</v>
      </c>
    </row>
    <row r="655" spans="1:4" x14ac:dyDescent="0.25">
      <c r="A655" s="2">
        <f ca="1">IFERROR(__xludf.DUMMYFUNCTION("""COMPUTED_VALUE"""),45341.6458333333)</f>
        <v>45341.645833333299</v>
      </c>
      <c r="B655" s="1">
        <f ca="1">IFERROR(__xludf.DUMMYFUNCTION("""COMPUTED_VALUE"""),1699.75)</f>
        <v>1699.75</v>
      </c>
      <c r="C655" s="3">
        <f t="shared" ca="1" si="20"/>
        <v>-1.1165633355861022E-3</v>
      </c>
      <c r="D655">
        <f t="shared" ca="1" si="19"/>
        <v>1594.6387755102044</v>
      </c>
    </row>
    <row r="656" spans="1:4" x14ac:dyDescent="0.25">
      <c r="A656" s="2">
        <f ca="1">IFERROR(__xludf.DUMMYFUNCTION("""COMPUTED_VALUE"""),45342.6458333333)</f>
        <v>45342.645833333299</v>
      </c>
      <c r="B656" s="1">
        <f ca="1">IFERROR(__xludf.DUMMYFUNCTION("""COMPUTED_VALUE"""),1685.25)</f>
        <v>1685.25</v>
      </c>
      <c r="C656" s="3">
        <f t="shared" ca="1" si="20"/>
        <v>-8.5306662744521252E-3</v>
      </c>
      <c r="D656">
        <f t="shared" ca="1" si="19"/>
        <v>1599.411224489796</v>
      </c>
    </row>
    <row r="657" spans="1:4" x14ac:dyDescent="0.25">
      <c r="A657" s="2">
        <f ca="1">IFERROR(__xludf.DUMMYFUNCTION("""COMPUTED_VALUE"""),45343.6458333333)</f>
        <v>45343.645833333299</v>
      </c>
      <c r="B657" s="1">
        <f ca="1">IFERROR(__xludf.DUMMYFUNCTION("""COMPUTED_VALUE"""),1655.55)</f>
        <v>1655.55</v>
      </c>
      <c r="C657" s="3">
        <f t="shared" ca="1" si="20"/>
        <v>-1.76234979973298E-2</v>
      </c>
      <c r="D657">
        <f t="shared" ca="1" si="19"/>
        <v>1603.3724489795916</v>
      </c>
    </row>
    <row r="658" spans="1:4" x14ac:dyDescent="0.25">
      <c r="A658" s="2">
        <f ca="1">IFERROR(__xludf.DUMMYFUNCTION("""COMPUTED_VALUE"""),45344.6458333333)</f>
        <v>45344.645833333299</v>
      </c>
      <c r="B658" s="1">
        <f ca="1">IFERROR(__xludf.DUMMYFUNCTION("""COMPUTED_VALUE"""),1681.35)</f>
        <v>1681.35</v>
      </c>
      <c r="C658" s="3">
        <f t="shared" ca="1" si="20"/>
        <v>1.5583944912566794E-2</v>
      </c>
      <c r="D658">
        <f t="shared" ca="1" si="19"/>
        <v>1606.781632653061</v>
      </c>
    </row>
    <row r="659" spans="1:4" x14ac:dyDescent="0.25">
      <c r="A659" s="2">
        <f ca="1">IFERROR(__xludf.DUMMYFUNCTION("""COMPUTED_VALUE"""),45345.6458333333)</f>
        <v>45345.645833333299</v>
      </c>
      <c r="B659" s="1">
        <f ca="1">IFERROR(__xludf.DUMMYFUNCTION("""COMPUTED_VALUE"""),1676.85)</f>
        <v>1676.85</v>
      </c>
      <c r="C659" s="3">
        <f t="shared" ca="1" si="20"/>
        <v>-2.6764207333392809E-3</v>
      </c>
      <c r="D659">
        <f t="shared" ca="1" si="19"/>
        <v>1610.9714285714283</v>
      </c>
    </row>
    <row r="660" spans="1:4" x14ac:dyDescent="0.25">
      <c r="A660" s="2">
        <f ca="1">IFERROR(__xludf.DUMMYFUNCTION("""COMPUTED_VALUE"""),45348.6458333333)</f>
        <v>45348.645833333299</v>
      </c>
      <c r="B660" s="1">
        <f ca="1">IFERROR(__xludf.DUMMYFUNCTION("""COMPUTED_VALUE"""),1660.15)</f>
        <v>1660.15</v>
      </c>
      <c r="C660" s="3">
        <f t="shared" ca="1" si="20"/>
        <v>-9.9591495959685233E-3</v>
      </c>
      <c r="D660">
        <f t="shared" ca="1" si="19"/>
        <v>1615.6214285714286</v>
      </c>
    </row>
    <row r="661" spans="1:4" x14ac:dyDescent="0.25">
      <c r="A661" s="2">
        <f ca="1">IFERROR(__xludf.DUMMYFUNCTION("""COMPUTED_VALUE"""),45349.6458333333)</f>
        <v>45349.645833333299</v>
      </c>
      <c r="B661" s="1">
        <f ca="1">IFERROR(__xludf.DUMMYFUNCTION("""COMPUTED_VALUE"""),1663.6)</f>
        <v>1663.6</v>
      </c>
      <c r="C661" s="3">
        <f t="shared" ca="1" si="20"/>
        <v>2.0781254705898975E-3</v>
      </c>
      <c r="D661">
        <f t="shared" ca="1" si="19"/>
        <v>1618.8602040816324</v>
      </c>
    </row>
    <row r="662" spans="1:4" x14ac:dyDescent="0.25">
      <c r="A662" s="2">
        <f ca="1">IFERROR(__xludf.DUMMYFUNCTION("""COMPUTED_VALUE"""),45350.6458333333)</f>
        <v>45350.645833333299</v>
      </c>
      <c r="B662" s="1">
        <f ca="1">IFERROR(__xludf.DUMMYFUNCTION("""COMPUTED_VALUE"""),1671.25)</f>
        <v>1671.25</v>
      </c>
      <c r="C662" s="3">
        <f t="shared" ca="1" si="20"/>
        <v>4.5984611685501876E-3</v>
      </c>
      <c r="D662">
        <f t="shared" ca="1" si="19"/>
        <v>1620.5989795918365</v>
      </c>
    </row>
    <row r="663" spans="1:4" x14ac:dyDescent="0.25">
      <c r="A663" s="2">
        <f ca="1">IFERROR(__xludf.DUMMYFUNCTION("""COMPUTED_VALUE"""),45351.6458333333)</f>
        <v>45351.645833333299</v>
      </c>
      <c r="B663" s="1">
        <f ca="1">IFERROR(__xludf.DUMMYFUNCTION("""COMPUTED_VALUE"""),1673.9)</f>
        <v>1673.9</v>
      </c>
      <c r="C663" s="3">
        <f t="shared" ca="1" si="20"/>
        <v>1.5856394913987082E-3</v>
      </c>
      <c r="D663">
        <f t="shared" ca="1" si="19"/>
        <v>1622.7806122448981</v>
      </c>
    </row>
    <row r="664" spans="1:4" x14ac:dyDescent="0.25">
      <c r="A664" s="2">
        <f ca="1">IFERROR(__xludf.DUMMYFUNCTION("""COMPUTED_VALUE"""),45352.6458333333)</f>
        <v>45352.645833333299</v>
      </c>
      <c r="B664" s="1">
        <f ca="1">IFERROR(__xludf.DUMMYFUNCTION("""COMPUTED_VALUE"""),1654.7)</f>
        <v>1654.7</v>
      </c>
      <c r="C664" s="3">
        <f t="shared" ca="1" si="20"/>
        <v>-1.1470219248461703E-2</v>
      </c>
      <c r="D664">
        <f t="shared" ca="1" si="19"/>
        <v>1625.1397959183671</v>
      </c>
    </row>
    <row r="665" spans="1:4" x14ac:dyDescent="0.25">
      <c r="A665" s="2">
        <f ca="1">IFERROR(__xludf.DUMMYFUNCTION("""COMPUTED_VALUE"""),45355.6458333333)</f>
        <v>45355.645833333299</v>
      </c>
      <c r="B665" s="1">
        <f ca="1">IFERROR(__xludf.DUMMYFUNCTION("""COMPUTED_VALUE"""),1637.2)</f>
        <v>1637.2</v>
      </c>
      <c r="C665" s="3">
        <f t="shared" ca="1" si="20"/>
        <v>-1.0575935214842569E-2</v>
      </c>
      <c r="D665">
        <f t="shared" ca="1" si="19"/>
        <v>1627.5540816326529</v>
      </c>
    </row>
    <row r="666" spans="1:4" x14ac:dyDescent="0.25">
      <c r="A666" s="2">
        <f ca="1">IFERROR(__xludf.DUMMYFUNCTION("""COMPUTED_VALUE"""),45356.6458333333)</f>
        <v>45356.645833333299</v>
      </c>
      <c r="B666" s="1">
        <f ca="1">IFERROR(__xludf.DUMMYFUNCTION("""COMPUTED_VALUE"""),1606.5)</f>
        <v>1606.5</v>
      </c>
      <c r="C666" s="3">
        <f t="shared" ca="1" si="20"/>
        <v>-1.8751526997312511E-2</v>
      </c>
      <c r="D666">
        <f t="shared" ca="1" si="19"/>
        <v>1629.6193877551018</v>
      </c>
    </row>
    <row r="667" spans="1:4" x14ac:dyDescent="0.25">
      <c r="A667" s="2">
        <f ca="1">IFERROR(__xludf.DUMMYFUNCTION("""COMPUTED_VALUE"""),45357.6458333333)</f>
        <v>45357.645833333299</v>
      </c>
      <c r="B667" s="1">
        <f ca="1">IFERROR(__xludf.DUMMYFUNCTION("""COMPUTED_VALUE"""),1617.55)</f>
        <v>1617.55</v>
      </c>
      <c r="C667" s="3">
        <f t="shared" ca="1" si="20"/>
        <v>6.8783068783068498E-3</v>
      </c>
      <c r="D667">
        <f t="shared" ca="1" si="19"/>
        <v>1630.5091836734691</v>
      </c>
    </row>
    <row r="668" spans="1:4" x14ac:dyDescent="0.25">
      <c r="A668" s="2">
        <f ca="1">IFERROR(__xludf.DUMMYFUNCTION("""COMPUTED_VALUE"""),45358.6458333333)</f>
        <v>45358.645833333299</v>
      </c>
      <c r="B668" s="1">
        <f ca="1">IFERROR(__xludf.DUMMYFUNCTION("""COMPUTED_VALUE"""),1616.45)</f>
        <v>1616.45</v>
      </c>
      <c r="C668" s="3">
        <f t="shared" ca="1" si="20"/>
        <v>-6.8004080244809064E-4</v>
      </c>
      <c r="D668">
        <f t="shared" ca="1" si="19"/>
        <v>1632.0112244897957</v>
      </c>
    </row>
    <row r="669" spans="1:4" x14ac:dyDescent="0.25">
      <c r="A669" s="2">
        <f ca="1">IFERROR(__xludf.DUMMYFUNCTION("""COMPUTED_VALUE"""),45362.6458333333)</f>
        <v>45362.645833333299</v>
      </c>
      <c r="B669" s="1">
        <f ca="1">IFERROR(__xludf.DUMMYFUNCTION("""COMPUTED_VALUE"""),1600.6)</f>
        <v>1600.6</v>
      </c>
      <c r="C669" s="3">
        <f t="shared" ca="1" si="20"/>
        <v>-9.8054378421851187E-3</v>
      </c>
      <c r="D669">
        <f t="shared" ca="1" si="19"/>
        <v>1633.0183673469382</v>
      </c>
    </row>
    <row r="670" spans="1:4" x14ac:dyDescent="0.25">
      <c r="A670" s="2">
        <f ca="1">IFERROR(__xludf.DUMMYFUNCTION("""COMPUTED_VALUE"""),45363.6458333333)</f>
        <v>45363.645833333299</v>
      </c>
      <c r="B670" s="1">
        <f ca="1">IFERROR(__xludf.DUMMYFUNCTION("""COMPUTED_VALUE"""),1612.95)</f>
        <v>1612.95</v>
      </c>
      <c r="C670" s="3">
        <f t="shared" ca="1" si="20"/>
        <v>7.7158565537924139E-3</v>
      </c>
      <c r="D670">
        <f t="shared" ca="1" si="19"/>
        <v>1633.792857142857</v>
      </c>
    </row>
    <row r="671" spans="1:4" x14ac:dyDescent="0.25">
      <c r="A671" s="2">
        <f ca="1">IFERROR(__xludf.DUMMYFUNCTION("""COMPUTED_VALUE"""),45364.6458333333)</f>
        <v>45364.645833333299</v>
      </c>
      <c r="B671" s="1">
        <f ca="1">IFERROR(__xludf.DUMMYFUNCTION("""COMPUTED_VALUE"""),1611.4)</f>
        <v>1611.4</v>
      </c>
      <c r="C671" s="3">
        <f t="shared" ca="1" si="20"/>
        <v>-9.6097213180814929E-4</v>
      </c>
      <c r="D671">
        <f t="shared" ca="1" si="19"/>
        <v>1635.2224489795915</v>
      </c>
    </row>
    <row r="672" spans="1:4" x14ac:dyDescent="0.25">
      <c r="A672" s="2">
        <f ca="1">IFERROR(__xludf.DUMMYFUNCTION("""COMPUTED_VALUE"""),45365.6458333333)</f>
        <v>45365.645833333299</v>
      </c>
      <c r="B672" s="1">
        <f ca="1">IFERROR(__xludf.DUMMYFUNCTION("""COMPUTED_VALUE"""),1653.3)</f>
        <v>1653.3</v>
      </c>
      <c r="C672" s="3">
        <f t="shared" ca="1" si="20"/>
        <v>2.600223408216449E-2</v>
      </c>
      <c r="D672">
        <f t="shared" ca="1" si="19"/>
        <v>1636.4479591836728</v>
      </c>
    </row>
    <row r="673" spans="1:4" x14ac:dyDescent="0.25">
      <c r="A673" s="2">
        <f ca="1">IFERROR(__xludf.DUMMYFUNCTION("""COMPUTED_VALUE"""),45366.6458333333)</f>
        <v>45366.645833333299</v>
      </c>
      <c r="B673" s="1">
        <f ca="1">IFERROR(__xludf.DUMMYFUNCTION("""COMPUTED_VALUE"""),1634)</f>
        <v>1634</v>
      </c>
      <c r="C673" s="3">
        <f t="shared" ca="1" si="20"/>
        <v>-1.1673622452065539E-2</v>
      </c>
      <c r="D673">
        <f t="shared" ca="1" si="19"/>
        <v>1638.874489795918</v>
      </c>
    </row>
    <row r="674" spans="1:4" x14ac:dyDescent="0.25">
      <c r="A674" s="2">
        <f ca="1">IFERROR(__xludf.DUMMYFUNCTION("""COMPUTED_VALUE"""),45369.6458333333)</f>
        <v>45369.645833333299</v>
      </c>
      <c r="B674" s="1">
        <f ca="1">IFERROR(__xludf.DUMMYFUNCTION("""COMPUTED_VALUE"""),1602.65)</f>
        <v>1602.65</v>
      </c>
      <c r="C674" s="3">
        <f t="shared" ca="1" si="20"/>
        <v>-1.9186046511627853E-2</v>
      </c>
      <c r="D674">
        <f t="shared" ca="1" si="19"/>
        <v>1641.8132653061223</v>
      </c>
    </row>
    <row r="675" spans="1:4" x14ac:dyDescent="0.25">
      <c r="A675" s="2">
        <f ca="1">IFERROR(__xludf.DUMMYFUNCTION("""COMPUTED_VALUE"""),45370.6458333333)</f>
        <v>45370.645833333299</v>
      </c>
      <c r="B675" s="1">
        <f ca="1">IFERROR(__xludf.DUMMYFUNCTION("""COMPUTED_VALUE"""),1561.45)</f>
        <v>1561.45</v>
      </c>
      <c r="C675" s="3">
        <f t="shared" ca="1" si="20"/>
        <v>-2.5707422082176423E-2</v>
      </c>
      <c r="D675">
        <f t="shared" ca="1" si="19"/>
        <v>1643.6489795918365</v>
      </c>
    </row>
    <row r="676" spans="1:4" x14ac:dyDescent="0.25">
      <c r="A676" s="2">
        <f ca="1">IFERROR(__xludf.DUMMYFUNCTION("""COMPUTED_VALUE"""),45371.6458333333)</f>
        <v>45371.645833333299</v>
      </c>
      <c r="B676" s="1">
        <f ca="1">IFERROR(__xludf.DUMMYFUNCTION("""COMPUTED_VALUE"""),1554.95)</f>
        <v>1554.95</v>
      </c>
      <c r="C676" s="3">
        <f t="shared" ca="1" si="20"/>
        <v>-4.1627973998527006E-3</v>
      </c>
      <c r="D676">
        <f t="shared" ca="1" si="19"/>
        <v>1644.2387755102038</v>
      </c>
    </row>
    <row r="677" spans="1:4" x14ac:dyDescent="0.25">
      <c r="A677" s="2">
        <f ca="1">IFERROR(__xludf.DUMMYFUNCTION("""COMPUTED_VALUE"""),45372.6458333333)</f>
        <v>45372.645833333299</v>
      </c>
      <c r="B677" s="1">
        <f ca="1">IFERROR(__xludf.DUMMYFUNCTION("""COMPUTED_VALUE"""),1554.7)</f>
        <v>1554.7</v>
      </c>
      <c r="C677" s="3">
        <f t="shared" ca="1" si="20"/>
        <v>-1.6077687385446476E-4</v>
      </c>
      <c r="D677">
        <f t="shared" ca="1" si="19"/>
        <v>1644.8948979591833</v>
      </c>
    </row>
    <row r="678" spans="1:4" x14ac:dyDescent="0.25">
      <c r="A678" s="2">
        <f ca="1">IFERROR(__xludf.DUMMYFUNCTION("""COMPUTED_VALUE"""),45373.6458333333)</f>
        <v>45373.645833333299</v>
      </c>
      <c r="B678" s="1">
        <f ca="1">IFERROR(__xludf.DUMMYFUNCTION("""COMPUTED_VALUE"""),1508.85)</f>
        <v>1508.85</v>
      </c>
      <c r="C678" s="3">
        <f t="shared" ca="1" si="20"/>
        <v>-2.9491220171094189E-2</v>
      </c>
      <c r="D678">
        <f t="shared" ca="1" si="19"/>
        <v>1645.4132653061222</v>
      </c>
    </row>
    <row r="679" spans="1:4" x14ac:dyDescent="0.25">
      <c r="A679" s="2">
        <f ca="1">IFERROR(__xludf.DUMMYFUNCTION("""COMPUTED_VALUE"""),45377.6458333333)</f>
        <v>45377.645833333299</v>
      </c>
      <c r="B679" s="1">
        <f ca="1">IFERROR(__xludf.DUMMYFUNCTION("""COMPUTED_VALUE"""),1492.65)</f>
        <v>1492.65</v>
      </c>
      <c r="C679" s="3">
        <f t="shared" ca="1" si="20"/>
        <v>-1.0736653742916671E-2</v>
      </c>
      <c r="D679">
        <f t="shared" ca="1" si="19"/>
        <v>1645.1877551020405</v>
      </c>
    </row>
    <row r="680" spans="1:4" x14ac:dyDescent="0.25">
      <c r="A680" s="2">
        <f ca="1">IFERROR(__xludf.DUMMYFUNCTION("""COMPUTED_VALUE"""),45378.6458333333)</f>
        <v>45378.645833333299</v>
      </c>
      <c r="B680" s="1">
        <f ca="1">IFERROR(__xludf.DUMMYFUNCTION("""COMPUTED_VALUE"""),1483.85)</f>
        <v>1483.85</v>
      </c>
      <c r="C680" s="3">
        <f t="shared" ca="1" si="20"/>
        <v>-5.8955548856062584E-3</v>
      </c>
      <c r="D680">
        <f t="shared" ca="1" si="19"/>
        <v>1645.1561224489792</v>
      </c>
    </row>
    <row r="681" spans="1:4" x14ac:dyDescent="0.25">
      <c r="A681" s="2">
        <f ca="1">IFERROR(__xludf.DUMMYFUNCTION("""COMPUTED_VALUE"""),45379.6458333333)</f>
        <v>45379.645833333299</v>
      </c>
      <c r="B681" s="1">
        <f ca="1">IFERROR(__xludf.DUMMYFUNCTION("""COMPUTED_VALUE"""),1498.05)</f>
        <v>1498.05</v>
      </c>
      <c r="C681" s="3">
        <f t="shared" ca="1" si="20"/>
        <v>9.569700441419313E-3</v>
      </c>
      <c r="D681">
        <f t="shared" ca="1" si="19"/>
        <v>1642.525510204081</v>
      </c>
    </row>
    <row r="682" spans="1:4" x14ac:dyDescent="0.25">
      <c r="A682" s="2">
        <f ca="1">IFERROR(__xludf.DUMMYFUNCTION("""COMPUTED_VALUE"""),45383.6458333333)</f>
        <v>45383.645833333299</v>
      </c>
      <c r="B682" s="1">
        <f ca="1">IFERROR(__xludf.DUMMYFUNCTION("""COMPUTED_VALUE"""),1495.45)</f>
        <v>1495.45</v>
      </c>
      <c r="C682" s="3">
        <f t="shared" ca="1" si="20"/>
        <v>-1.7355895998130296E-3</v>
      </c>
      <c r="D682">
        <f t="shared" ca="1" si="19"/>
        <v>1639.3816326530609</v>
      </c>
    </row>
    <row r="683" spans="1:4" x14ac:dyDescent="0.25">
      <c r="A683" s="2">
        <f ca="1">IFERROR(__xludf.DUMMYFUNCTION("""COMPUTED_VALUE"""),45384.6458333333)</f>
        <v>45384.645833333299</v>
      </c>
      <c r="B683" s="1">
        <f ca="1">IFERROR(__xludf.DUMMYFUNCTION("""COMPUTED_VALUE"""),1482.85)</f>
        <v>1482.85</v>
      </c>
      <c r="C683" s="3">
        <f t="shared" ca="1" si="20"/>
        <v>-8.4255575244910463E-3</v>
      </c>
      <c r="D683">
        <f t="shared" ca="1" si="19"/>
        <v>1636.6040816326529</v>
      </c>
    </row>
    <row r="684" spans="1:4" x14ac:dyDescent="0.25">
      <c r="A684" s="2">
        <f ca="1">IFERROR(__xludf.DUMMYFUNCTION("""COMPUTED_VALUE"""),45385.6458333333)</f>
        <v>45385.645833333299</v>
      </c>
      <c r="B684" s="1">
        <f ca="1">IFERROR(__xludf.DUMMYFUNCTION("""COMPUTED_VALUE"""),1480.65)</f>
        <v>1480.65</v>
      </c>
      <c r="C684" s="3">
        <f t="shared" ca="1" si="20"/>
        <v>-1.4836294972517909E-3</v>
      </c>
      <c r="D684">
        <f t="shared" ca="1" si="19"/>
        <v>1633.3928571428569</v>
      </c>
    </row>
    <row r="685" spans="1:4" x14ac:dyDescent="0.25">
      <c r="A685" s="2">
        <f ca="1">IFERROR(__xludf.DUMMYFUNCTION("""COMPUTED_VALUE"""),45386.6458333333)</f>
        <v>45386.645833333299</v>
      </c>
      <c r="B685" s="1">
        <f ca="1">IFERROR(__xludf.DUMMYFUNCTION("""COMPUTED_VALUE"""),1486.7)</f>
        <v>1486.7</v>
      </c>
      <c r="C685" s="3">
        <f t="shared" ca="1" si="20"/>
        <v>4.0860432917974908E-3</v>
      </c>
      <c r="D685">
        <f t="shared" ca="1" si="19"/>
        <v>1630.0877551020405</v>
      </c>
    </row>
    <row r="686" spans="1:4" x14ac:dyDescent="0.25">
      <c r="A686" s="2">
        <f ca="1">IFERROR(__xludf.DUMMYFUNCTION("""COMPUTED_VALUE"""),45387.6458333333)</f>
        <v>45387.645833333299</v>
      </c>
      <c r="B686" s="1">
        <f ca="1">IFERROR(__xludf.DUMMYFUNCTION("""COMPUTED_VALUE"""),1479.1)</f>
        <v>1479.1</v>
      </c>
      <c r="C686" s="3">
        <f t="shared" ca="1" si="20"/>
        <v>-5.1119930046412436E-3</v>
      </c>
      <c r="D686">
        <f t="shared" ca="1" si="19"/>
        <v>1626.5673469387752</v>
      </c>
    </row>
    <row r="687" spans="1:4" x14ac:dyDescent="0.25">
      <c r="A687" s="2">
        <f ca="1">IFERROR(__xludf.DUMMYFUNCTION("""COMPUTED_VALUE"""),45390.6458333333)</f>
        <v>45390.645833333299</v>
      </c>
      <c r="B687" s="1">
        <f ca="1">IFERROR(__xludf.DUMMYFUNCTION("""COMPUTED_VALUE"""),1476.7)</f>
        <v>1476.7</v>
      </c>
      <c r="C687" s="3">
        <f t="shared" ca="1" si="20"/>
        <v>-1.6226083429111376E-3</v>
      </c>
      <c r="D687">
        <f t="shared" ca="1" si="19"/>
        <v>1623.2397959183672</v>
      </c>
    </row>
    <row r="688" spans="1:4" x14ac:dyDescent="0.25">
      <c r="A688" s="2">
        <f ca="1">IFERROR(__xludf.DUMMYFUNCTION("""COMPUTED_VALUE"""),45391.6458333333)</f>
        <v>45391.645833333299</v>
      </c>
      <c r="B688" s="1">
        <f ca="1">IFERROR(__xludf.DUMMYFUNCTION("""COMPUTED_VALUE"""),1494.85)</f>
        <v>1494.85</v>
      </c>
      <c r="C688" s="3">
        <f t="shared" ca="1" si="20"/>
        <v>1.2290918940881603E-2</v>
      </c>
      <c r="D688">
        <f t="shared" ca="1" si="19"/>
        <v>1619.1846938775507</v>
      </c>
    </row>
    <row r="689" spans="1:4" x14ac:dyDescent="0.25">
      <c r="A689" s="2">
        <f ca="1">IFERROR(__xludf.DUMMYFUNCTION("""COMPUTED_VALUE"""),45392.6458333333)</f>
        <v>45392.645833333299</v>
      </c>
      <c r="B689" s="1">
        <f ca="1">IFERROR(__xludf.DUMMYFUNCTION("""COMPUTED_VALUE"""),1506.8)</f>
        <v>1506.8</v>
      </c>
      <c r="C689" s="3">
        <f t="shared" ca="1" si="20"/>
        <v>7.9941131217179297E-3</v>
      </c>
      <c r="D689">
        <f t="shared" ca="1" si="19"/>
        <v>1615.6285714285711</v>
      </c>
    </row>
    <row r="690" spans="1:4" x14ac:dyDescent="0.25">
      <c r="A690" s="2">
        <f ca="1">IFERROR(__xludf.DUMMYFUNCTION("""COMPUTED_VALUE"""),45394.6458333333)</f>
        <v>45394.645833333299</v>
      </c>
      <c r="B690" s="1">
        <f ca="1">IFERROR(__xludf.DUMMYFUNCTION("""COMPUTED_VALUE"""),1484.75)</f>
        <v>1484.75</v>
      </c>
      <c r="C690" s="3">
        <f t="shared" ca="1" si="20"/>
        <v>-1.4633660737987759E-2</v>
      </c>
      <c r="D690">
        <f t="shared" ca="1" si="19"/>
        <v>1612.5714285714287</v>
      </c>
    </row>
    <row r="691" spans="1:4" x14ac:dyDescent="0.25">
      <c r="A691" s="2">
        <f ca="1">IFERROR(__xludf.DUMMYFUNCTION("""COMPUTED_VALUE"""),45397.6458333333)</f>
        <v>45397.645833333299</v>
      </c>
      <c r="B691" s="1">
        <f ca="1">IFERROR(__xludf.DUMMYFUNCTION("""COMPUTED_VALUE"""),1468.15)</f>
        <v>1468.15</v>
      </c>
      <c r="C691" s="3">
        <f t="shared" ca="1" si="20"/>
        <v>-1.1180333389459444E-2</v>
      </c>
      <c r="D691">
        <f t="shared" ca="1" si="19"/>
        <v>1609.1693877551022</v>
      </c>
    </row>
    <row r="692" spans="1:4" x14ac:dyDescent="0.25">
      <c r="A692" s="2">
        <f ca="1">IFERROR(__xludf.DUMMYFUNCTION("""COMPUTED_VALUE"""),45398.6458333333)</f>
        <v>45398.645833333299</v>
      </c>
      <c r="B692" s="1">
        <f ca="1">IFERROR(__xludf.DUMMYFUNCTION("""COMPUTED_VALUE"""),1414.45)</f>
        <v>1414.45</v>
      </c>
      <c r="C692" s="3">
        <f t="shared" ca="1" si="20"/>
        <v>-3.6576644075877837E-2</v>
      </c>
      <c r="D692">
        <f t="shared" ref="D692:D755" ca="1" si="21">AVERAGE(B643:B691)</f>
        <v>1605.2357142857138</v>
      </c>
    </row>
    <row r="693" spans="1:4" x14ac:dyDescent="0.25">
      <c r="A693" s="2">
        <f ca="1">IFERROR(__xludf.DUMMYFUNCTION("""COMPUTED_VALUE"""),45400.6458333333)</f>
        <v>45400.645833333299</v>
      </c>
      <c r="B693" s="1">
        <f ca="1">IFERROR(__xludf.DUMMYFUNCTION("""COMPUTED_VALUE"""),1419.25)</f>
        <v>1419.25</v>
      </c>
      <c r="C693" s="3">
        <f t="shared" ca="1" si="20"/>
        <v>3.3935451942450805E-3</v>
      </c>
      <c r="D693">
        <f t="shared" ca="1" si="21"/>
        <v>1600.2846938775506</v>
      </c>
    </row>
    <row r="694" spans="1:4" x14ac:dyDescent="0.25">
      <c r="A694" s="2">
        <f ca="1">IFERROR(__xludf.DUMMYFUNCTION("""COMPUTED_VALUE"""),45401.6458333333)</f>
        <v>45401.645833333299</v>
      </c>
      <c r="B694" s="1">
        <f ca="1">IFERROR(__xludf.DUMMYFUNCTION("""COMPUTED_VALUE"""),1411.25)</f>
        <v>1411.25</v>
      </c>
      <c r="C694" s="3">
        <f t="shared" ca="1" si="20"/>
        <v>-5.6367799894310377E-3</v>
      </c>
      <c r="D694">
        <f t="shared" ca="1" si="21"/>
        <v>1594.6908163265305</v>
      </c>
    </row>
    <row r="695" spans="1:4" x14ac:dyDescent="0.25">
      <c r="A695" s="2">
        <f ca="1">IFERROR(__xludf.DUMMYFUNCTION("""COMPUTED_VALUE"""),45404.6458333333)</f>
        <v>45404.645833333299</v>
      </c>
      <c r="B695" s="1">
        <f ca="1">IFERROR(__xludf.DUMMYFUNCTION("""COMPUTED_VALUE"""),1432.75)</f>
        <v>1432.75</v>
      </c>
      <c r="C695" s="3">
        <f t="shared" ca="1" si="20"/>
        <v>1.5234720992028343E-2</v>
      </c>
      <c r="D695">
        <f t="shared" ca="1" si="21"/>
        <v>1589.0591836734691</v>
      </c>
    </row>
    <row r="696" spans="1:4" x14ac:dyDescent="0.25">
      <c r="A696" s="2">
        <f ca="1">IFERROR(__xludf.DUMMYFUNCTION("""COMPUTED_VALUE"""),45405.6458333333)</f>
        <v>45405.645833333299</v>
      </c>
      <c r="B696" s="1">
        <f ca="1">IFERROR(__xludf.DUMMYFUNCTION("""COMPUTED_VALUE"""),1442.4)</f>
        <v>1442.4</v>
      </c>
      <c r="C696" s="3">
        <f t="shared" ca="1" si="20"/>
        <v>6.7352992496947069E-3</v>
      </c>
      <c r="D696">
        <f t="shared" ca="1" si="21"/>
        <v>1583.0040816326527</v>
      </c>
    </row>
    <row r="697" spans="1:4" x14ac:dyDescent="0.25">
      <c r="A697" s="2">
        <f ca="1">IFERROR(__xludf.DUMMYFUNCTION("""COMPUTED_VALUE"""),45406.6458333333)</f>
        <v>45406.645833333299</v>
      </c>
      <c r="B697" s="1">
        <f ca="1">IFERROR(__xludf.DUMMYFUNCTION("""COMPUTED_VALUE"""),1430.75)</f>
        <v>1430.75</v>
      </c>
      <c r="C697" s="3">
        <f t="shared" ca="1" si="20"/>
        <v>-8.0768164170827023E-3</v>
      </c>
      <c r="D697">
        <f t="shared" ca="1" si="21"/>
        <v>1577.874489795918</v>
      </c>
    </row>
    <row r="698" spans="1:4" x14ac:dyDescent="0.25">
      <c r="A698" s="2">
        <f ca="1">IFERROR(__xludf.DUMMYFUNCTION("""COMPUTED_VALUE"""),45407.6458333333)</f>
        <v>45407.645833333299</v>
      </c>
      <c r="B698" s="1">
        <f ca="1">IFERROR(__xludf.DUMMYFUNCTION("""COMPUTED_VALUE"""),1438.45)</f>
        <v>1438.45</v>
      </c>
      <c r="C698" s="3">
        <f t="shared" ca="1" si="20"/>
        <v>5.3817927660318333E-3</v>
      </c>
      <c r="D698">
        <f t="shared" ca="1" si="21"/>
        <v>1572.5408163265299</v>
      </c>
    </row>
    <row r="699" spans="1:4" x14ac:dyDescent="0.25">
      <c r="A699" s="2">
        <f ca="1">IFERROR(__xludf.DUMMYFUNCTION("""COMPUTED_VALUE"""),45408.6458333333)</f>
        <v>45408.645833333299</v>
      </c>
      <c r="B699" s="1">
        <f ca="1">IFERROR(__xludf.DUMMYFUNCTION("""COMPUTED_VALUE"""),1430.25)</f>
        <v>1430.25</v>
      </c>
      <c r="C699" s="3">
        <f t="shared" ca="1" si="20"/>
        <v>-5.7005804859397583E-3</v>
      </c>
      <c r="D699">
        <f t="shared" ca="1" si="21"/>
        <v>1567.828571428571</v>
      </c>
    </row>
    <row r="700" spans="1:4" x14ac:dyDescent="0.25">
      <c r="A700" s="2">
        <f ca="1">IFERROR(__xludf.DUMMYFUNCTION("""COMPUTED_VALUE"""),45411.6458333333)</f>
        <v>45411.645833333299</v>
      </c>
      <c r="B700" s="1">
        <f ca="1">IFERROR(__xludf.DUMMYFUNCTION("""COMPUTED_VALUE"""),1434.75)</f>
        <v>1434.75</v>
      </c>
      <c r="C700" s="3">
        <f t="shared" ca="1" si="20"/>
        <v>3.146303093864709E-3</v>
      </c>
      <c r="D700">
        <f t="shared" ca="1" si="21"/>
        <v>1562.7295918367345</v>
      </c>
    </row>
    <row r="701" spans="1:4" x14ac:dyDescent="0.25">
      <c r="A701" s="2">
        <f ca="1">IFERROR(__xludf.DUMMYFUNCTION("""COMPUTED_VALUE"""),45412.6458333333)</f>
        <v>45412.645833333299</v>
      </c>
      <c r="B701" s="1">
        <f ca="1">IFERROR(__xludf.DUMMYFUNCTION("""COMPUTED_VALUE"""),1420.55)</f>
        <v>1420.55</v>
      </c>
      <c r="C701" s="3">
        <f t="shared" ca="1" si="20"/>
        <v>-9.8971946332113928E-3</v>
      </c>
      <c r="D701">
        <f t="shared" ca="1" si="21"/>
        <v>1557.6316326530609</v>
      </c>
    </row>
    <row r="702" spans="1:4" x14ac:dyDescent="0.25">
      <c r="A702" s="2">
        <f ca="1">IFERROR(__xludf.DUMMYFUNCTION("""COMPUTED_VALUE"""),45414.6458333333)</f>
        <v>45414.645833333299</v>
      </c>
      <c r="B702" s="1">
        <f ca="1">IFERROR(__xludf.DUMMYFUNCTION("""COMPUTED_VALUE"""),1414.45)</f>
        <v>1414.45</v>
      </c>
      <c r="C702" s="3">
        <f t="shared" ca="1" si="20"/>
        <v>-4.2941114357114563E-3</v>
      </c>
      <c r="D702">
        <f t="shared" ca="1" si="21"/>
        <v>1552.6183673469386</v>
      </c>
    </row>
    <row r="703" spans="1:4" x14ac:dyDescent="0.25">
      <c r="A703" s="2">
        <f ca="1">IFERROR(__xludf.DUMMYFUNCTION("""COMPUTED_VALUE"""),45415.6458333333)</f>
        <v>45415.645833333299</v>
      </c>
      <c r="B703" s="1">
        <f ca="1">IFERROR(__xludf.DUMMYFUNCTION("""COMPUTED_VALUE"""),1416.3)</f>
        <v>1416.3</v>
      </c>
      <c r="C703" s="3">
        <f t="shared" ca="1" si="20"/>
        <v>1.3079288769485729E-3</v>
      </c>
      <c r="D703">
        <f t="shared" ca="1" si="21"/>
        <v>1547.2734693877546</v>
      </c>
    </row>
    <row r="704" spans="1:4" x14ac:dyDescent="0.25">
      <c r="A704" s="2">
        <f ca="1">IFERROR(__xludf.DUMMYFUNCTION("""COMPUTED_VALUE"""),45418.6458333333)</f>
        <v>45418.645833333299</v>
      </c>
      <c r="B704" s="1">
        <f ca="1">IFERROR(__xludf.DUMMYFUNCTION("""COMPUTED_VALUE"""),1425.9)</f>
        <v>1425.9</v>
      </c>
      <c r="C704" s="3">
        <f t="shared" ca="1" si="20"/>
        <v>6.7782249523407022E-3</v>
      </c>
      <c r="D704">
        <f t="shared" ca="1" si="21"/>
        <v>1541.4499999999994</v>
      </c>
    </row>
    <row r="705" spans="1:4" x14ac:dyDescent="0.25">
      <c r="A705" s="2">
        <f ca="1">IFERROR(__xludf.DUMMYFUNCTION("""COMPUTED_VALUE"""),45419.6458333333)</f>
        <v>45419.645833333299</v>
      </c>
      <c r="B705" s="1">
        <f ca="1">IFERROR(__xludf.DUMMYFUNCTION("""COMPUTED_VALUE"""),1440.95)</f>
        <v>1440.95</v>
      </c>
      <c r="C705" s="3">
        <f t="shared" ca="1" si="20"/>
        <v>1.0554737358861038E-2</v>
      </c>
      <c r="D705">
        <f t="shared" ca="1" si="21"/>
        <v>1535.8612244897956</v>
      </c>
    </row>
    <row r="706" spans="1:4" x14ac:dyDescent="0.25">
      <c r="A706" s="2">
        <f ca="1">IFERROR(__xludf.DUMMYFUNCTION("""COMPUTED_VALUE"""),45420.6458333333)</f>
        <v>45420.645833333299</v>
      </c>
      <c r="B706" s="1">
        <f ca="1">IFERROR(__xludf.DUMMYFUNCTION("""COMPUTED_VALUE"""),1427.3)</f>
        <v>1427.3</v>
      </c>
      <c r="C706" s="3">
        <f t="shared" ca="1" si="20"/>
        <v>-9.4729171726986305E-3</v>
      </c>
      <c r="D706">
        <f t="shared" ca="1" si="21"/>
        <v>1530.8755102040816</v>
      </c>
    </row>
    <row r="707" spans="1:4" x14ac:dyDescent="0.25">
      <c r="A707" s="2">
        <f ca="1">IFERROR(__xludf.DUMMYFUNCTION("""COMPUTED_VALUE"""),45421.6458333333)</f>
        <v>45421.645833333299</v>
      </c>
      <c r="B707" s="1">
        <f ca="1">IFERROR(__xludf.DUMMYFUNCTION("""COMPUTED_VALUE"""),1439.55)</f>
        <v>1439.55</v>
      </c>
      <c r="C707" s="3">
        <f t="shared" ca="1" si="20"/>
        <v>8.5826385483079946E-3</v>
      </c>
      <c r="D707">
        <f t="shared" ca="1" si="21"/>
        <v>1526.2173469387753</v>
      </c>
    </row>
    <row r="708" spans="1:4" x14ac:dyDescent="0.25">
      <c r="A708" s="2">
        <f ca="1">IFERROR(__xludf.DUMMYFUNCTION("""COMPUTED_VALUE"""),45422.6458333333)</f>
        <v>45422.645833333299</v>
      </c>
      <c r="B708" s="1">
        <f ca="1">IFERROR(__xludf.DUMMYFUNCTION("""COMPUTED_VALUE"""),1424.9)</f>
        <v>1424.9</v>
      </c>
      <c r="C708" s="3">
        <f t="shared" ref="C708:C771" ca="1" si="22">(B708-B707)/B707</f>
        <v>-1.0176791358410519E-2</v>
      </c>
      <c r="D708">
        <f t="shared" ca="1" si="21"/>
        <v>1521.2826530612242</v>
      </c>
    </row>
    <row r="709" spans="1:4" x14ac:dyDescent="0.25">
      <c r="A709" s="2">
        <f ca="1">IFERROR(__xludf.DUMMYFUNCTION("""COMPUTED_VALUE"""),45425.6458333333)</f>
        <v>45425.645833333299</v>
      </c>
      <c r="B709" s="1">
        <f ca="1">IFERROR(__xludf.DUMMYFUNCTION("""COMPUTED_VALUE"""),1423.45)</f>
        <v>1423.45</v>
      </c>
      <c r="C709" s="3">
        <f t="shared" ca="1" si="22"/>
        <v>-1.0176152712471369E-3</v>
      </c>
      <c r="D709">
        <f t="shared" ca="1" si="21"/>
        <v>1516.1408163265305</v>
      </c>
    </row>
    <row r="710" spans="1:4" x14ac:dyDescent="0.25">
      <c r="A710" s="2">
        <f ca="1">IFERROR(__xludf.DUMMYFUNCTION("""COMPUTED_VALUE"""),45426.6458333333)</f>
        <v>45426.645833333299</v>
      </c>
      <c r="B710" s="1">
        <f ca="1">IFERROR(__xludf.DUMMYFUNCTION("""COMPUTED_VALUE"""),1424.7)</f>
        <v>1424.7</v>
      </c>
      <c r="C710" s="3">
        <f t="shared" ca="1" si="22"/>
        <v>8.7814816115775048E-4</v>
      </c>
      <c r="D710">
        <f t="shared" ca="1" si="21"/>
        <v>1511.3102040816323</v>
      </c>
    </row>
    <row r="711" spans="1:4" x14ac:dyDescent="0.25">
      <c r="A711" s="2">
        <f ca="1">IFERROR(__xludf.DUMMYFUNCTION("""COMPUTED_VALUE"""),45427.6458333333)</f>
        <v>45427.645833333299</v>
      </c>
      <c r="B711" s="1">
        <f ca="1">IFERROR(__xludf.DUMMYFUNCTION("""COMPUTED_VALUE"""),1419.95)</f>
        <v>1419.95</v>
      </c>
      <c r="C711" s="3">
        <f t="shared" ca="1" si="22"/>
        <v>-3.3340352354881727E-3</v>
      </c>
      <c r="D711">
        <f t="shared" ca="1" si="21"/>
        <v>1506.4346938775507</v>
      </c>
    </row>
    <row r="712" spans="1:4" x14ac:dyDescent="0.25">
      <c r="A712" s="2">
        <f ca="1">IFERROR(__xludf.DUMMYFUNCTION("""COMPUTED_VALUE"""),45428.6458333333)</f>
        <v>45428.645833333299</v>
      </c>
      <c r="B712" s="1">
        <f ca="1">IFERROR(__xludf.DUMMYFUNCTION("""COMPUTED_VALUE"""),1453.35)</f>
        <v>1453.35</v>
      </c>
      <c r="C712" s="3">
        <f t="shared" ca="1" si="22"/>
        <v>2.3521954998415341E-2</v>
      </c>
      <c r="D712">
        <f t="shared" ca="1" si="21"/>
        <v>1501.3061224489793</v>
      </c>
    </row>
    <row r="713" spans="1:4" x14ac:dyDescent="0.25">
      <c r="A713" s="2">
        <f ca="1">IFERROR(__xludf.DUMMYFUNCTION("""COMPUTED_VALUE"""),45429.6458333333)</f>
        <v>45429.645833333299</v>
      </c>
      <c r="B713" s="1">
        <f ca="1">IFERROR(__xludf.DUMMYFUNCTION("""COMPUTED_VALUE"""),1444.3)</f>
        <v>1444.3</v>
      </c>
      <c r="C713" s="3">
        <f t="shared" ca="1" si="22"/>
        <v>-6.2269928097154542E-3</v>
      </c>
      <c r="D713">
        <f t="shared" ca="1" si="21"/>
        <v>1496.8051020408159</v>
      </c>
    </row>
    <row r="714" spans="1:4" x14ac:dyDescent="0.25">
      <c r="A714" s="2">
        <f ca="1">IFERROR(__xludf.DUMMYFUNCTION("""COMPUTED_VALUE"""),45433.6458333333)</f>
        <v>45433.645833333299</v>
      </c>
      <c r="B714" s="1">
        <f ca="1">IFERROR(__xludf.DUMMYFUNCTION("""COMPUTED_VALUE"""),1434.15)</f>
        <v>1434.15</v>
      </c>
      <c r="C714" s="3">
        <f t="shared" ca="1" si="22"/>
        <v>-7.0276258395069336E-3</v>
      </c>
      <c r="D714">
        <f t="shared" ca="1" si="21"/>
        <v>1492.5112244897959</v>
      </c>
    </row>
    <row r="715" spans="1:4" x14ac:dyDescent="0.25">
      <c r="A715" s="2">
        <f ca="1">IFERROR(__xludf.DUMMYFUNCTION("""COMPUTED_VALUE"""),45434.6458333333)</f>
        <v>45434.645833333299</v>
      </c>
      <c r="B715" s="1">
        <f ca="1">IFERROR(__xludf.DUMMYFUNCTION("""COMPUTED_VALUE"""),1454.8)</f>
        <v>1454.8</v>
      </c>
      <c r="C715" s="3">
        <f t="shared" ca="1" si="22"/>
        <v>1.4398772792246183E-2</v>
      </c>
      <c r="D715">
        <f t="shared" ca="1" si="21"/>
        <v>1488.3673469387754</v>
      </c>
    </row>
    <row r="716" spans="1:4" x14ac:dyDescent="0.25">
      <c r="A716" s="2">
        <f ca="1">IFERROR(__xludf.DUMMYFUNCTION("""COMPUTED_VALUE"""),45435.6458333333)</f>
        <v>45435.645833333299</v>
      </c>
      <c r="B716" s="1">
        <f ca="1">IFERROR(__xludf.DUMMYFUNCTION("""COMPUTED_VALUE"""),1472.4)</f>
        <v>1472.4</v>
      </c>
      <c r="C716" s="3">
        <f t="shared" ca="1" si="22"/>
        <v>1.2097882870497756E-2</v>
      </c>
      <c r="D716">
        <f t="shared" ca="1" si="21"/>
        <v>1485.2714285714287</v>
      </c>
    </row>
    <row r="717" spans="1:4" x14ac:dyDescent="0.25">
      <c r="A717" s="2">
        <f ca="1">IFERROR(__xludf.DUMMYFUNCTION("""COMPUTED_VALUE"""),45436.6458333333)</f>
        <v>45436.645833333299</v>
      </c>
      <c r="B717" s="1">
        <f ca="1">IFERROR(__xludf.DUMMYFUNCTION("""COMPUTED_VALUE"""),1465.1)</f>
        <v>1465.1</v>
      </c>
      <c r="C717" s="3">
        <f t="shared" ca="1" si="22"/>
        <v>-4.9578918772074038E-3</v>
      </c>
      <c r="D717">
        <f t="shared" ca="1" si="21"/>
        <v>1482.3091836734693</v>
      </c>
    </row>
    <row r="718" spans="1:4" x14ac:dyDescent="0.25">
      <c r="A718" s="2">
        <f ca="1">IFERROR(__xludf.DUMMYFUNCTION("""COMPUTED_VALUE"""),45439.6458333333)</f>
        <v>45439.645833333299</v>
      </c>
      <c r="B718" s="1">
        <f ca="1">IFERROR(__xludf.DUMMYFUNCTION("""COMPUTED_VALUE"""),1471.35)</f>
        <v>1471.35</v>
      </c>
      <c r="C718" s="3">
        <f t="shared" ca="1" si="22"/>
        <v>4.2659204149887381E-3</v>
      </c>
      <c r="D718">
        <f t="shared" ca="1" si="21"/>
        <v>1479.2204081632651</v>
      </c>
    </row>
    <row r="719" spans="1:4" x14ac:dyDescent="0.25">
      <c r="A719" s="2">
        <f ca="1">IFERROR(__xludf.DUMMYFUNCTION("""COMPUTED_VALUE"""),45440.6458333333)</f>
        <v>45440.645833333299</v>
      </c>
      <c r="B719" s="1">
        <f ca="1">IFERROR(__xludf.DUMMYFUNCTION("""COMPUTED_VALUE"""),1467.05)</f>
        <v>1467.05</v>
      </c>
      <c r="C719" s="3">
        <f t="shared" ca="1" si="22"/>
        <v>-2.9224861521731436E-3</v>
      </c>
      <c r="D719">
        <f t="shared" ca="1" si="21"/>
        <v>1476.5826530612246</v>
      </c>
    </row>
    <row r="720" spans="1:4" x14ac:dyDescent="0.25">
      <c r="A720" s="2">
        <f ca="1">IFERROR(__xludf.DUMMYFUNCTION("""COMPUTED_VALUE"""),45441.6458333333)</f>
        <v>45441.645833333299</v>
      </c>
      <c r="B720" s="1">
        <f ca="1">IFERROR(__xludf.DUMMYFUNCTION("""COMPUTED_VALUE"""),1450.95)</f>
        <v>1450.95</v>
      </c>
      <c r="C720" s="3">
        <f t="shared" ca="1" si="22"/>
        <v>-1.0974404417027307E-2</v>
      </c>
      <c r="D720">
        <f t="shared" ca="1" si="21"/>
        <v>1473.6051020408165</v>
      </c>
    </row>
    <row r="721" spans="1:4" x14ac:dyDescent="0.25">
      <c r="A721" s="2">
        <f ca="1">IFERROR(__xludf.DUMMYFUNCTION("""COMPUTED_VALUE"""),45442.6458333333)</f>
        <v>45442.645833333299</v>
      </c>
      <c r="B721" s="1">
        <f ca="1">IFERROR(__xludf.DUMMYFUNCTION("""COMPUTED_VALUE"""),1427.45)</f>
        <v>1427.45</v>
      </c>
      <c r="C721" s="3">
        <f t="shared" ca="1" si="22"/>
        <v>-1.6196285192460112E-2</v>
      </c>
      <c r="D721">
        <f t="shared" ca="1" si="21"/>
        <v>1470.3306122448982</v>
      </c>
    </row>
    <row r="722" spans="1:4" x14ac:dyDescent="0.25">
      <c r="A722" s="2">
        <f ca="1">IFERROR(__xludf.DUMMYFUNCTION("""COMPUTED_VALUE"""),45443.6458333333)</f>
        <v>45443.645833333299</v>
      </c>
      <c r="B722" s="1">
        <f ca="1">IFERROR(__xludf.DUMMYFUNCTION("""COMPUTED_VALUE"""),1406.9)</f>
        <v>1406.9</v>
      </c>
      <c r="C722" s="3">
        <f t="shared" ca="1" si="22"/>
        <v>-1.4396301096360611E-2</v>
      </c>
      <c r="D722">
        <f t="shared" ca="1" si="21"/>
        <v>1465.721428571429</v>
      </c>
    </row>
    <row r="723" spans="1:4" x14ac:dyDescent="0.25">
      <c r="A723" s="2">
        <f ca="1">IFERROR(__xludf.DUMMYFUNCTION("""COMPUTED_VALUE"""),45446.6458333333)</f>
        <v>45446.645833333299</v>
      </c>
      <c r="B723" s="1">
        <f ca="1">IFERROR(__xludf.DUMMYFUNCTION("""COMPUTED_VALUE"""),1405.9)</f>
        <v>1405.9</v>
      </c>
      <c r="C723" s="3">
        <f t="shared" ca="1" si="22"/>
        <v>-7.1078257161134406E-4</v>
      </c>
      <c r="D723">
        <f t="shared" ca="1" si="21"/>
        <v>1461.0867346938776</v>
      </c>
    </row>
    <row r="724" spans="1:4" x14ac:dyDescent="0.25">
      <c r="A724" s="2">
        <f ca="1">IFERROR(__xludf.DUMMYFUNCTION("""COMPUTED_VALUE"""),45447.6458333333)</f>
        <v>45447.645833333299</v>
      </c>
      <c r="B724" s="1">
        <f ca="1">IFERROR(__xludf.DUMMYFUNCTION("""COMPUTED_VALUE"""),1393.65)</f>
        <v>1393.65</v>
      </c>
      <c r="C724" s="3">
        <f t="shared" ca="1" si="22"/>
        <v>-8.7132797496265735E-3</v>
      </c>
      <c r="D724">
        <f t="shared" ca="1" si="21"/>
        <v>1457.0714285714282</v>
      </c>
    </row>
    <row r="725" spans="1:4" x14ac:dyDescent="0.25">
      <c r="A725" s="2">
        <f ca="1">IFERROR(__xludf.DUMMYFUNCTION("""COMPUTED_VALUE"""),45448.6458333333)</f>
        <v>45448.645833333299</v>
      </c>
      <c r="B725" s="1">
        <f ca="1">IFERROR(__xludf.DUMMYFUNCTION("""COMPUTED_VALUE"""),1430.1)</f>
        <v>1430.1</v>
      </c>
      <c r="C725" s="3">
        <f t="shared" ca="1" si="22"/>
        <v>2.6154342912495833E-2</v>
      </c>
      <c r="D725">
        <f t="shared" ca="1" si="21"/>
        <v>1453.6469387755099</v>
      </c>
    </row>
    <row r="726" spans="1:4" x14ac:dyDescent="0.25">
      <c r="A726" s="2">
        <f ca="1">IFERROR(__xludf.DUMMYFUNCTION("""COMPUTED_VALUE"""),45449.6458333333)</f>
        <v>45449.645833333299</v>
      </c>
      <c r="B726" s="1">
        <f ca="1">IFERROR(__xludf.DUMMYFUNCTION("""COMPUTED_VALUE"""),1472.25)</f>
        <v>1472.25</v>
      </c>
      <c r="C726" s="3">
        <f t="shared" ca="1" si="22"/>
        <v>2.9473463394168304E-2</v>
      </c>
      <c r="D726">
        <f t="shared" ca="1" si="21"/>
        <v>1451.098979591837</v>
      </c>
    </row>
    <row r="727" spans="1:4" x14ac:dyDescent="0.25">
      <c r="A727" s="2">
        <f ca="1">IFERROR(__xludf.DUMMYFUNCTION("""COMPUTED_VALUE"""),45450.6458333333)</f>
        <v>45450.645833333299</v>
      </c>
      <c r="B727" s="1">
        <f ca="1">IFERROR(__xludf.DUMMYFUNCTION("""COMPUTED_VALUE"""),1533.6)</f>
        <v>1533.6</v>
      </c>
      <c r="C727" s="3">
        <f t="shared" ca="1" si="22"/>
        <v>4.1670911869587303E-2</v>
      </c>
      <c r="D727">
        <f t="shared" ca="1" si="21"/>
        <v>1449.4163265306124</v>
      </c>
    </row>
    <row r="728" spans="1:4" x14ac:dyDescent="0.25">
      <c r="A728" s="2">
        <f ca="1">IFERROR(__xludf.DUMMYFUNCTION("""COMPUTED_VALUE"""),45453.6458333333)</f>
        <v>45453.645833333299</v>
      </c>
      <c r="B728" s="1">
        <f ca="1">IFERROR(__xludf.DUMMYFUNCTION("""COMPUTED_VALUE"""),1499.75)</f>
        <v>1499.75</v>
      </c>
      <c r="C728" s="3">
        <f t="shared" ca="1" si="22"/>
        <v>-2.2072248304642612E-2</v>
      </c>
      <c r="D728">
        <f t="shared" ca="1" si="21"/>
        <v>1449.921428571429</v>
      </c>
    </row>
    <row r="729" spans="1:4" x14ac:dyDescent="0.25">
      <c r="A729" s="2">
        <f ca="1">IFERROR(__xludf.DUMMYFUNCTION("""COMPUTED_VALUE"""),45454.6458333333)</f>
        <v>45454.645833333299</v>
      </c>
      <c r="B729" s="1">
        <f ca="1">IFERROR(__xludf.DUMMYFUNCTION("""COMPUTED_VALUE"""),1495.75)</f>
        <v>1495.75</v>
      </c>
      <c r="C729" s="3">
        <f t="shared" ca="1" si="22"/>
        <v>-2.6671111851975329E-3</v>
      </c>
      <c r="D729">
        <f t="shared" ca="1" si="21"/>
        <v>1450.0663265306125</v>
      </c>
    </row>
    <row r="730" spans="1:4" x14ac:dyDescent="0.25">
      <c r="A730" s="2">
        <f ca="1">IFERROR(__xludf.DUMMYFUNCTION("""COMPUTED_VALUE"""),45455.6458333333)</f>
        <v>45455.645833333299</v>
      </c>
      <c r="B730" s="1">
        <f ca="1">IFERROR(__xludf.DUMMYFUNCTION("""COMPUTED_VALUE"""),1485.2)</f>
        <v>1485.2</v>
      </c>
      <c r="C730" s="3">
        <f t="shared" ca="1" si="22"/>
        <v>-7.0533177335784418E-3</v>
      </c>
      <c r="D730">
        <f t="shared" ca="1" si="21"/>
        <v>1450.3091836734695</v>
      </c>
    </row>
    <row r="731" spans="1:4" x14ac:dyDescent="0.25">
      <c r="A731" s="2">
        <f ca="1">IFERROR(__xludf.DUMMYFUNCTION("""COMPUTED_VALUE"""),45456.6458333333)</f>
        <v>45456.645833333299</v>
      </c>
      <c r="B731" s="1">
        <f ca="1">IFERROR(__xludf.DUMMYFUNCTION("""COMPUTED_VALUE"""),1493.95)</f>
        <v>1493.95</v>
      </c>
      <c r="C731" s="3">
        <f t="shared" ca="1" si="22"/>
        <v>5.8914624293024504E-3</v>
      </c>
      <c r="D731">
        <f t="shared" ca="1" si="21"/>
        <v>1450.0469387755102</v>
      </c>
    </row>
    <row r="732" spans="1:4" x14ac:dyDescent="0.25">
      <c r="A732" s="2">
        <f ca="1">IFERROR(__xludf.DUMMYFUNCTION("""COMPUTED_VALUE"""),45457.6458333333)</f>
        <v>45457.645833333299</v>
      </c>
      <c r="B732" s="1">
        <f ca="1">IFERROR(__xludf.DUMMYFUNCTION("""COMPUTED_VALUE"""),1488.9)</f>
        <v>1488.9</v>
      </c>
      <c r="C732" s="3">
        <f t="shared" ca="1" si="22"/>
        <v>-3.3803005455336219E-3</v>
      </c>
      <c r="D732">
        <f t="shared" ca="1" si="21"/>
        <v>1450.0163265306121</v>
      </c>
    </row>
    <row r="733" spans="1:4" x14ac:dyDescent="0.25">
      <c r="A733" s="2">
        <f ca="1">IFERROR(__xludf.DUMMYFUNCTION("""COMPUTED_VALUE"""),45461.6458333333)</f>
        <v>45461.645833333299</v>
      </c>
      <c r="B733" s="1">
        <f ca="1">IFERROR(__xludf.DUMMYFUNCTION("""COMPUTED_VALUE"""),1498.2)</f>
        <v>1498.2</v>
      </c>
      <c r="C733" s="3">
        <f t="shared" ca="1" si="22"/>
        <v>6.2462220431190501E-3</v>
      </c>
      <c r="D733">
        <f t="shared" ca="1" si="21"/>
        <v>1450.1397959183671</v>
      </c>
    </row>
    <row r="734" spans="1:4" x14ac:dyDescent="0.25">
      <c r="A734" s="2">
        <f ca="1">IFERROR(__xludf.DUMMYFUNCTION("""COMPUTED_VALUE"""),45462.6458333333)</f>
        <v>45462.645833333299</v>
      </c>
      <c r="B734" s="1">
        <f ca="1">IFERROR(__xludf.DUMMYFUNCTION("""COMPUTED_VALUE"""),1511.35)</f>
        <v>1511.35</v>
      </c>
      <c r="C734" s="3">
        <f t="shared" ca="1" si="22"/>
        <v>8.7771993058335749E-3</v>
      </c>
      <c r="D734">
        <f t="shared" ca="1" si="21"/>
        <v>1450.4979591836734</v>
      </c>
    </row>
    <row r="735" spans="1:4" x14ac:dyDescent="0.25">
      <c r="A735" s="2">
        <f ca="1">IFERROR(__xludf.DUMMYFUNCTION("""COMPUTED_VALUE"""),45463.6458333333)</f>
        <v>45463.645833333299</v>
      </c>
      <c r="B735" s="1">
        <f ca="1">IFERROR(__xludf.DUMMYFUNCTION("""COMPUTED_VALUE"""),1515.4)</f>
        <v>1515.4</v>
      </c>
      <c r="C735" s="3">
        <f t="shared" ca="1" si="22"/>
        <v>2.6797234260761455E-3</v>
      </c>
      <c r="D735">
        <f t="shared" ca="1" si="21"/>
        <v>1451.001020408163</v>
      </c>
    </row>
    <row r="736" spans="1:4" x14ac:dyDescent="0.25">
      <c r="A736" s="2">
        <f ca="1">IFERROR(__xludf.DUMMYFUNCTION("""COMPUTED_VALUE"""),45464.6458333333)</f>
        <v>45464.645833333299</v>
      </c>
      <c r="B736" s="1">
        <f ca="1">IFERROR(__xludf.DUMMYFUNCTION("""COMPUTED_VALUE"""),1532.7)</f>
        <v>1532.7</v>
      </c>
      <c r="C736" s="3">
        <f t="shared" ca="1" si="22"/>
        <v>1.1416127755048142E-2</v>
      </c>
      <c r="D736">
        <f t="shared" ca="1" si="21"/>
        <v>1451.7418367346936</v>
      </c>
    </row>
    <row r="737" spans="1:4" x14ac:dyDescent="0.25">
      <c r="A737" s="2">
        <f ca="1">IFERROR(__xludf.DUMMYFUNCTION("""COMPUTED_VALUE"""),45467.6458333333)</f>
        <v>45467.645833333299</v>
      </c>
      <c r="B737" s="1">
        <f ca="1">IFERROR(__xludf.DUMMYFUNCTION("""COMPUTED_VALUE"""),1527.15)</f>
        <v>1527.15</v>
      </c>
      <c r="C737" s="3">
        <f t="shared" ca="1" si="22"/>
        <v>-3.62106087296924E-3</v>
      </c>
      <c r="D737">
        <f t="shared" ca="1" si="21"/>
        <v>1452.8846938775509</v>
      </c>
    </row>
    <row r="738" spans="1:4" x14ac:dyDescent="0.25">
      <c r="A738" s="2">
        <f ca="1">IFERROR(__xludf.DUMMYFUNCTION("""COMPUTED_VALUE"""),45468.6458333333)</f>
        <v>45468.645833333299</v>
      </c>
      <c r="B738" s="1">
        <f ca="1">IFERROR(__xludf.DUMMYFUNCTION("""COMPUTED_VALUE"""),1541.95)</f>
        <v>1541.95</v>
      </c>
      <c r="C738" s="3">
        <f t="shared" ca="1" si="22"/>
        <v>9.691254952034805E-3</v>
      </c>
      <c r="D738">
        <f t="shared" ca="1" si="21"/>
        <v>1453.5438775510199</v>
      </c>
    </row>
    <row r="739" spans="1:4" x14ac:dyDescent="0.25">
      <c r="A739" s="2">
        <f ca="1">IFERROR(__xludf.DUMMYFUNCTION("""COMPUTED_VALUE"""),45469.6458333333)</f>
        <v>45469.645833333299</v>
      </c>
      <c r="B739" s="1">
        <f ca="1">IFERROR(__xludf.DUMMYFUNCTION("""COMPUTED_VALUE"""),1540.7)</f>
        <v>1540.7</v>
      </c>
      <c r="C739" s="3">
        <f t="shared" ca="1" si="22"/>
        <v>-8.1066182431336936E-4</v>
      </c>
      <c r="D739">
        <f t="shared" ca="1" si="21"/>
        <v>1454.2612244897957</v>
      </c>
    </row>
    <row r="740" spans="1:4" x14ac:dyDescent="0.25">
      <c r="A740" s="2">
        <f ca="1">IFERROR(__xludf.DUMMYFUNCTION("""COMPUTED_VALUE"""),45470.6458333333)</f>
        <v>45470.645833333299</v>
      </c>
      <c r="B740" s="1">
        <f ca="1">IFERROR(__xludf.DUMMYFUNCTION("""COMPUTED_VALUE"""),1573.35)</f>
        <v>1573.35</v>
      </c>
      <c r="C740" s="3">
        <f t="shared" ca="1" si="22"/>
        <v>2.1191666125786889E-2</v>
      </c>
      <c r="D740">
        <f t="shared" ca="1" si="21"/>
        <v>1455.4030612244894</v>
      </c>
    </row>
    <row r="741" spans="1:4" x14ac:dyDescent="0.25">
      <c r="A741" s="2">
        <f ca="1">IFERROR(__xludf.DUMMYFUNCTION("""COMPUTED_VALUE"""),45471.6458333333)</f>
        <v>45471.645833333299</v>
      </c>
      <c r="B741" s="1">
        <f ca="1">IFERROR(__xludf.DUMMYFUNCTION("""COMPUTED_VALUE"""),1566.75)</f>
        <v>1566.75</v>
      </c>
      <c r="C741" s="3">
        <f t="shared" ca="1" si="22"/>
        <v>-4.1948708170463722E-3</v>
      </c>
      <c r="D741">
        <f t="shared" ca="1" si="21"/>
        <v>1457.55</v>
      </c>
    </row>
    <row r="742" spans="1:4" x14ac:dyDescent="0.25">
      <c r="A742" s="2">
        <f ca="1">IFERROR(__xludf.DUMMYFUNCTION("""COMPUTED_VALUE"""),45474.6458333333)</f>
        <v>45474.645833333299</v>
      </c>
      <c r="B742" s="1">
        <f ca="1">IFERROR(__xludf.DUMMYFUNCTION("""COMPUTED_VALUE"""),1590.8)</f>
        <v>1590.8</v>
      </c>
      <c r="C742" s="3">
        <f t="shared" ca="1" si="22"/>
        <v>1.5350247327269797E-2</v>
      </c>
      <c r="D742">
        <f t="shared" ca="1" si="21"/>
        <v>1460.658163265306</v>
      </c>
    </row>
    <row r="743" spans="1:4" x14ac:dyDescent="0.25">
      <c r="A743" s="2">
        <f ca="1">IFERROR(__xludf.DUMMYFUNCTION("""COMPUTED_VALUE"""),45475.6458333333)</f>
        <v>45475.645833333299</v>
      </c>
      <c r="B743" s="1">
        <f ca="1">IFERROR(__xludf.DUMMYFUNCTION("""COMPUTED_VALUE"""),1621.05)</f>
        <v>1621.05</v>
      </c>
      <c r="C743" s="3">
        <f t="shared" ca="1" si="22"/>
        <v>1.9015589640432488E-2</v>
      </c>
      <c r="D743">
        <f t="shared" ca="1" si="21"/>
        <v>1464.1591836734692</v>
      </c>
    </row>
    <row r="744" spans="1:4" x14ac:dyDescent="0.25">
      <c r="A744" s="2">
        <f ca="1">IFERROR(__xludf.DUMMYFUNCTION("""COMPUTED_VALUE"""),45476.6458333333)</f>
        <v>45476.645833333299</v>
      </c>
      <c r="B744" s="1">
        <f ca="1">IFERROR(__xludf.DUMMYFUNCTION("""COMPUTED_VALUE"""),1627.4)</f>
        <v>1627.4</v>
      </c>
      <c r="C744" s="3">
        <f t="shared" ca="1" si="22"/>
        <v>3.9172141513217585E-3</v>
      </c>
      <c r="D744">
        <f t="shared" ca="1" si="21"/>
        <v>1468.4408163265307</v>
      </c>
    </row>
    <row r="745" spans="1:4" x14ac:dyDescent="0.25">
      <c r="A745" s="2">
        <f ca="1">IFERROR(__xludf.DUMMYFUNCTION("""COMPUTED_VALUE"""),45477.6458333333)</f>
        <v>45477.645833333299</v>
      </c>
      <c r="B745" s="1">
        <f ca="1">IFERROR(__xludf.DUMMYFUNCTION("""COMPUTED_VALUE"""),1650.65)</f>
        <v>1650.65</v>
      </c>
      <c r="C745" s="3">
        <f t="shared" ca="1" si="22"/>
        <v>1.4286592110114292E-2</v>
      </c>
      <c r="D745">
        <f t="shared" ca="1" si="21"/>
        <v>1472.4132653061222</v>
      </c>
    </row>
    <row r="746" spans="1:4" x14ac:dyDescent="0.25">
      <c r="A746" s="2">
        <f ca="1">IFERROR(__xludf.DUMMYFUNCTION("""COMPUTED_VALUE"""),45478.6458333333)</f>
        <v>45478.645833333299</v>
      </c>
      <c r="B746" s="1">
        <f ca="1">IFERROR(__xludf.DUMMYFUNCTION("""COMPUTED_VALUE"""),1647.45)</f>
        <v>1647.45</v>
      </c>
      <c r="C746" s="3">
        <f t="shared" ca="1" si="22"/>
        <v>-1.9386302365734984E-3</v>
      </c>
      <c r="D746">
        <f t="shared" ca="1" si="21"/>
        <v>1476.663265306122</v>
      </c>
    </row>
    <row r="747" spans="1:4" x14ac:dyDescent="0.25">
      <c r="A747" s="2">
        <f ca="1">IFERROR(__xludf.DUMMYFUNCTION("""COMPUTED_VALUE"""),45481.6458333333)</f>
        <v>45481.645833333299</v>
      </c>
      <c r="B747" s="1">
        <f ca="1">IFERROR(__xludf.DUMMYFUNCTION("""COMPUTED_VALUE"""),1661.65)</f>
        <v>1661.65</v>
      </c>
      <c r="C747" s="3">
        <f t="shared" ca="1" si="22"/>
        <v>8.6193814683298703E-3</v>
      </c>
      <c r="D747">
        <f t="shared" ca="1" si="21"/>
        <v>1481.0857142857137</v>
      </c>
    </row>
    <row r="748" spans="1:4" x14ac:dyDescent="0.25">
      <c r="A748" s="2">
        <f ca="1">IFERROR(__xludf.DUMMYFUNCTION("""COMPUTED_VALUE"""),45482.6458333333)</f>
        <v>45482.645833333299</v>
      </c>
      <c r="B748" s="1">
        <f ca="1">IFERROR(__xludf.DUMMYFUNCTION("""COMPUTED_VALUE"""),1657.15)</f>
        <v>1657.15</v>
      </c>
      <c r="C748" s="3">
        <f t="shared" ca="1" si="22"/>
        <v>-2.7081515361237324E-3</v>
      </c>
      <c r="D748">
        <f t="shared" ca="1" si="21"/>
        <v>1485.6408163265298</v>
      </c>
    </row>
    <row r="749" spans="1:4" x14ac:dyDescent="0.25">
      <c r="A749" s="2">
        <f ca="1">IFERROR(__xludf.DUMMYFUNCTION("""COMPUTED_VALUE"""),45483.6458333333)</f>
        <v>45483.645833333299</v>
      </c>
      <c r="B749" s="1">
        <f ca="1">IFERROR(__xludf.DUMMYFUNCTION("""COMPUTED_VALUE"""),1648.25)</f>
        <v>1648.25</v>
      </c>
      <c r="C749" s="3">
        <f t="shared" ca="1" si="22"/>
        <v>-5.3706665057478746E-3</v>
      </c>
      <c r="D749">
        <f t="shared" ca="1" si="21"/>
        <v>1490.2714285714278</v>
      </c>
    </row>
    <row r="750" spans="1:4" x14ac:dyDescent="0.25">
      <c r="A750" s="2">
        <f ca="1">IFERROR(__xludf.DUMMYFUNCTION("""COMPUTED_VALUE"""),45484.6458333333)</f>
        <v>45484.645833333299</v>
      </c>
      <c r="B750" s="1">
        <f ca="1">IFERROR(__xludf.DUMMYFUNCTION("""COMPUTED_VALUE"""),1652.7)</f>
        <v>1652.7</v>
      </c>
      <c r="C750" s="3">
        <f t="shared" ca="1" si="22"/>
        <v>2.6998331563780043E-3</v>
      </c>
      <c r="D750">
        <f t="shared" ca="1" si="21"/>
        <v>1494.6285714285709</v>
      </c>
    </row>
    <row r="751" spans="1:4" x14ac:dyDescent="0.25">
      <c r="A751" s="2">
        <f ca="1">IFERROR(__xludf.DUMMYFUNCTION("""COMPUTED_VALUE"""),45485.6458333333)</f>
        <v>45485.645833333299</v>
      </c>
      <c r="B751" s="1">
        <f ca="1">IFERROR(__xludf.DUMMYFUNCTION("""COMPUTED_VALUE"""),1711.75)</f>
        <v>1711.75</v>
      </c>
      <c r="C751" s="3">
        <f t="shared" ca="1" si="22"/>
        <v>3.5729412476553493E-2</v>
      </c>
      <c r="D751">
        <f t="shared" ca="1" si="21"/>
        <v>1499.3663265306118</v>
      </c>
    </row>
    <row r="752" spans="1:4" x14ac:dyDescent="0.25">
      <c r="A752" s="2">
        <f ca="1">IFERROR(__xludf.DUMMYFUNCTION("""COMPUTED_VALUE"""),45488.6458333333)</f>
        <v>45488.645833333299</v>
      </c>
      <c r="B752" s="1">
        <f ca="1">IFERROR(__xludf.DUMMYFUNCTION("""COMPUTED_VALUE"""),1707.05)</f>
        <v>1707.05</v>
      </c>
      <c r="C752" s="3">
        <f t="shared" ca="1" si="22"/>
        <v>-2.7457280560829827E-3</v>
      </c>
      <c r="D752">
        <f t="shared" ca="1" si="21"/>
        <v>1505.4336734693875</v>
      </c>
    </row>
    <row r="753" spans="1:4" x14ac:dyDescent="0.25">
      <c r="A753" s="2">
        <f ca="1">IFERROR(__xludf.DUMMYFUNCTION("""COMPUTED_VALUE"""),45489.6458333333)</f>
        <v>45489.645833333299</v>
      </c>
      <c r="B753" s="1">
        <f ca="1">IFERROR(__xludf.DUMMYFUNCTION("""COMPUTED_VALUE"""),1726.05)</f>
        <v>1726.05</v>
      </c>
      <c r="C753" s="3">
        <f t="shared" ca="1" si="22"/>
        <v>1.1130312527459652E-2</v>
      </c>
      <c r="D753">
        <f t="shared" ca="1" si="21"/>
        <v>1511.3673469387752</v>
      </c>
    </row>
    <row r="754" spans="1:4" x14ac:dyDescent="0.25">
      <c r="A754" s="2">
        <f ca="1">IFERROR(__xludf.DUMMYFUNCTION("""COMPUTED_VALUE"""),45491.6458333333)</f>
        <v>45491.645833333299</v>
      </c>
      <c r="B754" s="1">
        <f ca="1">IFERROR(__xludf.DUMMYFUNCTION("""COMPUTED_VALUE"""),1758.05)</f>
        <v>1758.05</v>
      </c>
      <c r="C754" s="3">
        <f t="shared" ca="1" si="22"/>
        <v>1.8539439761304715E-2</v>
      </c>
      <c r="D754">
        <f t="shared" ca="1" si="21"/>
        <v>1517.492857142857</v>
      </c>
    </row>
    <row r="755" spans="1:4" x14ac:dyDescent="0.25">
      <c r="A755" s="2">
        <f ca="1">IFERROR(__xludf.DUMMYFUNCTION("""COMPUTED_VALUE"""),45492.6458333333)</f>
        <v>45492.645833333299</v>
      </c>
      <c r="B755" s="1">
        <f ca="1">IFERROR(__xludf.DUMMYFUNCTION("""COMPUTED_VALUE"""),1792.95)</f>
        <v>1792.95</v>
      </c>
      <c r="C755" s="3">
        <f t="shared" ca="1" si="22"/>
        <v>1.9851540058587691E-2</v>
      </c>
      <c r="D755">
        <f t="shared" ca="1" si="21"/>
        <v>1523.9642857142858</v>
      </c>
    </row>
    <row r="756" spans="1:4" x14ac:dyDescent="0.25">
      <c r="A756" s="2">
        <f ca="1">IFERROR(__xludf.DUMMYFUNCTION("""COMPUTED_VALUE"""),45495.6458333333)</f>
        <v>45495.645833333299</v>
      </c>
      <c r="B756" s="1">
        <f ca="1">IFERROR(__xludf.DUMMYFUNCTION("""COMPUTED_VALUE"""),1810.85)</f>
        <v>1810.85</v>
      </c>
      <c r="C756" s="3">
        <f t="shared" ca="1" si="22"/>
        <v>9.9835466688975513E-3</v>
      </c>
      <c r="D756">
        <f t="shared" ref="D756:D819" ca="1" si="23">AVERAGE(B707:B755)</f>
        <v>1531.4265306122447</v>
      </c>
    </row>
    <row r="757" spans="1:4" x14ac:dyDescent="0.25">
      <c r="A757" s="2">
        <f ca="1">IFERROR(__xludf.DUMMYFUNCTION("""COMPUTED_VALUE"""),45496.6458333333)</f>
        <v>45496.645833333299</v>
      </c>
      <c r="B757" s="1">
        <f ca="1">IFERROR(__xludf.DUMMYFUNCTION("""COMPUTED_VALUE"""),1836.9)</f>
        <v>1836.9</v>
      </c>
      <c r="C757" s="3">
        <f t="shared" ca="1" si="22"/>
        <v>1.4385509567330361E-2</v>
      </c>
      <c r="D757">
        <f t="shared" ca="1" si="23"/>
        <v>1539.0040816326532</v>
      </c>
    </row>
    <row r="758" spans="1:4" x14ac:dyDescent="0.25">
      <c r="A758" s="2">
        <f ca="1">IFERROR(__xludf.DUMMYFUNCTION("""COMPUTED_VALUE"""),45497.6458333333)</f>
        <v>45497.645833333299</v>
      </c>
      <c r="B758" s="1">
        <f ca="1">IFERROR(__xludf.DUMMYFUNCTION("""COMPUTED_VALUE"""),1833.95)</f>
        <v>1833.95</v>
      </c>
      <c r="C758" s="3">
        <f t="shared" ca="1" si="22"/>
        <v>-1.605966574119465E-3</v>
      </c>
      <c r="D758">
        <f t="shared" ca="1" si="23"/>
        <v>1547.4122448979592</v>
      </c>
    </row>
    <row r="759" spans="1:4" x14ac:dyDescent="0.25">
      <c r="A759" s="2">
        <f ca="1">IFERROR(__xludf.DUMMYFUNCTION("""COMPUTED_VALUE"""),45498.6458333333)</f>
        <v>45498.645833333299</v>
      </c>
      <c r="B759" s="1">
        <f ca="1">IFERROR(__xludf.DUMMYFUNCTION("""COMPUTED_VALUE"""),1824.85)</f>
        <v>1824.85</v>
      </c>
      <c r="C759" s="3">
        <f t="shared" ca="1" si="22"/>
        <v>-4.9619673382590235E-3</v>
      </c>
      <c r="D759">
        <f t="shared" ca="1" si="23"/>
        <v>1555.7897959183672</v>
      </c>
    </row>
    <row r="760" spans="1:4" x14ac:dyDescent="0.25">
      <c r="A760" s="2">
        <f ca="1">IFERROR(__xludf.DUMMYFUNCTION("""COMPUTED_VALUE"""),45499.6458333333)</f>
        <v>45499.645833333299</v>
      </c>
      <c r="B760" s="1">
        <f ca="1">IFERROR(__xludf.DUMMYFUNCTION("""COMPUTED_VALUE"""),1878.9)</f>
        <v>1878.9</v>
      </c>
      <c r="C760" s="3">
        <f t="shared" ca="1" si="22"/>
        <v>2.9618872784064543E-2</v>
      </c>
      <c r="D760">
        <f t="shared" ca="1" si="23"/>
        <v>1563.9561224489796</v>
      </c>
    </row>
    <row r="761" spans="1:4" x14ac:dyDescent="0.25">
      <c r="A761" s="2">
        <f ca="1">IFERROR(__xludf.DUMMYFUNCTION("""COMPUTED_VALUE"""),45502.6458333333)</f>
        <v>45502.645833333299</v>
      </c>
      <c r="B761" s="1">
        <f ca="1">IFERROR(__xludf.DUMMYFUNCTION("""COMPUTED_VALUE"""),1871.1)</f>
        <v>1871.1</v>
      </c>
      <c r="C761" s="3">
        <f t="shared" ca="1" si="22"/>
        <v>-4.1513651604663266E-3</v>
      </c>
      <c r="D761">
        <f t="shared" ca="1" si="23"/>
        <v>1573.3224489795919</v>
      </c>
    </row>
    <row r="762" spans="1:4" x14ac:dyDescent="0.25">
      <c r="A762" s="2">
        <f ca="1">IFERROR(__xludf.DUMMYFUNCTION("""COMPUTED_VALUE"""),45503.6458333333)</f>
        <v>45503.645833333299</v>
      </c>
      <c r="B762" s="1">
        <f ca="1">IFERROR(__xludf.DUMMYFUNCTION("""COMPUTED_VALUE"""),1877.15)</f>
        <v>1877.15</v>
      </c>
      <c r="C762" s="3">
        <f t="shared" ca="1" si="22"/>
        <v>3.2333921222811087E-3</v>
      </c>
      <c r="D762">
        <f t="shared" ca="1" si="23"/>
        <v>1581.8479591836735</v>
      </c>
    </row>
    <row r="763" spans="1:4" x14ac:dyDescent="0.25">
      <c r="A763" s="2">
        <f ca="1">IFERROR(__xludf.DUMMYFUNCTION("""COMPUTED_VALUE"""),45504.6458333333)</f>
        <v>45504.645833333299</v>
      </c>
      <c r="B763" s="1">
        <f ca="1">IFERROR(__xludf.DUMMYFUNCTION("""COMPUTED_VALUE"""),1868.25)</f>
        <v>1868.25</v>
      </c>
      <c r="C763" s="3">
        <f t="shared" ca="1" si="22"/>
        <v>-4.7412300562022693E-3</v>
      </c>
      <c r="D763">
        <f t="shared" ca="1" si="23"/>
        <v>1590.6816326530611</v>
      </c>
    </row>
    <row r="764" spans="1:4" x14ac:dyDescent="0.25">
      <c r="A764" s="2">
        <f ca="1">IFERROR(__xludf.DUMMYFUNCTION("""COMPUTED_VALUE"""),45505.6458333333)</f>
        <v>45505.645833333299</v>
      </c>
      <c r="B764" s="1">
        <f ca="1">IFERROR(__xludf.DUMMYFUNCTION("""COMPUTED_VALUE"""),1852.6)</f>
        <v>1852.6</v>
      </c>
      <c r="C764" s="3">
        <f t="shared" ca="1" si="22"/>
        <v>-8.3768232302957792E-3</v>
      </c>
      <c r="D764">
        <f t="shared" ca="1" si="23"/>
        <v>1599.5408163265306</v>
      </c>
    </row>
    <row r="765" spans="1:4" x14ac:dyDescent="0.25">
      <c r="A765" s="2">
        <f ca="1">IFERROR(__xludf.DUMMYFUNCTION("""COMPUTED_VALUE"""),45506.6458333333)</f>
        <v>45506.645833333299</v>
      </c>
      <c r="B765" s="1">
        <f ca="1">IFERROR(__xludf.DUMMYFUNCTION("""COMPUTED_VALUE"""),1821.2)</f>
        <v>1821.2</v>
      </c>
      <c r="C765" s="3">
        <f t="shared" ca="1" si="22"/>
        <v>-1.6949152542372808E-2</v>
      </c>
      <c r="D765">
        <f t="shared" ca="1" si="23"/>
        <v>1607.6591836734697</v>
      </c>
    </row>
    <row r="766" spans="1:4" x14ac:dyDescent="0.25">
      <c r="A766" s="2">
        <f ca="1">IFERROR(__xludf.DUMMYFUNCTION("""COMPUTED_VALUE"""),45509.6458333333)</f>
        <v>45509.645833333299</v>
      </c>
      <c r="B766" s="1">
        <f ca="1">IFERROR(__xludf.DUMMYFUNCTION("""COMPUTED_VALUE"""),1751.9)</f>
        <v>1751.9</v>
      </c>
      <c r="C766" s="3">
        <f t="shared" ca="1" si="22"/>
        <v>-3.8051833955633621E-2</v>
      </c>
      <c r="D766">
        <f t="shared" ca="1" si="23"/>
        <v>1614.7775510204085</v>
      </c>
    </row>
    <row r="767" spans="1:4" x14ac:dyDescent="0.25">
      <c r="A767" s="2">
        <f ca="1">IFERROR(__xludf.DUMMYFUNCTION("""COMPUTED_VALUE"""),45510.6458333333)</f>
        <v>45510.645833333299</v>
      </c>
      <c r="B767" s="1">
        <f ca="1">IFERROR(__xludf.DUMMYFUNCTION("""COMPUTED_VALUE"""),1751.1)</f>
        <v>1751.1</v>
      </c>
      <c r="C767" s="3">
        <f t="shared" ca="1" si="22"/>
        <v>-4.566470688967303E-4</v>
      </c>
      <c r="D767">
        <f t="shared" ca="1" si="23"/>
        <v>1620.6306122448982</v>
      </c>
    </row>
    <row r="768" spans="1:4" x14ac:dyDescent="0.25">
      <c r="A768" s="2">
        <f ca="1">IFERROR(__xludf.DUMMYFUNCTION("""COMPUTED_VALUE"""),45511.6458333333)</f>
        <v>45511.645833333299</v>
      </c>
      <c r="B768" s="1">
        <f ca="1">IFERROR(__xludf.DUMMYFUNCTION("""COMPUTED_VALUE"""),1791.65)</f>
        <v>1791.65</v>
      </c>
      <c r="C768" s="3">
        <f t="shared" ca="1" si="22"/>
        <v>2.3156872822797204E-2</v>
      </c>
      <c r="D768">
        <f t="shared" ca="1" si="23"/>
        <v>1626.3397959183676</v>
      </c>
    </row>
    <row r="769" spans="1:4" x14ac:dyDescent="0.25">
      <c r="A769" s="2">
        <f ca="1">IFERROR(__xludf.DUMMYFUNCTION("""COMPUTED_VALUE"""),45512.6458333333)</f>
        <v>45512.645833333299</v>
      </c>
      <c r="B769" s="1">
        <f ca="1">IFERROR(__xludf.DUMMYFUNCTION("""COMPUTED_VALUE"""),1743.15)</f>
        <v>1743.15</v>
      </c>
      <c r="C769" s="3">
        <f t="shared" ca="1" si="22"/>
        <v>-2.7070019255993078E-2</v>
      </c>
      <c r="D769">
        <f t="shared" ca="1" si="23"/>
        <v>1632.964285714286</v>
      </c>
    </row>
    <row r="770" spans="1:4" x14ac:dyDescent="0.25">
      <c r="A770" s="2">
        <f ca="1">IFERROR(__xludf.DUMMYFUNCTION("""COMPUTED_VALUE"""),45513.6458333333)</f>
        <v>45513.645833333299</v>
      </c>
      <c r="B770" s="1">
        <f ca="1">IFERROR(__xludf.DUMMYFUNCTION("""COMPUTED_VALUE"""),1770.75)</f>
        <v>1770.75</v>
      </c>
      <c r="C770" s="3">
        <f t="shared" ca="1" si="22"/>
        <v>1.5833405042595249E-2</v>
      </c>
      <c r="D770">
        <f t="shared" ca="1" si="23"/>
        <v>1638.9275510204081</v>
      </c>
    </row>
    <row r="771" spans="1:4" x14ac:dyDescent="0.25">
      <c r="A771" s="2">
        <f ca="1">IFERROR(__xludf.DUMMYFUNCTION("""COMPUTED_VALUE"""),45516.6458333333)</f>
        <v>45516.645833333299</v>
      </c>
      <c r="B771" s="1">
        <f ca="1">IFERROR(__xludf.DUMMYFUNCTION("""COMPUTED_VALUE"""),1797.4)</f>
        <v>1797.4</v>
      </c>
      <c r="C771" s="3">
        <f t="shared" ca="1" si="22"/>
        <v>1.5050120005647375E-2</v>
      </c>
      <c r="D771">
        <f t="shared" ca="1" si="23"/>
        <v>1645.9336734693877</v>
      </c>
    </row>
    <row r="772" spans="1:4" x14ac:dyDescent="0.25">
      <c r="A772" s="2">
        <f ca="1">IFERROR(__xludf.DUMMYFUNCTION("""COMPUTED_VALUE"""),45517.6458333333)</f>
        <v>45517.645833333299</v>
      </c>
      <c r="B772" s="1">
        <f ca="1">IFERROR(__xludf.DUMMYFUNCTION("""COMPUTED_VALUE"""),1797.45)</f>
        <v>1797.45</v>
      </c>
      <c r="C772" s="3">
        <f t="shared" ref="C772:C835" ca="1" si="24">(B772-B771)/B771</f>
        <v>2.7817959274482319E-5</v>
      </c>
      <c r="D772">
        <f t="shared" ca="1" si="23"/>
        <v>1653.9030612244894</v>
      </c>
    </row>
    <row r="773" spans="1:4" x14ac:dyDescent="0.25">
      <c r="A773" s="2">
        <f ca="1">IFERROR(__xludf.DUMMYFUNCTION("""COMPUTED_VALUE"""),45518.6458333333)</f>
        <v>45518.645833333299</v>
      </c>
      <c r="B773" s="1">
        <f ca="1">IFERROR(__xludf.DUMMYFUNCTION("""COMPUTED_VALUE"""),1823.25)</f>
        <v>1823.25</v>
      </c>
      <c r="C773" s="3">
        <f t="shared" ca="1" si="24"/>
        <v>1.4353667695902503E-2</v>
      </c>
      <c r="D773">
        <f t="shared" ca="1" si="23"/>
        <v>1661.8938775510201</v>
      </c>
    </row>
    <row r="774" spans="1:4" x14ac:dyDescent="0.25">
      <c r="A774" s="2">
        <f ca="1">IFERROR(__xludf.DUMMYFUNCTION("""COMPUTED_VALUE"""),45520.6458333333)</f>
        <v>45520.645833333299</v>
      </c>
      <c r="B774" s="1">
        <f ca="1">IFERROR(__xludf.DUMMYFUNCTION("""COMPUTED_VALUE"""),1858.95)</f>
        <v>1858.95</v>
      </c>
      <c r="C774" s="3">
        <f t="shared" ca="1" si="24"/>
        <v>1.9580419580419606E-2</v>
      </c>
      <c r="D774">
        <f t="shared" ca="1" si="23"/>
        <v>1670.6612244897956</v>
      </c>
    </row>
    <row r="775" spans="1:4" x14ac:dyDescent="0.25">
      <c r="A775" s="2">
        <f ca="1">IFERROR(__xludf.DUMMYFUNCTION("""COMPUTED_VALUE"""),45523.6458333333)</f>
        <v>45523.645833333299</v>
      </c>
      <c r="B775" s="1">
        <f ca="1">IFERROR(__xludf.DUMMYFUNCTION("""COMPUTED_VALUE"""),1864.8)</f>
        <v>1864.8</v>
      </c>
      <c r="C775" s="3">
        <f t="shared" ca="1" si="24"/>
        <v>3.1469377874606143E-3</v>
      </c>
      <c r="D775">
        <f t="shared" ca="1" si="23"/>
        <v>1679.4132653061222</v>
      </c>
    </row>
    <row r="776" spans="1:4" x14ac:dyDescent="0.25">
      <c r="A776" s="2">
        <f ca="1">IFERROR(__xludf.DUMMYFUNCTION("""COMPUTED_VALUE"""),45524.6458333333)</f>
        <v>45524.645833333299</v>
      </c>
      <c r="B776" s="1">
        <f ca="1">IFERROR(__xludf.DUMMYFUNCTION("""COMPUTED_VALUE"""),1872.2)</f>
        <v>1872.2</v>
      </c>
      <c r="C776" s="3">
        <f t="shared" ca="1" si="24"/>
        <v>3.9682539682540175E-3</v>
      </c>
      <c r="D776">
        <f t="shared" ca="1" si="23"/>
        <v>1687.4244897959181</v>
      </c>
    </row>
    <row r="777" spans="1:4" x14ac:dyDescent="0.25">
      <c r="A777" s="2">
        <f ca="1">IFERROR(__xludf.DUMMYFUNCTION("""COMPUTED_VALUE"""),45525.6458333333)</f>
        <v>45525.645833333299</v>
      </c>
      <c r="B777" s="1">
        <f ca="1">IFERROR(__xludf.DUMMYFUNCTION("""COMPUTED_VALUE"""),1872.7)</f>
        <v>1872.7</v>
      </c>
      <c r="C777" s="3">
        <f t="shared" ca="1" si="24"/>
        <v>2.6706548445678879E-4</v>
      </c>
      <c r="D777">
        <f t="shared" ca="1" si="23"/>
        <v>1694.3346938775505</v>
      </c>
    </row>
    <row r="778" spans="1:4" x14ac:dyDescent="0.25">
      <c r="A778" s="2">
        <f ca="1">IFERROR(__xludf.DUMMYFUNCTION("""COMPUTED_VALUE"""),45526.6458333333)</f>
        <v>45526.645833333299</v>
      </c>
      <c r="B778" s="1">
        <f ca="1">IFERROR(__xludf.DUMMYFUNCTION("""COMPUTED_VALUE"""),1880.25)</f>
        <v>1880.25</v>
      </c>
      <c r="C778" s="3">
        <f t="shared" ca="1" si="24"/>
        <v>4.0316121108559594E-3</v>
      </c>
      <c r="D778">
        <f t="shared" ca="1" si="23"/>
        <v>1701.9459183673464</v>
      </c>
    </row>
    <row r="779" spans="1:4" x14ac:dyDescent="0.25">
      <c r="A779" s="2">
        <f ca="1">IFERROR(__xludf.DUMMYFUNCTION("""COMPUTED_VALUE"""),45527.6458333333)</f>
        <v>45527.645833333299</v>
      </c>
      <c r="B779" s="1">
        <f ca="1">IFERROR(__xludf.DUMMYFUNCTION("""COMPUTED_VALUE"""),1862.1)</f>
        <v>1862.1</v>
      </c>
      <c r="C779" s="3">
        <f t="shared" ca="1" si="24"/>
        <v>-9.6529716792980134E-3</v>
      </c>
      <c r="D779">
        <f t="shared" ca="1" si="23"/>
        <v>1709.792857142857</v>
      </c>
    </row>
    <row r="780" spans="1:4" x14ac:dyDescent="0.25">
      <c r="A780" s="2">
        <f ca="1">IFERROR(__xludf.DUMMYFUNCTION("""COMPUTED_VALUE"""),45530.6458333333)</f>
        <v>45530.645833333299</v>
      </c>
      <c r="B780" s="1">
        <f ca="1">IFERROR(__xludf.DUMMYFUNCTION("""COMPUTED_VALUE"""),1876.15)</f>
        <v>1876.15</v>
      </c>
      <c r="C780" s="3">
        <f t="shared" ca="1" si="24"/>
        <v>7.5452446162935305E-3</v>
      </c>
      <c r="D780">
        <f t="shared" ca="1" si="23"/>
        <v>1717.4846938775511</v>
      </c>
    </row>
    <row r="781" spans="1:4" x14ac:dyDescent="0.25">
      <c r="A781" s="2">
        <f ca="1">IFERROR(__xludf.DUMMYFUNCTION("""COMPUTED_VALUE"""),45531.6458333333)</f>
        <v>45531.645833333299</v>
      </c>
      <c r="B781" s="1">
        <f ca="1">IFERROR(__xludf.DUMMYFUNCTION("""COMPUTED_VALUE"""),1900.1)</f>
        <v>1900.1</v>
      </c>
      <c r="C781" s="3">
        <f t="shared" ca="1" si="24"/>
        <v>1.2765503824320986E-2</v>
      </c>
      <c r="D781">
        <f t="shared" ca="1" si="23"/>
        <v>1725.284693877551</v>
      </c>
    </row>
    <row r="782" spans="1:4" x14ac:dyDescent="0.25">
      <c r="A782" s="2">
        <f ca="1">IFERROR(__xludf.DUMMYFUNCTION("""COMPUTED_VALUE"""),45532.6458333333)</f>
        <v>45532.645833333299</v>
      </c>
      <c r="B782" s="1">
        <f ca="1">IFERROR(__xludf.DUMMYFUNCTION("""COMPUTED_VALUE"""),1939.1)</f>
        <v>1939.1</v>
      </c>
      <c r="C782" s="3">
        <f t="shared" ca="1" si="24"/>
        <v>2.0525235513920322E-2</v>
      </c>
      <c r="D782">
        <f t="shared" ca="1" si="23"/>
        <v>1733.6765306122447</v>
      </c>
    </row>
    <row r="783" spans="1:4" x14ac:dyDescent="0.25">
      <c r="A783" s="2">
        <f ca="1">IFERROR(__xludf.DUMMYFUNCTION("""COMPUTED_VALUE"""),45533.6458333333)</f>
        <v>45533.645833333299</v>
      </c>
      <c r="B783" s="1">
        <f ca="1">IFERROR(__xludf.DUMMYFUNCTION("""COMPUTED_VALUE"""),1933.35)</f>
        <v>1933.35</v>
      </c>
      <c r="C783" s="3">
        <f t="shared" ca="1" si="24"/>
        <v>-2.9652931772471765E-3</v>
      </c>
      <c r="D783">
        <f t="shared" ca="1" si="23"/>
        <v>1742.6744897959184</v>
      </c>
    </row>
    <row r="784" spans="1:4" x14ac:dyDescent="0.25">
      <c r="A784" s="2">
        <f ca="1">IFERROR(__xludf.DUMMYFUNCTION("""COMPUTED_VALUE"""),45534.6458333333)</f>
        <v>45534.645833333299</v>
      </c>
      <c r="B784" s="1">
        <f ca="1">IFERROR(__xludf.DUMMYFUNCTION("""COMPUTED_VALUE"""),1943.7)</f>
        <v>1943.7</v>
      </c>
      <c r="C784" s="3">
        <f t="shared" ca="1" si="24"/>
        <v>5.3534021258438138E-3</v>
      </c>
      <c r="D784">
        <f t="shared" ca="1" si="23"/>
        <v>1751.2867346938776</v>
      </c>
    </row>
    <row r="785" spans="1:4" x14ac:dyDescent="0.25">
      <c r="A785" s="2">
        <f ca="1">IFERROR(__xludf.DUMMYFUNCTION("""COMPUTED_VALUE"""),45537.6458333333)</f>
        <v>45537.645833333299</v>
      </c>
      <c r="B785" s="1">
        <f ca="1">IFERROR(__xludf.DUMMYFUNCTION("""COMPUTED_VALUE"""),1964.5)</f>
        <v>1964.5</v>
      </c>
      <c r="C785" s="3">
        <f t="shared" ca="1" si="24"/>
        <v>1.070123990327723E-2</v>
      </c>
      <c r="D785">
        <f t="shared" ca="1" si="23"/>
        <v>1760.0275510204083</v>
      </c>
    </row>
    <row r="786" spans="1:4" x14ac:dyDescent="0.25">
      <c r="A786" s="2">
        <f ca="1">IFERROR(__xludf.DUMMYFUNCTION("""COMPUTED_VALUE"""),45538.6458333333)</f>
        <v>45538.645833333299</v>
      </c>
      <c r="B786" s="1">
        <f ca="1">IFERROR(__xludf.DUMMYFUNCTION("""COMPUTED_VALUE"""),1941.25)</f>
        <v>1941.25</v>
      </c>
      <c r="C786" s="3">
        <f t="shared" ca="1" si="24"/>
        <v>-1.1835072537541359E-2</v>
      </c>
      <c r="D786">
        <f t="shared" ca="1" si="23"/>
        <v>1768.8397959183676</v>
      </c>
    </row>
    <row r="787" spans="1:4" x14ac:dyDescent="0.25">
      <c r="A787" s="2">
        <f ca="1">IFERROR(__xludf.DUMMYFUNCTION("""COMPUTED_VALUE"""),45539.6458333333)</f>
        <v>45539.645833333299</v>
      </c>
      <c r="B787" s="1">
        <f ca="1">IFERROR(__xludf.DUMMYFUNCTION("""COMPUTED_VALUE"""),1922.45)</f>
        <v>1922.45</v>
      </c>
      <c r="C787" s="3">
        <f t="shared" ca="1" si="24"/>
        <v>-9.6844816484223852E-3</v>
      </c>
      <c r="D787">
        <f t="shared" ca="1" si="23"/>
        <v>1777.2908163265306</v>
      </c>
    </row>
    <row r="788" spans="1:4" x14ac:dyDescent="0.25">
      <c r="A788" s="2">
        <f ca="1">IFERROR(__xludf.DUMMYFUNCTION("""COMPUTED_VALUE"""),45540.6458333333)</f>
        <v>45540.645833333299</v>
      </c>
      <c r="B788" s="1">
        <f ca="1">IFERROR(__xludf.DUMMYFUNCTION("""COMPUTED_VALUE"""),1933.15)</f>
        <v>1933.15</v>
      </c>
      <c r="C788" s="3">
        <f t="shared" ca="1" si="24"/>
        <v>5.5658144555125206E-3</v>
      </c>
      <c r="D788">
        <f t="shared" ca="1" si="23"/>
        <v>1785.0561224489795</v>
      </c>
    </row>
    <row r="789" spans="1:4" x14ac:dyDescent="0.25">
      <c r="A789" s="2">
        <f ca="1">IFERROR(__xludf.DUMMYFUNCTION("""COMPUTED_VALUE"""),45541.6458333333)</f>
        <v>45541.645833333299</v>
      </c>
      <c r="B789" s="1">
        <f ca="1">IFERROR(__xludf.DUMMYFUNCTION("""COMPUTED_VALUE"""),1901.85)</f>
        <v>1901.85</v>
      </c>
      <c r="C789" s="3">
        <f t="shared" ca="1" si="24"/>
        <v>-1.6191190543930985E-2</v>
      </c>
      <c r="D789">
        <f t="shared" ca="1" si="23"/>
        <v>1793.0653061224489</v>
      </c>
    </row>
    <row r="790" spans="1:4" x14ac:dyDescent="0.25">
      <c r="A790" s="2">
        <f ca="1">IFERROR(__xludf.DUMMYFUNCTION("""COMPUTED_VALUE"""),45544.6458333333)</f>
        <v>45544.645833333299</v>
      </c>
      <c r="B790" s="1">
        <f ca="1">IFERROR(__xludf.DUMMYFUNCTION("""COMPUTED_VALUE"""),1894.65)</f>
        <v>1894.65</v>
      </c>
      <c r="C790" s="3">
        <f t="shared" ca="1" si="24"/>
        <v>-3.7857875226751945E-3</v>
      </c>
      <c r="D790">
        <f t="shared" ca="1" si="23"/>
        <v>1799.7693877551019</v>
      </c>
    </row>
    <row r="791" spans="1:4" x14ac:dyDescent="0.25">
      <c r="A791" s="2">
        <f ca="1">IFERROR(__xludf.DUMMYFUNCTION("""COMPUTED_VALUE"""),45545.6458333333)</f>
        <v>45545.645833333299</v>
      </c>
      <c r="B791" s="1">
        <f ca="1">IFERROR(__xludf.DUMMYFUNCTION("""COMPUTED_VALUE"""),1912.3)</f>
        <v>1912.3</v>
      </c>
      <c r="C791" s="3">
        <f t="shared" ca="1" si="24"/>
        <v>9.3157047475786355E-3</v>
      </c>
      <c r="D791">
        <f t="shared" ca="1" si="23"/>
        <v>1806.4612244897958</v>
      </c>
    </row>
    <row r="792" spans="1:4" x14ac:dyDescent="0.25">
      <c r="A792" s="2">
        <f ca="1">IFERROR(__xludf.DUMMYFUNCTION("""COMPUTED_VALUE"""),45546.6458333333)</f>
        <v>45546.645833333299</v>
      </c>
      <c r="B792" s="1">
        <f ca="1">IFERROR(__xludf.DUMMYFUNCTION("""COMPUTED_VALUE"""),1910.15)</f>
        <v>1910.15</v>
      </c>
      <c r="C792" s="3">
        <f t="shared" ca="1" si="24"/>
        <v>-1.1243005804527865E-3</v>
      </c>
      <c r="D792">
        <f t="shared" ca="1" si="23"/>
        <v>1813.0224489795919</v>
      </c>
    </row>
    <row r="793" spans="1:4" x14ac:dyDescent="0.25">
      <c r="A793" s="2">
        <f ca="1">IFERROR(__xludf.DUMMYFUNCTION("""COMPUTED_VALUE"""),45547.6458333333)</f>
        <v>45547.645833333299</v>
      </c>
      <c r="B793" s="1">
        <f ca="1">IFERROR(__xludf.DUMMYFUNCTION("""COMPUTED_VALUE"""),1950.45)</f>
        <v>1950.45</v>
      </c>
      <c r="C793" s="3">
        <f t="shared" ca="1" si="24"/>
        <v>2.1097819542967806E-2</v>
      </c>
      <c r="D793">
        <f t="shared" ca="1" si="23"/>
        <v>1818.9224489795915</v>
      </c>
    </row>
    <row r="794" spans="1:4" x14ac:dyDescent="0.25">
      <c r="A794" s="2">
        <f ca="1">IFERROR(__xludf.DUMMYFUNCTION("""COMPUTED_VALUE"""),45548.6458333333)</f>
        <v>45548.645833333299</v>
      </c>
      <c r="B794" s="1">
        <f ca="1">IFERROR(__xludf.DUMMYFUNCTION("""COMPUTED_VALUE"""),1944.1)</f>
        <v>1944.1</v>
      </c>
      <c r="C794" s="3">
        <f t="shared" ca="1" si="24"/>
        <v>-3.2556589504986726E-3</v>
      </c>
      <c r="D794">
        <f t="shared" ca="1" si="23"/>
        <v>1825.5153061224487</v>
      </c>
    </row>
    <row r="795" spans="1:4" x14ac:dyDescent="0.25">
      <c r="A795" s="2">
        <f ca="1">IFERROR(__xludf.DUMMYFUNCTION("""COMPUTED_VALUE"""),45551.6458333333)</f>
        <v>45551.645833333299</v>
      </c>
      <c r="B795" s="1">
        <f ca="1">IFERROR(__xludf.DUMMYFUNCTION("""COMPUTED_VALUE"""),1950.25)</f>
        <v>1950.25</v>
      </c>
      <c r="C795" s="3">
        <f t="shared" ca="1" si="24"/>
        <v>3.1634175196749606E-3</v>
      </c>
      <c r="D795">
        <f t="shared" ca="1" si="23"/>
        <v>1831.5040816326527</v>
      </c>
    </row>
    <row r="796" spans="1:4" x14ac:dyDescent="0.25">
      <c r="A796" s="2">
        <f ca="1">IFERROR(__xludf.DUMMYFUNCTION("""COMPUTED_VALUE"""),45552.6458333333)</f>
        <v>45552.645833333299</v>
      </c>
      <c r="B796" s="1">
        <f ca="1">IFERROR(__xludf.DUMMYFUNCTION("""COMPUTED_VALUE"""),1952.55)</f>
        <v>1952.55</v>
      </c>
      <c r="C796" s="3">
        <f t="shared" ca="1" si="24"/>
        <v>1.1793359825663142E-3</v>
      </c>
      <c r="D796">
        <f t="shared" ca="1" si="23"/>
        <v>1837.6836734693875</v>
      </c>
    </row>
    <row r="797" spans="1:4" x14ac:dyDescent="0.25">
      <c r="A797" s="2">
        <f ca="1">IFERROR(__xludf.DUMMYFUNCTION("""COMPUTED_VALUE"""),45553.6458333333)</f>
        <v>45553.645833333299</v>
      </c>
      <c r="B797" s="1">
        <f ca="1">IFERROR(__xludf.DUMMYFUNCTION("""COMPUTED_VALUE"""),1892.15)</f>
        <v>1892.15</v>
      </c>
      <c r="C797" s="3">
        <f t="shared" ca="1" si="24"/>
        <v>-3.0933906942203715E-2</v>
      </c>
      <c r="D797">
        <f t="shared" ca="1" si="23"/>
        <v>1843.620408163265</v>
      </c>
    </row>
    <row r="798" spans="1:4" x14ac:dyDescent="0.25">
      <c r="A798" s="2">
        <f ca="1">IFERROR(__xludf.DUMMYFUNCTION("""COMPUTED_VALUE"""),45554.6458333333)</f>
        <v>45554.645833333299</v>
      </c>
      <c r="B798" s="1">
        <f ca="1">IFERROR(__xludf.DUMMYFUNCTION("""COMPUTED_VALUE"""),1894.2)</f>
        <v>1894.2</v>
      </c>
      <c r="C798" s="3">
        <f t="shared" ca="1" si="24"/>
        <v>1.0834236186348621E-3</v>
      </c>
      <c r="D798">
        <f t="shared" ca="1" si="23"/>
        <v>1848.4163265306117</v>
      </c>
    </row>
    <row r="799" spans="1:4" x14ac:dyDescent="0.25">
      <c r="A799" s="2">
        <f ca="1">IFERROR(__xludf.DUMMYFUNCTION("""COMPUTED_VALUE"""),45555.6458333333)</f>
        <v>45555.645833333299</v>
      </c>
      <c r="B799" s="1">
        <f ca="1">IFERROR(__xludf.DUMMYFUNCTION("""COMPUTED_VALUE"""),1905.75)</f>
        <v>1905.75</v>
      </c>
      <c r="C799" s="3">
        <f t="shared" ca="1" si="24"/>
        <v>6.097560975609732E-3</v>
      </c>
      <c r="D799">
        <f t="shared" ca="1" si="23"/>
        <v>1853.4357142857139</v>
      </c>
    </row>
    <row r="800" spans="1:4" x14ac:dyDescent="0.25">
      <c r="A800" s="2">
        <f ca="1">IFERROR(__xludf.DUMMYFUNCTION("""COMPUTED_VALUE"""),45558.6458333333)</f>
        <v>45558.645833333299</v>
      </c>
      <c r="B800" s="1">
        <f ca="1">IFERROR(__xludf.DUMMYFUNCTION("""COMPUTED_VALUE"""),1896.45)</f>
        <v>1896.45</v>
      </c>
      <c r="C800" s="3">
        <f t="shared" ca="1" si="24"/>
        <v>-4.8799685163321291E-3</v>
      </c>
      <c r="D800">
        <f t="shared" ca="1" si="23"/>
        <v>1858.5999999999997</v>
      </c>
    </row>
    <row r="801" spans="1:4" x14ac:dyDescent="0.25">
      <c r="A801" s="2">
        <f ca="1">IFERROR(__xludf.DUMMYFUNCTION("""COMPUTED_VALUE"""),45559.6458333333)</f>
        <v>45559.645833333299</v>
      </c>
      <c r="B801" s="1">
        <f ca="1">IFERROR(__xludf.DUMMYFUNCTION("""COMPUTED_VALUE"""),1898.6)</f>
        <v>1898.6</v>
      </c>
      <c r="C801" s="3">
        <f t="shared" ca="1" si="24"/>
        <v>1.1336971710300106E-3</v>
      </c>
      <c r="D801">
        <f t="shared" ca="1" si="23"/>
        <v>1862.3693877551016</v>
      </c>
    </row>
    <row r="802" spans="1:4" x14ac:dyDescent="0.25">
      <c r="A802" s="2">
        <f ca="1">IFERROR(__xludf.DUMMYFUNCTION("""COMPUTED_VALUE"""),45560.6458333333)</f>
        <v>45560.645833333299</v>
      </c>
      <c r="B802" s="1">
        <f ca="1">IFERROR(__xludf.DUMMYFUNCTION("""COMPUTED_VALUE"""),1895.3)</f>
        <v>1895.3</v>
      </c>
      <c r="C802" s="3">
        <f t="shared" ca="1" si="24"/>
        <v>-1.7381228273464419E-3</v>
      </c>
      <c r="D802">
        <f t="shared" ca="1" si="23"/>
        <v>1866.278571428571</v>
      </c>
    </row>
    <row r="803" spans="1:4" x14ac:dyDescent="0.25">
      <c r="A803" s="2">
        <f ca="1">IFERROR(__xludf.DUMMYFUNCTION("""COMPUTED_VALUE"""),45561.6458333333)</f>
        <v>45561.645833333299</v>
      </c>
      <c r="B803" s="1">
        <f ca="1">IFERROR(__xludf.DUMMYFUNCTION("""COMPUTED_VALUE"""),1900.25)</f>
        <v>1900.25</v>
      </c>
      <c r="C803" s="3">
        <f t="shared" ca="1" si="24"/>
        <v>2.611723737666884E-3</v>
      </c>
      <c r="D803">
        <f t="shared" ca="1" si="23"/>
        <v>1869.732653061224</v>
      </c>
    </row>
    <row r="804" spans="1:4" x14ac:dyDescent="0.25">
      <c r="A804" s="2">
        <f ca="1">IFERROR(__xludf.DUMMYFUNCTION("""COMPUTED_VALUE"""),45562.6458333333)</f>
        <v>45562.645833333299</v>
      </c>
      <c r="B804" s="1">
        <f ca="1">IFERROR(__xludf.DUMMYFUNCTION("""COMPUTED_VALUE"""),1906.75)</f>
        <v>1906.75</v>
      </c>
      <c r="C804" s="3">
        <f t="shared" ca="1" si="24"/>
        <v>3.4206025522957504E-3</v>
      </c>
      <c r="D804">
        <f t="shared" ca="1" si="23"/>
        <v>1872.6346938775509</v>
      </c>
    </row>
    <row r="805" spans="1:4" x14ac:dyDescent="0.25">
      <c r="A805" s="2">
        <f ca="1">IFERROR(__xludf.DUMMYFUNCTION("""COMPUTED_VALUE"""),45565.6458333333)</f>
        <v>45565.645833333299</v>
      </c>
      <c r="B805" s="1">
        <f ca="1">IFERROR(__xludf.DUMMYFUNCTION("""COMPUTED_VALUE"""),1875.6)</f>
        <v>1875.6</v>
      </c>
      <c r="C805" s="3">
        <f t="shared" ca="1" si="24"/>
        <v>-1.6336698570866705E-2</v>
      </c>
      <c r="D805">
        <f t="shared" ca="1" si="23"/>
        <v>1874.9571428571428</v>
      </c>
    </row>
    <row r="806" spans="1:4" x14ac:dyDescent="0.25">
      <c r="A806" s="2">
        <f ca="1">IFERROR(__xludf.DUMMYFUNCTION("""COMPUTED_VALUE"""),45566.6458333333)</f>
        <v>45566.645833333299</v>
      </c>
      <c r="B806" s="1">
        <f ca="1">IFERROR(__xludf.DUMMYFUNCTION("""COMPUTED_VALUE"""),1904.35)</f>
        <v>1904.35</v>
      </c>
      <c r="C806" s="3">
        <f t="shared" ca="1" si="24"/>
        <v>1.5328428236297719E-2</v>
      </c>
      <c r="D806">
        <f t="shared" ca="1" si="23"/>
        <v>1876.2785714285717</v>
      </c>
    </row>
    <row r="807" spans="1:4" x14ac:dyDescent="0.25">
      <c r="A807" s="2">
        <f ca="1">IFERROR(__xludf.DUMMYFUNCTION("""COMPUTED_VALUE"""),45568.6458333333)</f>
        <v>45568.645833333299</v>
      </c>
      <c r="B807" s="1">
        <f ca="1">IFERROR(__xludf.DUMMYFUNCTION("""COMPUTED_VALUE"""),1893.4)</f>
        <v>1893.4</v>
      </c>
      <c r="C807" s="3">
        <f t="shared" ca="1" si="24"/>
        <v>-5.7499934360804575E-3</v>
      </c>
      <c r="D807">
        <f t="shared" ca="1" si="23"/>
        <v>1877.6551020408167</v>
      </c>
    </row>
    <row r="808" spans="1:4" x14ac:dyDescent="0.25">
      <c r="A808" s="2">
        <f ca="1">IFERROR(__xludf.DUMMYFUNCTION("""COMPUTED_VALUE"""),45569.6458333333)</f>
        <v>45569.645833333299</v>
      </c>
      <c r="B808" s="1">
        <f ca="1">IFERROR(__xludf.DUMMYFUNCTION("""COMPUTED_VALUE"""),1918.15)</f>
        <v>1918.15</v>
      </c>
      <c r="C808" s="3">
        <f t="shared" ca="1" si="24"/>
        <v>1.3071722826661032E-2</v>
      </c>
      <c r="D808">
        <f t="shared" ca="1" si="23"/>
        <v>1878.8683673469388</v>
      </c>
    </row>
    <row r="809" spans="1:4" x14ac:dyDescent="0.25">
      <c r="A809" s="2">
        <f ca="1">IFERROR(__xludf.DUMMYFUNCTION("""COMPUTED_VALUE"""),45572.6458333333)</f>
        <v>45572.645833333299</v>
      </c>
      <c r="B809" s="1">
        <f ca="1">IFERROR(__xludf.DUMMYFUNCTION("""COMPUTED_VALUE"""),1934.3)</f>
        <v>1934.3</v>
      </c>
      <c r="C809" s="3">
        <f t="shared" ca="1" si="24"/>
        <v>8.4195709407501301E-3</v>
      </c>
      <c r="D809">
        <f t="shared" ca="1" si="23"/>
        <v>1880.7724489795919</v>
      </c>
    </row>
    <row r="810" spans="1:4" x14ac:dyDescent="0.25">
      <c r="A810" s="2">
        <f ca="1">IFERROR(__xludf.DUMMYFUNCTION("""COMPUTED_VALUE"""),45573.6458333333)</f>
        <v>45573.645833333299</v>
      </c>
      <c r="B810" s="1">
        <f ca="1">IFERROR(__xludf.DUMMYFUNCTION("""COMPUTED_VALUE"""),1948.55)</f>
        <v>1948.55</v>
      </c>
      <c r="C810" s="3">
        <f t="shared" ca="1" si="24"/>
        <v>7.3670061520963656E-3</v>
      </c>
      <c r="D810">
        <f t="shared" ca="1" si="23"/>
        <v>1881.9030612244899</v>
      </c>
    </row>
    <row r="811" spans="1:4" x14ac:dyDescent="0.25">
      <c r="A811" s="2">
        <f ca="1">IFERROR(__xludf.DUMMYFUNCTION("""COMPUTED_VALUE"""),45574.6458333333)</f>
        <v>45574.645833333299</v>
      </c>
      <c r="B811" s="1">
        <f ca="1">IFERROR(__xludf.DUMMYFUNCTION("""COMPUTED_VALUE"""),1952.75)</f>
        <v>1952.75</v>
      </c>
      <c r="C811" s="3">
        <f t="shared" ca="1" si="24"/>
        <v>2.1554489235585668E-3</v>
      </c>
      <c r="D811">
        <f t="shared" ca="1" si="23"/>
        <v>1883.4836734693877</v>
      </c>
    </row>
    <row r="812" spans="1:4" x14ac:dyDescent="0.25">
      <c r="A812" s="2">
        <f ca="1">IFERROR(__xludf.DUMMYFUNCTION("""COMPUTED_VALUE"""),45575.6458333333)</f>
        <v>45575.645833333299</v>
      </c>
      <c r="B812" s="1">
        <f ca="1">IFERROR(__xludf.DUMMYFUNCTION("""COMPUTED_VALUE"""),1919)</f>
        <v>1919</v>
      </c>
      <c r="C812" s="3">
        <f t="shared" ca="1" si="24"/>
        <v>-1.728331839713225E-2</v>
      </c>
      <c r="D812">
        <f t="shared" ca="1" si="23"/>
        <v>1885.0265306122449</v>
      </c>
    </row>
    <row r="813" spans="1:4" x14ac:dyDescent="0.25">
      <c r="A813" s="2">
        <f ca="1">IFERROR(__xludf.DUMMYFUNCTION("""COMPUTED_VALUE"""),45576.6458333333)</f>
        <v>45576.645833333299</v>
      </c>
      <c r="B813" s="1">
        <f ca="1">IFERROR(__xludf.DUMMYFUNCTION("""COMPUTED_VALUE"""),1935.1)</f>
        <v>1935.1</v>
      </c>
      <c r="C813" s="3">
        <f t="shared" ca="1" si="24"/>
        <v>8.3897863470557103E-3</v>
      </c>
      <c r="D813">
        <f t="shared" ca="1" si="23"/>
        <v>1886.0622448979595</v>
      </c>
    </row>
    <row r="814" spans="1:4" x14ac:dyDescent="0.25">
      <c r="A814" s="2">
        <f ca="1">IFERROR(__xludf.DUMMYFUNCTION("""COMPUTED_VALUE"""),45579.6458333333)</f>
        <v>45579.645833333299</v>
      </c>
      <c r="B814" s="1">
        <f ca="1">IFERROR(__xludf.DUMMYFUNCTION("""COMPUTED_VALUE"""),1958.9)</f>
        <v>1958.9</v>
      </c>
      <c r="C814" s="3">
        <f t="shared" ca="1" si="24"/>
        <v>1.229910598935465E-2</v>
      </c>
      <c r="D814">
        <f t="shared" ca="1" si="23"/>
        <v>1887.7459183673473</v>
      </c>
    </row>
    <row r="815" spans="1:4" x14ac:dyDescent="0.25">
      <c r="A815" s="2">
        <f ca="1">IFERROR(__xludf.DUMMYFUNCTION("""COMPUTED_VALUE"""),45580.6458333333)</f>
        <v>45580.645833333299</v>
      </c>
      <c r="B815" s="1">
        <f ca="1">IFERROR(__xludf.DUMMYFUNCTION("""COMPUTED_VALUE"""),1959.3)</f>
        <v>1959.3</v>
      </c>
      <c r="C815" s="3">
        <f t="shared" ca="1" si="24"/>
        <v>2.0419623257943926E-4</v>
      </c>
      <c r="D815">
        <f t="shared" ca="1" si="23"/>
        <v>1890.55612244898</v>
      </c>
    </row>
    <row r="816" spans="1:4" x14ac:dyDescent="0.25">
      <c r="A816" s="2">
        <f ca="1">IFERROR(__xludf.DUMMYFUNCTION("""COMPUTED_VALUE"""),45581.6458333333)</f>
        <v>45581.645833333299</v>
      </c>
      <c r="B816" s="1">
        <f ca="1">IFERROR(__xludf.DUMMYFUNCTION("""COMPUTED_VALUE"""),1920.1)</f>
        <v>1920.1</v>
      </c>
      <c r="C816" s="3">
        <f t="shared" ca="1" si="24"/>
        <v>-2.0007145409074695E-2</v>
      </c>
      <c r="D816">
        <f t="shared" ca="1" si="23"/>
        <v>1894.7887755102042</v>
      </c>
    </row>
    <row r="817" spans="1:4" x14ac:dyDescent="0.25">
      <c r="A817" s="2">
        <f ca="1">IFERROR(__xludf.DUMMYFUNCTION("""COMPUTED_VALUE"""),45582.6458333333)</f>
        <v>45582.645833333299</v>
      </c>
      <c r="B817" s="1">
        <f ca="1">IFERROR(__xludf.DUMMYFUNCTION("""COMPUTED_VALUE"""),1968.1)</f>
        <v>1968.1</v>
      </c>
      <c r="C817" s="3">
        <f t="shared" ca="1" si="24"/>
        <v>2.4998697984479977E-2</v>
      </c>
      <c r="D817">
        <f t="shared" ca="1" si="23"/>
        <v>1898.2377551020411</v>
      </c>
    </row>
    <row r="818" spans="1:4" x14ac:dyDescent="0.25">
      <c r="A818" s="2">
        <f ca="1">IFERROR(__xludf.DUMMYFUNCTION("""COMPUTED_VALUE"""),45583.6458333333)</f>
        <v>45583.645833333299</v>
      </c>
      <c r="B818" s="1">
        <f ca="1">IFERROR(__xludf.DUMMYFUNCTION("""COMPUTED_VALUE"""),1879.6)</f>
        <v>1879.6</v>
      </c>
      <c r="C818" s="3">
        <f t="shared" ca="1" si="24"/>
        <v>-4.4967227275036839E-2</v>
      </c>
      <c r="D818">
        <f t="shared" ca="1" si="23"/>
        <v>1901.8387755102044</v>
      </c>
    </row>
    <row r="819" spans="1:4" x14ac:dyDescent="0.25">
      <c r="A819" s="2">
        <f ca="1">IFERROR(__xludf.DUMMYFUNCTION("""COMPUTED_VALUE"""),45586.6458333333)</f>
        <v>45586.645833333299</v>
      </c>
      <c r="B819" s="1">
        <f ca="1">IFERROR(__xludf.DUMMYFUNCTION("""COMPUTED_VALUE"""),1852.75)</f>
        <v>1852.75</v>
      </c>
      <c r="C819" s="3">
        <f t="shared" ca="1" si="24"/>
        <v>-1.428495424558412E-2</v>
      </c>
      <c r="D819">
        <f t="shared" ca="1" si="23"/>
        <v>1904.6234693877557</v>
      </c>
    </row>
    <row r="820" spans="1:4" x14ac:dyDescent="0.25">
      <c r="A820" s="2">
        <f ca="1">IFERROR(__xludf.DUMMYFUNCTION("""COMPUTED_VALUE"""),45587.6458333333)</f>
        <v>45587.645833333299</v>
      </c>
      <c r="B820" s="1">
        <f ca="1">IFERROR(__xludf.DUMMYFUNCTION("""COMPUTED_VALUE"""),1851.6)</f>
        <v>1851.6</v>
      </c>
      <c r="C820" s="3">
        <f t="shared" ca="1" si="24"/>
        <v>-6.2069896100396221E-4</v>
      </c>
      <c r="D820">
        <f t="shared" ref="D820:D883" ca="1" si="25">AVERAGE(B771:B819)</f>
        <v>1906.2969387755106</v>
      </c>
    </row>
    <row r="821" spans="1:4" x14ac:dyDescent="0.25">
      <c r="A821" s="2">
        <f ca="1">IFERROR(__xludf.DUMMYFUNCTION("""COMPUTED_VALUE"""),45588.6458333333)</f>
        <v>45588.645833333299</v>
      </c>
      <c r="B821" s="1">
        <f ca="1">IFERROR(__xludf.DUMMYFUNCTION("""COMPUTED_VALUE"""),1873.4)</f>
        <v>1873.4</v>
      </c>
      <c r="C821" s="3">
        <f t="shared" ca="1" si="24"/>
        <v>1.1773601209764627E-2</v>
      </c>
      <c r="D821">
        <f t="shared" ca="1" si="25"/>
        <v>1907.4030612244903</v>
      </c>
    </row>
    <row r="822" spans="1:4" x14ac:dyDescent="0.25">
      <c r="A822" s="2">
        <f ca="1">IFERROR(__xludf.DUMMYFUNCTION("""COMPUTED_VALUE"""),45589.6458333333)</f>
        <v>45589.645833333299</v>
      </c>
      <c r="B822" s="1">
        <f ca="1">IFERROR(__xludf.DUMMYFUNCTION("""COMPUTED_VALUE"""),1863.35)</f>
        <v>1863.35</v>
      </c>
      <c r="C822" s="3">
        <f t="shared" ca="1" si="24"/>
        <v>-5.3645777730330852E-3</v>
      </c>
      <c r="D822">
        <f t="shared" ca="1" si="25"/>
        <v>1908.9530612244901</v>
      </c>
    </row>
    <row r="823" spans="1:4" x14ac:dyDescent="0.25">
      <c r="A823" s="2">
        <f ca="1">IFERROR(__xludf.DUMMYFUNCTION("""COMPUTED_VALUE"""),45590.6458333333)</f>
        <v>45590.645833333299</v>
      </c>
      <c r="B823" s="1">
        <f ca="1">IFERROR(__xludf.DUMMYFUNCTION("""COMPUTED_VALUE"""),1862.05)</f>
        <v>1862.05</v>
      </c>
      <c r="C823" s="3">
        <f t="shared" ca="1" si="24"/>
        <v>-6.9766817828102853E-4</v>
      </c>
      <c r="D823">
        <f t="shared" ca="1" si="25"/>
        <v>1909.7714285714292</v>
      </c>
    </row>
    <row r="824" spans="1:4" x14ac:dyDescent="0.25">
      <c r="A824" s="2">
        <f ca="1">IFERROR(__xludf.DUMMYFUNCTION("""COMPUTED_VALUE"""),45593.6458333333)</f>
        <v>45593.645833333299</v>
      </c>
      <c r="B824" s="1">
        <f ca="1">IFERROR(__xludf.DUMMYFUNCTION("""COMPUTED_VALUE"""),1865.35)</f>
        <v>1865.35</v>
      </c>
      <c r="C824" s="3">
        <f t="shared" ca="1" si="24"/>
        <v>1.7722402728175691E-3</v>
      </c>
      <c r="D824">
        <f t="shared" ca="1" si="25"/>
        <v>1909.8346938775514</v>
      </c>
    </row>
    <row r="825" spans="1:4" x14ac:dyDescent="0.25">
      <c r="A825" s="2">
        <f ca="1">IFERROR(__xludf.DUMMYFUNCTION("""COMPUTED_VALUE"""),45594.6458333333)</f>
        <v>45594.645833333299</v>
      </c>
      <c r="B825" s="1">
        <f ca="1">IFERROR(__xludf.DUMMYFUNCTION("""COMPUTED_VALUE"""),1839.3)</f>
        <v>1839.3</v>
      </c>
      <c r="C825" s="3">
        <f t="shared" ca="1" si="24"/>
        <v>-1.3965207601790526E-2</v>
      </c>
      <c r="D825">
        <f t="shared" ca="1" si="25"/>
        <v>1909.8459183673478</v>
      </c>
    </row>
    <row r="826" spans="1:4" x14ac:dyDescent="0.25">
      <c r="A826" s="2">
        <f ca="1">IFERROR(__xludf.DUMMYFUNCTION("""COMPUTED_VALUE"""),45595.6458333333)</f>
        <v>45595.645833333299</v>
      </c>
      <c r="B826" s="1">
        <f ca="1">IFERROR(__xludf.DUMMYFUNCTION("""COMPUTED_VALUE"""),1802.1)</f>
        <v>1802.1</v>
      </c>
      <c r="C826" s="3">
        <f t="shared" ca="1" si="24"/>
        <v>-2.0225085630402897E-2</v>
      </c>
      <c r="D826">
        <f t="shared" ca="1" si="25"/>
        <v>1909.1744897959193</v>
      </c>
    </row>
    <row r="827" spans="1:4" x14ac:dyDescent="0.25">
      <c r="A827" s="2">
        <f ca="1">IFERROR(__xludf.DUMMYFUNCTION("""COMPUTED_VALUE"""),45596.6458333333)</f>
        <v>45596.645833333299</v>
      </c>
      <c r="B827" s="1">
        <f ca="1">IFERROR(__xludf.DUMMYFUNCTION("""COMPUTED_VALUE"""),1757.25)</f>
        <v>1757.25</v>
      </c>
      <c r="C827" s="3">
        <f t="shared" ca="1" si="24"/>
        <v>-2.488763109705339E-2</v>
      </c>
      <c r="D827">
        <f t="shared" ca="1" si="25"/>
        <v>1907.7336734693888</v>
      </c>
    </row>
    <row r="828" spans="1:4" x14ac:dyDescent="0.25">
      <c r="A828" s="2">
        <f ca="1">IFERROR(__xludf.DUMMYFUNCTION("""COMPUTED_VALUE"""),45600.6458333333)</f>
        <v>45600.645833333299</v>
      </c>
      <c r="B828" s="1">
        <f ca="1">IFERROR(__xludf.DUMMYFUNCTION("""COMPUTED_VALUE"""),1763.65)</f>
        <v>1763.65</v>
      </c>
      <c r="C828" s="3">
        <f t="shared" ca="1" si="24"/>
        <v>3.6420543462797501E-3</v>
      </c>
      <c r="D828">
        <f t="shared" ca="1" si="25"/>
        <v>1905.223469387756</v>
      </c>
    </row>
    <row r="829" spans="1:4" x14ac:dyDescent="0.25">
      <c r="A829" s="2">
        <f ca="1">IFERROR(__xludf.DUMMYFUNCTION("""COMPUTED_VALUE"""),45601.6458333333)</f>
        <v>45601.645833333299</v>
      </c>
      <c r="B829" s="1">
        <f ca="1">IFERROR(__xludf.DUMMYFUNCTION("""COMPUTED_VALUE"""),1754.2)</f>
        <v>1754.2</v>
      </c>
      <c r="C829" s="3">
        <f t="shared" ca="1" si="24"/>
        <v>-5.358205993252655E-3</v>
      </c>
      <c r="D829">
        <f t="shared" ca="1" si="25"/>
        <v>1903.2142857142867</v>
      </c>
    </row>
    <row r="830" spans="1:4" x14ac:dyDescent="0.25">
      <c r="A830" s="2">
        <f ca="1">IFERROR(__xludf.DUMMYFUNCTION("""COMPUTED_VALUE"""),45602.6458333333)</f>
        <v>45602.645833333299</v>
      </c>
      <c r="B830" s="1">
        <f ca="1">IFERROR(__xludf.DUMMYFUNCTION("""COMPUTED_VALUE"""),1823.7)</f>
        <v>1823.7</v>
      </c>
      <c r="C830" s="3">
        <f t="shared" ca="1" si="24"/>
        <v>3.9619199635161327E-2</v>
      </c>
      <c r="D830">
        <f t="shared" ca="1" si="25"/>
        <v>1900.7255102040822</v>
      </c>
    </row>
    <row r="831" spans="1:4" x14ac:dyDescent="0.25">
      <c r="A831" s="2">
        <f ca="1">IFERROR(__xludf.DUMMYFUNCTION("""COMPUTED_VALUE"""),45603.6458333333)</f>
        <v>45603.645833333299</v>
      </c>
      <c r="B831" s="1">
        <f ca="1">IFERROR(__xludf.DUMMYFUNCTION("""COMPUTED_VALUE"""),1803.05)</f>
        <v>1803.05</v>
      </c>
      <c r="C831" s="3">
        <f t="shared" ca="1" si="24"/>
        <v>-1.1323134287437676E-2</v>
      </c>
      <c r="D831">
        <f t="shared" ca="1" si="25"/>
        <v>1899.1663265306131</v>
      </c>
    </row>
    <row r="832" spans="1:4" x14ac:dyDescent="0.25">
      <c r="A832" s="2">
        <f ca="1">IFERROR(__xludf.DUMMYFUNCTION("""COMPUTED_VALUE"""),45604.6458333333)</f>
        <v>45604.645833333299</v>
      </c>
      <c r="B832" s="1">
        <f ca="1">IFERROR(__xludf.DUMMYFUNCTION("""COMPUTED_VALUE"""),1829.95)</f>
        <v>1829.95</v>
      </c>
      <c r="C832" s="3">
        <f t="shared" ca="1" si="24"/>
        <v>1.4919164748620444E-2</v>
      </c>
      <c r="D832">
        <f t="shared" ca="1" si="25"/>
        <v>1896.389795918368</v>
      </c>
    </row>
    <row r="833" spans="1:4" x14ac:dyDescent="0.25">
      <c r="A833" s="2">
        <f ca="1">IFERROR(__xludf.DUMMYFUNCTION("""COMPUTED_VALUE"""),45607.6458333333)</f>
        <v>45607.645833333299</v>
      </c>
      <c r="B833" s="1">
        <f ca="1">IFERROR(__xludf.DUMMYFUNCTION("""COMPUTED_VALUE"""),1860.1)</f>
        <v>1860.1</v>
      </c>
      <c r="C833" s="3">
        <f t="shared" ca="1" si="24"/>
        <v>1.6475859996174683E-2</v>
      </c>
      <c r="D833">
        <f t="shared" ca="1" si="25"/>
        <v>1894.2795918367353</v>
      </c>
    </row>
    <row r="834" spans="1:4" x14ac:dyDescent="0.25">
      <c r="A834" s="2">
        <f ca="1">IFERROR(__xludf.DUMMYFUNCTION("""COMPUTED_VALUE"""),45608.6458333333)</f>
        <v>45608.645833333299</v>
      </c>
      <c r="B834" s="1">
        <f ca="1">IFERROR(__xludf.DUMMYFUNCTION("""COMPUTED_VALUE"""),1868.8)</f>
        <v>1868.8</v>
      </c>
      <c r="C834" s="3">
        <f t="shared" ca="1" si="24"/>
        <v>4.6771678941992609E-3</v>
      </c>
      <c r="D834">
        <f t="shared" ca="1" si="25"/>
        <v>1892.5734693877555</v>
      </c>
    </row>
    <row r="835" spans="1:4" x14ac:dyDescent="0.25">
      <c r="A835" s="2">
        <f ca="1">IFERROR(__xludf.DUMMYFUNCTION("""COMPUTED_VALUE"""),45609.6458333333)</f>
        <v>45609.645833333299</v>
      </c>
      <c r="B835" s="1">
        <f ca="1">IFERROR(__xludf.DUMMYFUNCTION("""COMPUTED_VALUE"""),1868.4)</f>
        <v>1868.4</v>
      </c>
      <c r="C835" s="3">
        <f t="shared" ca="1" si="24"/>
        <v>-2.1404109589033795E-4</v>
      </c>
      <c r="D835">
        <f t="shared" ca="1" si="25"/>
        <v>1890.6204081632659</v>
      </c>
    </row>
    <row r="836" spans="1:4" x14ac:dyDescent="0.25">
      <c r="A836" s="2">
        <f ca="1">IFERROR(__xludf.DUMMYFUNCTION("""COMPUTED_VALUE"""),45610.6458333333)</f>
        <v>45610.645833333299</v>
      </c>
      <c r="B836" s="1">
        <f ca="1">IFERROR(__xludf.DUMMYFUNCTION("""COMPUTED_VALUE"""),1864.55)</f>
        <v>1864.55</v>
      </c>
      <c r="C836" s="3">
        <f t="shared" ref="C836:C899" ca="1" si="26">(B836-B835)/B835</f>
        <v>-2.0605865981589253E-3</v>
      </c>
      <c r="D836">
        <f t="shared" ca="1" si="25"/>
        <v>1889.1336734693882</v>
      </c>
    </row>
    <row r="837" spans="1:4" x14ac:dyDescent="0.25">
      <c r="A837" s="2">
        <f ca="1">IFERROR(__xludf.DUMMYFUNCTION("""COMPUTED_VALUE"""),45614.6458333333)</f>
        <v>45614.645833333299</v>
      </c>
      <c r="B837" s="1">
        <f ca="1">IFERROR(__xludf.DUMMYFUNCTION("""COMPUTED_VALUE"""),1811.45)</f>
        <v>1811.45</v>
      </c>
      <c r="C837" s="3">
        <f t="shared" ca="1" si="26"/>
        <v>-2.8478721407310028E-2</v>
      </c>
      <c r="D837">
        <f t="shared" ca="1" si="25"/>
        <v>1887.9520408163271</v>
      </c>
    </row>
    <row r="838" spans="1:4" x14ac:dyDescent="0.25">
      <c r="A838" s="2">
        <f ca="1">IFERROR(__xludf.DUMMYFUNCTION("""COMPUTED_VALUE"""),45615.6458333333)</f>
        <v>45615.645833333299</v>
      </c>
      <c r="B838" s="1">
        <f ca="1">IFERROR(__xludf.DUMMYFUNCTION("""COMPUTED_VALUE"""),1824.75)</f>
        <v>1824.75</v>
      </c>
      <c r="C838" s="3">
        <f t="shared" ca="1" si="26"/>
        <v>7.3421844378812303E-3</v>
      </c>
      <c r="D838">
        <f t="shared" ca="1" si="25"/>
        <v>1885.468367346939</v>
      </c>
    </row>
    <row r="839" spans="1:4" x14ac:dyDescent="0.25">
      <c r="A839" s="2">
        <f ca="1">IFERROR(__xludf.DUMMYFUNCTION("""COMPUTED_VALUE"""),45617.6458333333)</f>
        <v>45617.645833333299</v>
      </c>
      <c r="B839" s="1">
        <f ca="1">IFERROR(__xludf.DUMMYFUNCTION("""COMPUTED_VALUE"""),1834.05)</f>
        <v>1834.05</v>
      </c>
      <c r="C839" s="3">
        <f t="shared" ca="1" si="26"/>
        <v>5.0965885737772046E-3</v>
      </c>
      <c r="D839">
        <f t="shared" ca="1" si="25"/>
        <v>1883.8948979591837</v>
      </c>
    </row>
    <row r="840" spans="1:4" x14ac:dyDescent="0.25">
      <c r="A840" s="2">
        <f ca="1">IFERROR(__xludf.DUMMYFUNCTION("""COMPUTED_VALUE"""),45618.6458333333)</f>
        <v>45618.645833333299</v>
      </c>
      <c r="B840" s="1">
        <f ca="1">IFERROR(__xludf.DUMMYFUNCTION("""COMPUTED_VALUE"""),1902.25)</f>
        <v>1902.25</v>
      </c>
      <c r="C840" s="3">
        <f t="shared" ca="1" si="26"/>
        <v>3.718546386412587E-2</v>
      </c>
      <c r="D840">
        <f t="shared" ca="1" si="25"/>
        <v>1882.658163265306</v>
      </c>
    </row>
    <row r="841" spans="1:4" x14ac:dyDescent="0.25">
      <c r="A841" s="2">
        <f ca="1">IFERROR(__xludf.DUMMYFUNCTION("""COMPUTED_VALUE"""),45621.6458333333)</f>
        <v>45621.645833333299</v>
      </c>
      <c r="B841" s="1">
        <f ca="1">IFERROR(__xludf.DUMMYFUNCTION("""COMPUTED_VALUE"""),1889.7)</f>
        <v>1889.7</v>
      </c>
      <c r="C841" s="3">
        <f t="shared" ca="1" si="26"/>
        <v>-6.5974503876987537E-3</v>
      </c>
      <c r="D841">
        <f t="shared" ca="1" si="25"/>
        <v>1882.4530612244898</v>
      </c>
    </row>
    <row r="842" spans="1:4" x14ac:dyDescent="0.25">
      <c r="A842" s="2">
        <f ca="1">IFERROR(__xludf.DUMMYFUNCTION("""COMPUTED_VALUE"""),45622.6458333333)</f>
        <v>45622.645833333299</v>
      </c>
      <c r="B842" s="1">
        <f ca="1">IFERROR(__xludf.DUMMYFUNCTION("""COMPUTED_VALUE"""),1924.15)</f>
        <v>1924.15</v>
      </c>
      <c r="C842" s="3">
        <f t="shared" ca="1" si="26"/>
        <v>1.8230406942901012E-2</v>
      </c>
      <c r="D842">
        <f t="shared" ca="1" si="25"/>
        <v>1882.035714285714</v>
      </c>
    </row>
    <row r="843" spans="1:4" x14ac:dyDescent="0.25">
      <c r="A843" s="2">
        <f ca="1">IFERROR(__xludf.DUMMYFUNCTION("""COMPUTED_VALUE"""),45623.6458333333)</f>
        <v>45623.645833333299</v>
      </c>
      <c r="B843" s="1">
        <f ca="1">IFERROR(__xludf.DUMMYFUNCTION("""COMPUTED_VALUE"""),1924.5)</f>
        <v>1924.5</v>
      </c>
      <c r="C843" s="3">
        <f t="shared" ca="1" si="26"/>
        <v>1.8189850063659747E-4</v>
      </c>
      <c r="D843">
        <f t="shared" ca="1" si="25"/>
        <v>1881.4989795918364</v>
      </c>
    </row>
    <row r="844" spans="1:4" x14ac:dyDescent="0.25">
      <c r="A844" s="2">
        <f ca="1">IFERROR(__xludf.DUMMYFUNCTION("""COMPUTED_VALUE"""),45624.6458333333)</f>
        <v>45624.645833333299</v>
      </c>
      <c r="B844" s="1">
        <f ca="1">IFERROR(__xludf.DUMMYFUNCTION("""COMPUTED_VALUE"""),1856.65)</f>
        <v>1856.65</v>
      </c>
      <c r="C844" s="3">
        <f t="shared" ca="1" si="26"/>
        <v>-3.5255910626136609E-2</v>
      </c>
      <c r="D844">
        <f t="shared" ca="1" si="25"/>
        <v>1881.0989795918365</v>
      </c>
    </row>
    <row r="845" spans="1:4" x14ac:dyDescent="0.25">
      <c r="A845" s="2">
        <f ca="1">IFERROR(__xludf.DUMMYFUNCTION("""COMPUTED_VALUE"""),45625.6458333333)</f>
        <v>45625.645833333299</v>
      </c>
      <c r="B845" s="1">
        <f ca="1">IFERROR(__xludf.DUMMYFUNCTION("""COMPUTED_VALUE"""),1857.85)</f>
        <v>1857.85</v>
      </c>
      <c r="C845" s="3">
        <f t="shared" ca="1" si="26"/>
        <v>6.4632537096373467E-4</v>
      </c>
      <c r="D845">
        <f t="shared" ca="1" si="25"/>
        <v>1879.1887755102039</v>
      </c>
    </row>
    <row r="846" spans="1:4" x14ac:dyDescent="0.25">
      <c r="A846" s="2">
        <f ca="1">IFERROR(__xludf.DUMMYFUNCTION("""COMPUTED_VALUE"""),45628.6458333333)</f>
        <v>45628.645833333299</v>
      </c>
      <c r="B846" s="1">
        <f ca="1">IFERROR(__xludf.DUMMYFUNCTION("""COMPUTED_VALUE"""),1879.8)</f>
        <v>1879.8</v>
      </c>
      <c r="C846" s="3">
        <f t="shared" ca="1" si="26"/>
        <v>1.1814732082783889E-2</v>
      </c>
      <c r="D846">
        <f t="shared" ca="1" si="25"/>
        <v>1877.2561224489793</v>
      </c>
    </row>
    <row r="847" spans="1:4" x14ac:dyDescent="0.25">
      <c r="A847" s="2">
        <f ca="1">IFERROR(__xludf.DUMMYFUNCTION("""COMPUTED_VALUE"""),45629.6458333333)</f>
        <v>45629.645833333299</v>
      </c>
      <c r="B847" s="1">
        <f ca="1">IFERROR(__xludf.DUMMYFUNCTION("""COMPUTED_VALUE"""),1892.1)</f>
        <v>1892.1</v>
      </c>
      <c r="C847" s="3">
        <f t="shared" ca="1" si="26"/>
        <v>6.5432492818384693E-3</v>
      </c>
      <c r="D847">
        <f t="shared" ca="1" si="25"/>
        <v>1877.004081632653</v>
      </c>
    </row>
    <row r="848" spans="1:4" x14ac:dyDescent="0.25">
      <c r="A848" s="2">
        <f ca="1">IFERROR(__xludf.DUMMYFUNCTION("""COMPUTED_VALUE"""),45630.6458333333)</f>
        <v>45630.645833333299</v>
      </c>
      <c r="B848" s="1">
        <f ca="1">IFERROR(__xludf.DUMMYFUNCTION("""COMPUTED_VALUE"""),1889.25)</f>
        <v>1889.25</v>
      </c>
      <c r="C848" s="3">
        <f t="shared" ca="1" si="26"/>
        <v>-1.5062628825114471E-3</v>
      </c>
      <c r="D848">
        <f t="shared" ca="1" si="25"/>
        <v>1876.9612244897958</v>
      </c>
    </row>
    <row r="849" spans="1:4" x14ac:dyDescent="0.25">
      <c r="A849" s="2">
        <f ca="1">IFERROR(__xludf.DUMMYFUNCTION("""COMPUTED_VALUE"""),45631.6458333333)</f>
        <v>45631.645833333299</v>
      </c>
      <c r="B849" s="1">
        <f ca="1">IFERROR(__xludf.DUMMYFUNCTION("""COMPUTED_VALUE"""),1934.85)</f>
        <v>1934.85</v>
      </c>
      <c r="C849" s="3">
        <f t="shared" ca="1" si="26"/>
        <v>2.4136562127828456E-2</v>
      </c>
      <c r="D849">
        <f t="shared" ca="1" si="25"/>
        <v>1876.6244897959182</v>
      </c>
    </row>
    <row r="850" spans="1:4" x14ac:dyDescent="0.25">
      <c r="A850" s="2">
        <f ca="1">IFERROR(__xludf.DUMMYFUNCTION("""COMPUTED_VALUE"""),45632.6458333333)</f>
        <v>45632.645833333299</v>
      </c>
      <c r="B850" s="1">
        <f ca="1">IFERROR(__xludf.DUMMYFUNCTION("""COMPUTED_VALUE"""),1922.4)</f>
        <v>1922.4</v>
      </c>
      <c r="C850" s="3">
        <f t="shared" ca="1" si="26"/>
        <v>-6.4346073339017588E-3</v>
      </c>
      <c r="D850">
        <f t="shared" ca="1" si="25"/>
        <v>1877.408163265306</v>
      </c>
    </row>
    <row r="851" spans="1:4" x14ac:dyDescent="0.25">
      <c r="A851" s="2">
        <f ca="1">IFERROR(__xludf.DUMMYFUNCTION("""COMPUTED_VALUE"""),45635.6458333333)</f>
        <v>45635.645833333299</v>
      </c>
      <c r="B851" s="1">
        <f ca="1">IFERROR(__xludf.DUMMYFUNCTION("""COMPUTED_VALUE"""),1923.65)</f>
        <v>1923.65</v>
      </c>
      <c r="C851" s="3">
        <f t="shared" ca="1" si="26"/>
        <v>6.5022888056595922E-4</v>
      </c>
      <c r="D851">
        <f t="shared" ca="1" si="25"/>
        <v>1877.8938775510201</v>
      </c>
    </row>
    <row r="852" spans="1:4" x14ac:dyDescent="0.25">
      <c r="A852" s="2">
        <f ca="1">IFERROR(__xludf.DUMMYFUNCTION("""COMPUTED_VALUE"""),45636.6458333333)</f>
        <v>45636.645833333299</v>
      </c>
      <c r="B852" s="1">
        <f ca="1">IFERROR(__xludf.DUMMYFUNCTION("""COMPUTED_VALUE"""),1948.55)</f>
        <v>1948.55</v>
      </c>
      <c r="C852" s="3">
        <f t="shared" ca="1" si="26"/>
        <v>1.2944142645491572E-2</v>
      </c>
      <c r="D852">
        <f t="shared" ca="1" si="25"/>
        <v>1878.4724489795917</v>
      </c>
    </row>
    <row r="853" spans="1:4" x14ac:dyDescent="0.25">
      <c r="A853" s="2">
        <f ca="1">IFERROR(__xludf.DUMMYFUNCTION("""COMPUTED_VALUE"""),45637.6458333333)</f>
        <v>45637.645833333299</v>
      </c>
      <c r="B853" s="1">
        <f ca="1">IFERROR(__xludf.DUMMYFUNCTION("""COMPUTED_VALUE"""),1974.15)</f>
        <v>1974.15</v>
      </c>
      <c r="C853" s="3">
        <f t="shared" ca="1" si="26"/>
        <v>1.3137974391214049E-2</v>
      </c>
      <c r="D853">
        <f t="shared" ca="1" si="25"/>
        <v>1879.4581632653058</v>
      </c>
    </row>
    <row r="854" spans="1:4" x14ac:dyDescent="0.25">
      <c r="A854" s="2">
        <f ca="1">IFERROR(__xludf.DUMMYFUNCTION("""COMPUTED_VALUE"""),45638.6458333333)</f>
        <v>45638.645833333299</v>
      </c>
      <c r="B854" s="1">
        <f ca="1">IFERROR(__xludf.DUMMYFUNCTION("""COMPUTED_VALUE"""),1987)</f>
        <v>1987</v>
      </c>
      <c r="C854" s="3">
        <f t="shared" ca="1" si="26"/>
        <v>6.5091305118658198E-3</v>
      </c>
      <c r="D854">
        <f t="shared" ca="1" si="25"/>
        <v>1880.8336734693876</v>
      </c>
    </row>
    <row r="855" spans="1:4" x14ac:dyDescent="0.25">
      <c r="A855" s="2">
        <f ca="1">IFERROR(__xludf.DUMMYFUNCTION("""COMPUTED_VALUE"""),45639.6458333333)</f>
        <v>45639.645833333299</v>
      </c>
      <c r="B855" s="1">
        <f ca="1">IFERROR(__xludf.DUMMYFUNCTION("""COMPUTED_VALUE"""),1999.7)</f>
        <v>1999.7</v>
      </c>
      <c r="C855" s="3">
        <f t="shared" ca="1" si="26"/>
        <v>6.3915450427780799E-3</v>
      </c>
      <c r="D855">
        <f t="shared" ca="1" si="25"/>
        <v>1883.1071428571427</v>
      </c>
    </row>
    <row r="856" spans="1:4" x14ac:dyDescent="0.25">
      <c r="A856" s="2">
        <f ca="1">IFERROR(__xludf.DUMMYFUNCTION("""COMPUTED_VALUE"""),45642.6458333333)</f>
        <v>45642.645833333299</v>
      </c>
      <c r="B856" s="1">
        <f ca="1">IFERROR(__xludf.DUMMYFUNCTION("""COMPUTED_VALUE"""),1980.05)</f>
        <v>1980.05</v>
      </c>
      <c r="C856" s="3">
        <f t="shared" ca="1" si="26"/>
        <v>-9.8264739710957096E-3</v>
      </c>
      <c r="D856">
        <f t="shared" ca="1" si="25"/>
        <v>1885.0530612244895</v>
      </c>
    </row>
    <row r="857" spans="1:4" x14ac:dyDescent="0.25">
      <c r="A857" s="2">
        <f ca="1">IFERROR(__xludf.DUMMYFUNCTION("""COMPUTED_VALUE"""),45643.6458333333)</f>
        <v>45643.645833333299</v>
      </c>
      <c r="B857" s="1">
        <f ca="1">IFERROR(__xludf.DUMMYFUNCTION("""COMPUTED_VALUE"""),1976.6)</f>
        <v>1976.6</v>
      </c>
      <c r="C857" s="3">
        <f t="shared" ca="1" si="26"/>
        <v>-1.7423802429231815E-3</v>
      </c>
      <c r="D857">
        <f t="shared" ca="1" si="25"/>
        <v>1886.8214285714287</v>
      </c>
    </row>
    <row r="858" spans="1:4" x14ac:dyDescent="0.25">
      <c r="A858" s="2">
        <f ca="1">IFERROR(__xludf.DUMMYFUNCTION("""COMPUTED_VALUE"""),45644.6458333333)</f>
        <v>45644.645833333299</v>
      </c>
      <c r="B858" s="1">
        <f ca="1">IFERROR(__xludf.DUMMYFUNCTION("""COMPUTED_VALUE"""),1979.15)</f>
        <v>1979.15</v>
      </c>
      <c r="C858" s="3">
        <f t="shared" ca="1" si="26"/>
        <v>1.2900941009815754E-3</v>
      </c>
      <c r="D858">
        <f t="shared" ca="1" si="25"/>
        <v>1888.0142857142857</v>
      </c>
    </row>
    <row r="859" spans="1:4" x14ac:dyDescent="0.25">
      <c r="A859" s="2">
        <f ca="1">IFERROR(__xludf.DUMMYFUNCTION("""COMPUTED_VALUE"""),45645.6458333333)</f>
        <v>45645.645833333299</v>
      </c>
      <c r="B859" s="1">
        <f ca="1">IFERROR(__xludf.DUMMYFUNCTION("""COMPUTED_VALUE"""),1946.2)</f>
        <v>1946.2</v>
      </c>
      <c r="C859" s="3">
        <f t="shared" ca="1" si="26"/>
        <v>-1.6648561251042138E-2</v>
      </c>
      <c r="D859">
        <f t="shared" ca="1" si="25"/>
        <v>1888.9295918367345</v>
      </c>
    </row>
    <row r="860" spans="1:4" x14ac:dyDescent="0.25">
      <c r="A860" s="2">
        <f ca="1">IFERROR(__xludf.DUMMYFUNCTION("""COMPUTED_VALUE"""),45646.6458333333)</f>
        <v>45646.645833333299</v>
      </c>
      <c r="B860" s="1">
        <f ca="1">IFERROR(__xludf.DUMMYFUNCTION("""COMPUTED_VALUE"""),1922.15)</f>
        <v>1922.15</v>
      </c>
      <c r="C860" s="3">
        <f t="shared" ca="1" si="26"/>
        <v>-1.2357414448669177E-2</v>
      </c>
      <c r="D860">
        <f t="shared" ca="1" si="25"/>
        <v>1888.8816326530609</v>
      </c>
    </row>
    <row r="861" spans="1:4" x14ac:dyDescent="0.25">
      <c r="A861" s="2">
        <f ca="1">IFERROR(__xludf.DUMMYFUNCTION("""COMPUTED_VALUE"""),45649.6458333333)</f>
        <v>45649.645833333299</v>
      </c>
      <c r="B861" s="1">
        <f ca="1">IFERROR(__xludf.DUMMYFUNCTION("""COMPUTED_VALUE"""),1924.3)</f>
        <v>1924.3</v>
      </c>
      <c r="C861" s="3">
        <f t="shared" ca="1" si="26"/>
        <v>1.1185391358634151E-3</v>
      </c>
      <c r="D861">
        <f t="shared" ca="1" si="25"/>
        <v>1888.2571428571428</v>
      </c>
    </row>
    <row r="862" spans="1:4" x14ac:dyDescent="0.25">
      <c r="A862" s="2">
        <f ca="1">IFERROR(__xludf.DUMMYFUNCTION("""COMPUTED_VALUE"""),45650.6458333333)</f>
        <v>45650.645833333299</v>
      </c>
      <c r="B862" s="1">
        <f ca="1">IFERROR(__xludf.DUMMYFUNCTION("""COMPUTED_VALUE"""),1909.05)</f>
        <v>1909.05</v>
      </c>
      <c r="C862" s="3">
        <f t="shared" ca="1" si="26"/>
        <v>-7.92495972561451E-3</v>
      </c>
      <c r="D862">
        <f t="shared" ca="1" si="25"/>
        <v>1888.3653061224486</v>
      </c>
    </row>
    <row r="863" spans="1:4" x14ac:dyDescent="0.25">
      <c r="A863" s="2">
        <f ca="1">IFERROR(__xludf.DUMMYFUNCTION("""COMPUTED_VALUE"""),45652.6458333333)</f>
        <v>45652.645833333299</v>
      </c>
      <c r="B863" s="1">
        <f ca="1">IFERROR(__xludf.DUMMYFUNCTION("""COMPUTED_VALUE"""),1907.4)</f>
        <v>1907.4</v>
      </c>
      <c r="C863" s="3">
        <f t="shared" ca="1" si="26"/>
        <v>-8.6430423509068052E-4</v>
      </c>
      <c r="D863">
        <f t="shared" ca="1" si="25"/>
        <v>1887.8336734693876</v>
      </c>
    </row>
    <row r="864" spans="1:4" x14ac:dyDescent="0.25">
      <c r="A864" s="2">
        <f ca="1">IFERROR(__xludf.DUMMYFUNCTION("""COMPUTED_VALUE"""),45653.6458333333)</f>
        <v>45653.645833333299</v>
      </c>
      <c r="B864" s="1">
        <f ca="1">IFERROR(__xludf.DUMMYFUNCTION("""COMPUTED_VALUE"""),1916.75)</f>
        <v>1916.75</v>
      </c>
      <c r="C864" s="3">
        <f t="shared" ca="1" si="26"/>
        <v>4.9019607843136777E-3</v>
      </c>
      <c r="D864">
        <f t="shared" ca="1" si="25"/>
        <v>1886.782653061224</v>
      </c>
    </row>
    <row r="865" spans="1:4" x14ac:dyDescent="0.25">
      <c r="A865" s="2">
        <f ca="1">IFERROR(__xludf.DUMMYFUNCTION("""COMPUTED_VALUE"""),45656.6458333333)</f>
        <v>45656.645833333299</v>
      </c>
      <c r="B865" s="1">
        <f ca="1">IFERROR(__xludf.DUMMYFUNCTION("""COMPUTED_VALUE"""),1906)</f>
        <v>1906</v>
      </c>
      <c r="C865" s="3">
        <f t="shared" ca="1" si="26"/>
        <v>-5.6084518064431982E-3</v>
      </c>
      <c r="D865">
        <f t="shared" ca="1" si="25"/>
        <v>1885.9142857142854</v>
      </c>
    </row>
    <row r="866" spans="1:4" x14ac:dyDescent="0.25">
      <c r="A866" s="2">
        <f ca="1">IFERROR(__xludf.DUMMYFUNCTION("""COMPUTED_VALUE"""),45657.6458333333)</f>
        <v>45657.645833333299</v>
      </c>
      <c r="B866" s="1">
        <f ca="1">IFERROR(__xludf.DUMMYFUNCTION("""COMPUTED_VALUE"""),1880)</f>
        <v>1880</v>
      </c>
      <c r="C866" s="3">
        <f t="shared" ca="1" si="26"/>
        <v>-1.3641133263378805E-2</v>
      </c>
      <c r="D866">
        <f t="shared" ca="1" si="25"/>
        <v>1885.6265306122448</v>
      </c>
    </row>
    <row r="867" spans="1:4" x14ac:dyDescent="0.25">
      <c r="A867" s="2">
        <f ca="1">IFERROR(__xludf.DUMMYFUNCTION("""COMPUTED_VALUE"""),45658.6458333333)</f>
        <v>45658.645833333299</v>
      </c>
      <c r="B867" s="1">
        <f ca="1">IFERROR(__xludf.DUMMYFUNCTION("""COMPUTED_VALUE"""),1882.5)</f>
        <v>1882.5</v>
      </c>
      <c r="C867" s="3">
        <f t="shared" ca="1" si="26"/>
        <v>1.3297872340425532E-3</v>
      </c>
      <c r="D867">
        <f t="shared" ca="1" si="25"/>
        <v>1883.8285714285712</v>
      </c>
    </row>
    <row r="868" spans="1:4" x14ac:dyDescent="0.25">
      <c r="A868" s="2">
        <f ca="1">IFERROR(__xludf.DUMMYFUNCTION("""COMPUTED_VALUE"""),45659.6458333333)</f>
        <v>45659.645833333299</v>
      </c>
      <c r="B868" s="1">
        <f ca="1">IFERROR(__xludf.DUMMYFUNCTION("""COMPUTED_VALUE"""),1957.85)</f>
        <v>1957.85</v>
      </c>
      <c r="C868" s="3">
        <f t="shared" ca="1" si="26"/>
        <v>4.0026560424966752E-2</v>
      </c>
      <c r="D868">
        <f t="shared" ca="1" si="25"/>
        <v>1883.8877551020407</v>
      </c>
    </row>
    <row r="869" spans="1:4" x14ac:dyDescent="0.25">
      <c r="A869" s="2">
        <f ca="1">IFERROR(__xludf.DUMMYFUNCTION("""COMPUTED_VALUE"""),45660.6458333333)</f>
        <v>45660.645833333299</v>
      </c>
      <c r="B869" s="1">
        <f ca="1">IFERROR(__xludf.DUMMYFUNCTION("""COMPUTED_VALUE"""),1938.75)</f>
        <v>1938.75</v>
      </c>
      <c r="C869" s="3">
        <f t="shared" ca="1" si="26"/>
        <v>-9.7555992542839899E-3</v>
      </c>
      <c r="D869">
        <f t="shared" ca="1" si="25"/>
        <v>1886.0326530612247</v>
      </c>
    </row>
    <row r="870" spans="1:4" x14ac:dyDescent="0.25">
      <c r="A870" s="2">
        <f ca="1">IFERROR(__xludf.DUMMYFUNCTION("""COMPUTED_VALUE"""),45663.6458333333)</f>
        <v>45663.645833333299</v>
      </c>
      <c r="B870" s="1">
        <f ca="1">IFERROR(__xludf.DUMMYFUNCTION("""COMPUTED_VALUE"""),1937.85)</f>
        <v>1937.85</v>
      </c>
      <c r="C870" s="3">
        <f t="shared" ca="1" si="26"/>
        <v>-4.6421663442944728E-4</v>
      </c>
      <c r="D870">
        <f t="shared" ca="1" si="25"/>
        <v>1887.8112244897959</v>
      </c>
    </row>
    <row r="871" spans="1:4" x14ac:dyDescent="0.25">
      <c r="A871" s="2">
        <f ca="1">IFERROR(__xludf.DUMMYFUNCTION("""COMPUTED_VALUE"""),45664.6458333333)</f>
        <v>45664.645833333299</v>
      </c>
      <c r="B871" s="1">
        <f ca="1">IFERROR(__xludf.DUMMYFUNCTION("""COMPUTED_VALUE"""),1930.85)</f>
        <v>1930.85</v>
      </c>
      <c r="C871" s="3">
        <f t="shared" ca="1" si="26"/>
        <v>-3.6122506901978997E-3</v>
      </c>
      <c r="D871">
        <f t="shared" ca="1" si="25"/>
        <v>1889.1265306122452</v>
      </c>
    </row>
    <row r="872" spans="1:4" x14ac:dyDescent="0.25">
      <c r="A872" s="2">
        <f ca="1">IFERROR(__xludf.DUMMYFUNCTION("""COMPUTED_VALUE"""),45665.6458333333)</f>
        <v>45665.645833333299</v>
      </c>
      <c r="B872" s="1">
        <f ca="1">IFERROR(__xludf.DUMMYFUNCTION("""COMPUTED_VALUE"""),1933.15)</f>
        <v>1933.15</v>
      </c>
      <c r="C872" s="3">
        <f t="shared" ca="1" si="26"/>
        <v>1.1911852293032509E-3</v>
      </c>
      <c r="D872">
        <f t="shared" ca="1" si="25"/>
        <v>1890.5040816326532</v>
      </c>
    </row>
    <row r="873" spans="1:4" x14ac:dyDescent="0.25">
      <c r="A873" s="2">
        <f ca="1">IFERROR(__xludf.DUMMYFUNCTION("""COMPUTED_VALUE"""),45666.6458333333)</f>
        <v>45666.645833333299</v>
      </c>
      <c r="B873" s="1">
        <f ca="1">IFERROR(__xludf.DUMMYFUNCTION("""COMPUTED_VALUE"""),1917.3)</f>
        <v>1917.3</v>
      </c>
      <c r="C873" s="3">
        <f t="shared" ca="1" si="26"/>
        <v>-8.1990533585082053E-3</v>
      </c>
      <c r="D873">
        <f t="shared" ca="1" si="25"/>
        <v>1891.9551020408164</v>
      </c>
    </row>
    <row r="874" spans="1:4" x14ac:dyDescent="0.25">
      <c r="A874" s="2">
        <f ca="1">IFERROR(__xludf.DUMMYFUNCTION("""COMPUTED_VALUE"""),45667.6458333333)</f>
        <v>45667.645833333299</v>
      </c>
      <c r="B874" s="1">
        <f ca="1">IFERROR(__xludf.DUMMYFUNCTION("""COMPUTED_VALUE"""),1966.95)</f>
        <v>1966.95</v>
      </c>
      <c r="C874" s="3">
        <f t="shared" ca="1" si="26"/>
        <v>2.5895790956031967E-2</v>
      </c>
      <c r="D874">
        <f t="shared" ca="1" si="25"/>
        <v>1893.0153061224494</v>
      </c>
    </row>
    <row r="875" spans="1:4" x14ac:dyDescent="0.25">
      <c r="A875" s="2">
        <f ca="1">IFERROR(__xludf.DUMMYFUNCTION("""COMPUTED_VALUE"""),45670.6458333333)</f>
        <v>45670.645833333299</v>
      </c>
      <c r="B875" s="1">
        <f ca="1">IFERROR(__xludf.DUMMYFUNCTION("""COMPUTED_VALUE"""),1962.2)</f>
        <v>1962.2</v>
      </c>
      <c r="C875" s="3">
        <f t="shared" ca="1" si="26"/>
        <v>-2.4149063270545766E-3</v>
      </c>
      <c r="D875">
        <f t="shared" ca="1" si="25"/>
        <v>1895.6204081632659</v>
      </c>
    </row>
    <row r="876" spans="1:4" x14ac:dyDescent="0.25">
      <c r="A876" s="2">
        <f ca="1">IFERROR(__xludf.DUMMYFUNCTION("""COMPUTED_VALUE"""),45671.6458333333)</f>
        <v>45671.645833333299</v>
      </c>
      <c r="B876" s="1">
        <f ca="1">IFERROR(__xludf.DUMMYFUNCTION("""COMPUTED_VALUE"""),1940.05)</f>
        <v>1940.05</v>
      </c>
      <c r="C876" s="3">
        <f t="shared" ca="1" si="26"/>
        <v>-1.1288349811436189E-2</v>
      </c>
      <c r="D876">
        <f t="shared" ca="1" si="25"/>
        <v>1898.8877551020412</v>
      </c>
    </row>
    <row r="877" spans="1:4" x14ac:dyDescent="0.25">
      <c r="A877" s="2">
        <f ca="1">IFERROR(__xludf.DUMMYFUNCTION("""COMPUTED_VALUE"""),45672.6458333333)</f>
        <v>45672.645833333299</v>
      </c>
      <c r="B877" s="1">
        <f ca="1">IFERROR(__xludf.DUMMYFUNCTION("""COMPUTED_VALUE"""),1949.65)</f>
        <v>1949.65</v>
      </c>
      <c r="C877" s="3">
        <f t="shared" ca="1" si="26"/>
        <v>4.9483260740703265E-3</v>
      </c>
      <c r="D877">
        <f t="shared" ca="1" si="25"/>
        <v>1902.6183673469391</v>
      </c>
    </row>
    <row r="878" spans="1:4" x14ac:dyDescent="0.25">
      <c r="A878" s="2">
        <f ca="1">IFERROR(__xludf.DUMMYFUNCTION("""COMPUTED_VALUE"""),45673.6458333333)</f>
        <v>45673.645833333299</v>
      </c>
      <c r="B878" s="1">
        <f ca="1">IFERROR(__xludf.DUMMYFUNCTION("""COMPUTED_VALUE"""),1928.45)</f>
        <v>1928.45</v>
      </c>
      <c r="C878" s="3">
        <f t="shared" ca="1" si="26"/>
        <v>-1.0873746569897183E-2</v>
      </c>
      <c r="D878">
        <f t="shared" ca="1" si="25"/>
        <v>1906.4142857142861</v>
      </c>
    </row>
    <row r="879" spans="1:4" x14ac:dyDescent="0.25">
      <c r="A879" s="2">
        <f ca="1">IFERROR(__xludf.DUMMYFUNCTION("""COMPUTED_VALUE"""),45674.6458333333)</f>
        <v>45674.645833333299</v>
      </c>
      <c r="B879" s="1">
        <f ca="1">IFERROR(__xludf.DUMMYFUNCTION("""COMPUTED_VALUE"""),1815.45)</f>
        <v>1815.45</v>
      </c>
      <c r="C879" s="3">
        <f t="shared" ca="1" si="26"/>
        <v>-5.8596281988125179E-2</v>
      </c>
      <c r="D879">
        <f t="shared" ca="1" si="25"/>
        <v>1909.9704081632656</v>
      </c>
    </row>
    <row r="880" spans="1:4" x14ac:dyDescent="0.25">
      <c r="A880" s="2">
        <f ca="1">IFERROR(__xludf.DUMMYFUNCTION("""COMPUTED_VALUE"""),45677.6458333333)</f>
        <v>45677.645833333299</v>
      </c>
      <c r="B880" s="1">
        <f ca="1">IFERROR(__xludf.DUMMYFUNCTION("""COMPUTED_VALUE"""),1813.3)</f>
        <v>1813.3</v>
      </c>
      <c r="C880" s="3">
        <f t="shared" ca="1" si="26"/>
        <v>-1.1842793797681517E-3</v>
      </c>
      <c r="D880">
        <f t="shared" ca="1" si="25"/>
        <v>1909.8020408163268</v>
      </c>
    </row>
    <row r="881" spans="1:4" x14ac:dyDescent="0.25">
      <c r="A881" s="2">
        <f ca="1">IFERROR(__xludf.DUMMYFUNCTION("""COMPUTED_VALUE"""),45678.6458333333)</f>
        <v>45678.645833333299</v>
      </c>
      <c r="B881" s="1">
        <f ca="1">IFERROR(__xludf.DUMMYFUNCTION("""COMPUTED_VALUE"""),1800.7)</f>
        <v>1800.7</v>
      </c>
      <c r="C881" s="3">
        <f t="shared" ca="1" si="26"/>
        <v>-6.9486571444327518E-3</v>
      </c>
      <c r="D881">
        <f t="shared" ca="1" si="25"/>
        <v>1910.0112244897962</v>
      </c>
    </row>
    <row r="882" spans="1:4" x14ac:dyDescent="0.25">
      <c r="A882" s="2">
        <f ca="1">IFERROR(__xludf.DUMMYFUNCTION("""COMPUTED_VALUE"""),45679.6458333333)</f>
        <v>45679.645833333299</v>
      </c>
      <c r="B882" s="1">
        <f ca="1">IFERROR(__xludf.DUMMYFUNCTION("""COMPUTED_VALUE"""),1856.45)</f>
        <v>1856.45</v>
      </c>
      <c r="C882" s="3">
        <f t="shared" ca="1" si="26"/>
        <v>3.096018215138557E-2</v>
      </c>
      <c r="D882">
        <f t="shared" ca="1" si="25"/>
        <v>1909.4142857142861</v>
      </c>
    </row>
    <row r="883" spans="1:4" x14ac:dyDescent="0.25">
      <c r="A883" s="2">
        <f ca="1">IFERROR(__xludf.DUMMYFUNCTION("""COMPUTED_VALUE"""),45680.6458333333)</f>
        <v>45680.645833333299</v>
      </c>
      <c r="B883" s="1">
        <f ca="1">IFERROR(__xludf.DUMMYFUNCTION("""COMPUTED_VALUE"""),1865.45)</f>
        <v>1865.45</v>
      </c>
      <c r="C883" s="3">
        <f t="shared" ca="1" si="26"/>
        <v>4.8479625090899299E-3</v>
      </c>
      <c r="D883">
        <f t="shared" ca="1" si="25"/>
        <v>1909.3397959183676</v>
      </c>
    </row>
    <row r="884" spans="1:4" x14ac:dyDescent="0.25">
      <c r="A884" s="2">
        <f ca="1">IFERROR(__xludf.DUMMYFUNCTION("""COMPUTED_VALUE"""),45681.6458333333)</f>
        <v>45681.645833333299</v>
      </c>
      <c r="B884" s="1">
        <f ca="1">IFERROR(__xludf.DUMMYFUNCTION("""COMPUTED_VALUE"""),1875.45)</f>
        <v>1875.45</v>
      </c>
      <c r="C884" s="3">
        <f t="shared" ca="1" si="26"/>
        <v>5.3606368436570264E-3</v>
      </c>
      <c r="D884">
        <f t="shared" ref="D884:D947" ca="1" si="27">AVERAGE(B835:B883)</f>
        <v>1909.2714285714283</v>
      </c>
    </row>
    <row r="885" spans="1:4" x14ac:dyDescent="0.25">
      <c r="A885" s="2">
        <f ca="1">IFERROR(__xludf.DUMMYFUNCTION("""COMPUTED_VALUE"""),45684.6458333333)</f>
        <v>45684.645833333299</v>
      </c>
      <c r="B885" s="1">
        <f ca="1">IFERROR(__xludf.DUMMYFUNCTION("""COMPUTED_VALUE"""),1822)</f>
        <v>1822</v>
      </c>
      <c r="C885" s="3">
        <f t="shared" ca="1" si="26"/>
        <v>-2.8499826708256709E-2</v>
      </c>
      <c r="D885">
        <f t="shared" ca="1" si="27"/>
        <v>1909.4153061224486</v>
      </c>
    </row>
    <row r="886" spans="1:4" x14ac:dyDescent="0.25">
      <c r="A886" s="2">
        <f ca="1">IFERROR(__xludf.DUMMYFUNCTION("""COMPUTED_VALUE"""),45685.6458333333)</f>
        <v>45685.645833333299</v>
      </c>
      <c r="B886" s="1">
        <f ca="1">IFERROR(__xludf.DUMMYFUNCTION("""COMPUTED_VALUE"""),1829.75)</f>
        <v>1829.75</v>
      </c>
      <c r="C886" s="3">
        <f t="shared" ca="1" si="26"/>
        <v>4.2535675082327109E-3</v>
      </c>
      <c r="D886">
        <f t="shared" ca="1" si="27"/>
        <v>1908.5469387755097</v>
      </c>
    </row>
    <row r="887" spans="1:4" x14ac:dyDescent="0.25">
      <c r="A887" s="2">
        <f ca="1">IFERROR(__xludf.DUMMYFUNCTION("""COMPUTED_VALUE"""),45686.6458333333)</f>
        <v>45686.645833333299</v>
      </c>
      <c r="B887" s="1">
        <f ca="1">IFERROR(__xludf.DUMMYFUNCTION("""COMPUTED_VALUE"""),1881.25)</f>
        <v>1881.25</v>
      </c>
      <c r="C887" s="3">
        <f t="shared" ca="1" si="26"/>
        <v>2.8145921573985516E-2</v>
      </c>
      <c r="D887">
        <f t="shared" ca="1" si="27"/>
        <v>1908.9204081632649</v>
      </c>
    </row>
    <row r="888" spans="1:4" x14ac:dyDescent="0.25">
      <c r="A888" s="2">
        <f ca="1">IFERROR(__xludf.DUMMYFUNCTION("""COMPUTED_VALUE"""),45687.6458333333)</f>
        <v>45687.645833333299</v>
      </c>
      <c r="B888" s="1">
        <f ca="1">IFERROR(__xludf.DUMMYFUNCTION("""COMPUTED_VALUE"""),1859.95)</f>
        <v>1859.95</v>
      </c>
      <c r="C888" s="3">
        <f t="shared" ca="1" si="26"/>
        <v>-1.13222591362126E-2</v>
      </c>
      <c r="D888">
        <f t="shared" ca="1" si="27"/>
        <v>1910.0734693877546</v>
      </c>
    </row>
    <row r="889" spans="1:4" x14ac:dyDescent="0.25">
      <c r="A889" s="2">
        <f ca="1">IFERROR(__xludf.DUMMYFUNCTION("""COMPUTED_VALUE"""),45688.6458333333)</f>
        <v>45688.645833333299</v>
      </c>
      <c r="B889" s="1">
        <f ca="1">IFERROR(__xludf.DUMMYFUNCTION("""COMPUTED_VALUE"""),1879.8)</f>
        <v>1879.8</v>
      </c>
      <c r="C889" s="3">
        <f t="shared" ca="1" si="26"/>
        <v>1.0672329901341385E-2</v>
      </c>
      <c r="D889">
        <f t="shared" ca="1" si="27"/>
        <v>1910.6020408163263</v>
      </c>
    </row>
    <row r="890" spans="1:4" x14ac:dyDescent="0.25">
      <c r="A890" s="2">
        <f ca="1">IFERROR(__xludf.DUMMYFUNCTION("""COMPUTED_VALUE"""),45691.6458333333)</f>
        <v>45691.645833333299</v>
      </c>
      <c r="B890" s="1">
        <f ca="1">IFERROR(__xludf.DUMMYFUNCTION("""COMPUTED_VALUE"""),1863.3)</f>
        <v>1863.3</v>
      </c>
      <c r="C890" s="3">
        <f t="shared" ca="1" si="26"/>
        <v>-8.7775295244174913E-3</v>
      </c>
      <c r="D890">
        <f t="shared" ca="1" si="27"/>
        <v>1910.1438775510201</v>
      </c>
    </row>
    <row r="891" spans="1:4" x14ac:dyDescent="0.25">
      <c r="A891" s="2">
        <f ca="1">IFERROR(__xludf.DUMMYFUNCTION("""COMPUTED_VALUE"""),45692.6458333333)</f>
        <v>45692.645833333299</v>
      </c>
      <c r="B891" s="1">
        <f ca="1">IFERROR(__xludf.DUMMYFUNCTION("""COMPUTED_VALUE"""),1898.8)</f>
        <v>1898.8</v>
      </c>
      <c r="C891" s="3">
        <f t="shared" ca="1" si="26"/>
        <v>1.9052219181022918E-2</v>
      </c>
      <c r="D891">
        <f t="shared" ca="1" si="27"/>
        <v>1909.6051020408163</v>
      </c>
    </row>
    <row r="892" spans="1:4" x14ac:dyDescent="0.25">
      <c r="A892" s="2">
        <f ca="1">IFERROR(__xludf.DUMMYFUNCTION("""COMPUTED_VALUE"""),45693.6458333333)</f>
        <v>45693.645833333299</v>
      </c>
      <c r="B892" s="1">
        <f ca="1">IFERROR(__xludf.DUMMYFUNCTION("""COMPUTED_VALUE"""),1897.05)</f>
        <v>1897.05</v>
      </c>
      <c r="C892" s="3">
        <f t="shared" ca="1" si="26"/>
        <v>-9.2163471666315575E-4</v>
      </c>
      <c r="D892">
        <f t="shared" ca="1" si="27"/>
        <v>1909.0877551020405</v>
      </c>
    </row>
    <row r="893" spans="1:4" x14ac:dyDescent="0.25">
      <c r="A893" s="2">
        <f ca="1">IFERROR(__xludf.DUMMYFUNCTION("""COMPUTED_VALUE"""),45694.6458333333)</f>
        <v>45694.645833333299</v>
      </c>
      <c r="B893" s="1">
        <f ca="1">IFERROR(__xludf.DUMMYFUNCTION("""COMPUTED_VALUE"""),1915.65)</f>
        <v>1915.65</v>
      </c>
      <c r="C893" s="3">
        <f t="shared" ca="1" si="26"/>
        <v>9.8046967660315419E-3</v>
      </c>
      <c r="D893">
        <f t="shared" ca="1" si="27"/>
        <v>1908.5275510204081</v>
      </c>
    </row>
    <row r="894" spans="1:4" x14ac:dyDescent="0.25">
      <c r="A894" s="2">
        <f ca="1">IFERROR(__xludf.DUMMYFUNCTION("""COMPUTED_VALUE"""),45695.6458333333)</f>
        <v>45695.645833333299</v>
      </c>
      <c r="B894" s="1">
        <f ca="1">IFERROR(__xludf.DUMMYFUNCTION("""COMPUTED_VALUE"""),1903.65)</f>
        <v>1903.65</v>
      </c>
      <c r="C894" s="3">
        <f t="shared" ca="1" si="26"/>
        <v>-6.2641923107039383E-3</v>
      </c>
      <c r="D894">
        <f t="shared" ca="1" si="27"/>
        <v>1909.7316326530611</v>
      </c>
    </row>
    <row r="895" spans="1:4" x14ac:dyDescent="0.25">
      <c r="A895" s="2">
        <f ca="1">IFERROR(__xludf.DUMMYFUNCTION("""COMPUTED_VALUE"""),45698.6458333333)</f>
        <v>45698.645833333299</v>
      </c>
      <c r="B895" s="1">
        <f ca="1">IFERROR(__xludf.DUMMYFUNCTION("""COMPUTED_VALUE"""),1880.3)</f>
        <v>1880.3</v>
      </c>
      <c r="C895" s="3">
        <f t="shared" ca="1" si="26"/>
        <v>-1.2265910225093969E-2</v>
      </c>
      <c r="D895">
        <f t="shared" ca="1" si="27"/>
        <v>1910.6663265306122</v>
      </c>
    </row>
    <row r="896" spans="1:4" x14ac:dyDescent="0.25">
      <c r="A896" s="2">
        <f ca="1">IFERROR(__xludf.DUMMYFUNCTION("""COMPUTED_VALUE"""),45699.6458333333)</f>
        <v>45699.645833333299</v>
      </c>
      <c r="B896" s="1">
        <f ca="1">IFERROR(__xludf.DUMMYFUNCTION("""COMPUTED_VALUE"""),1875.65)</f>
        <v>1875.65</v>
      </c>
      <c r="C896" s="3">
        <f t="shared" ca="1" si="26"/>
        <v>-2.4730096261234183E-3</v>
      </c>
      <c r="D896">
        <f t="shared" ca="1" si="27"/>
        <v>1910.6765306122445</v>
      </c>
    </row>
    <row r="897" spans="1:4" x14ac:dyDescent="0.25">
      <c r="A897" s="2">
        <f ca="1">IFERROR(__xludf.DUMMYFUNCTION("""COMPUTED_VALUE"""),45700.6458333333)</f>
        <v>45700.645833333299</v>
      </c>
      <c r="B897" s="1">
        <f ca="1">IFERROR(__xludf.DUMMYFUNCTION("""COMPUTED_VALUE"""),1863.15)</f>
        <v>1863.15</v>
      </c>
      <c r="C897" s="3">
        <f t="shared" ca="1" si="26"/>
        <v>-6.6643563564630923E-3</v>
      </c>
      <c r="D897">
        <f t="shared" ca="1" si="27"/>
        <v>1910.3408163265303</v>
      </c>
    </row>
    <row r="898" spans="1:4" x14ac:dyDescent="0.25">
      <c r="A898" s="2">
        <f ca="1">IFERROR(__xludf.DUMMYFUNCTION("""COMPUTED_VALUE"""),45701.6458333333)</f>
        <v>45701.645833333299</v>
      </c>
      <c r="B898" s="1">
        <f ca="1">IFERROR(__xludf.DUMMYFUNCTION("""COMPUTED_VALUE"""),1843.25)</f>
        <v>1843.25</v>
      </c>
      <c r="C898" s="3">
        <f t="shared" ca="1" si="26"/>
        <v>-1.0680836218232612E-2</v>
      </c>
      <c r="D898">
        <f t="shared" ca="1" si="27"/>
        <v>1909.8081632653057</v>
      </c>
    </row>
    <row r="899" spans="1:4" x14ac:dyDescent="0.25">
      <c r="A899" s="2">
        <f ca="1">IFERROR(__xludf.DUMMYFUNCTION("""COMPUTED_VALUE"""),45702.6458333333)</f>
        <v>45702.645833333299</v>
      </c>
      <c r="B899" s="1">
        <f ca="1">IFERROR(__xludf.DUMMYFUNCTION("""COMPUTED_VALUE"""),1856.4)</f>
        <v>1856.4</v>
      </c>
      <c r="C899" s="3">
        <f t="shared" ca="1" si="26"/>
        <v>7.1341380713414301E-3</v>
      </c>
      <c r="D899">
        <f t="shared" ca="1" si="27"/>
        <v>1907.9387755102039</v>
      </c>
    </row>
    <row r="900" spans="1:4" x14ac:dyDescent="0.25">
      <c r="A900" s="2">
        <f ca="1">IFERROR(__xludf.DUMMYFUNCTION("""COMPUTED_VALUE"""),45705.6458333333)</f>
        <v>45705.645833333299</v>
      </c>
      <c r="B900" s="1">
        <f ca="1">IFERROR(__xludf.DUMMYFUNCTION("""COMPUTED_VALUE"""),1842.3)</f>
        <v>1842.3</v>
      </c>
      <c r="C900" s="3">
        <f t="shared" ref="C900:C963" ca="1" si="28">(B900-B899)/B899</f>
        <v>-7.595345830640021E-3</v>
      </c>
      <c r="D900">
        <f t="shared" ca="1" si="27"/>
        <v>1906.5918367346933</v>
      </c>
    </row>
    <row r="901" spans="1:4" x14ac:dyDescent="0.25">
      <c r="A901" s="2">
        <f ca="1">IFERROR(__xludf.DUMMYFUNCTION("""COMPUTED_VALUE"""),45706.6458333333)</f>
        <v>45706.645833333299</v>
      </c>
      <c r="B901" s="1">
        <f ca="1">IFERROR(__xludf.DUMMYFUNCTION("""COMPUTED_VALUE"""),1851.95)</f>
        <v>1851.95</v>
      </c>
      <c r="C901" s="3">
        <f t="shared" ca="1" si="28"/>
        <v>5.2380176952722636E-3</v>
      </c>
      <c r="D901">
        <f t="shared" ca="1" si="27"/>
        <v>1904.9316326530609</v>
      </c>
    </row>
    <row r="902" spans="1:4" x14ac:dyDescent="0.25">
      <c r="A902" s="2">
        <f ca="1">IFERROR(__xludf.DUMMYFUNCTION("""COMPUTED_VALUE"""),45707.6458333333)</f>
        <v>45707.645833333299</v>
      </c>
      <c r="B902" s="1">
        <f ca="1">IFERROR(__xludf.DUMMYFUNCTION("""COMPUTED_VALUE"""),1810.8)</f>
        <v>1810.8</v>
      </c>
      <c r="C902" s="3">
        <f t="shared" ca="1" si="28"/>
        <v>-2.2219822349415528E-2</v>
      </c>
      <c r="D902">
        <f t="shared" ca="1" si="27"/>
        <v>1902.9602040816319</v>
      </c>
    </row>
    <row r="903" spans="1:4" x14ac:dyDescent="0.25">
      <c r="A903" s="2">
        <f ca="1">IFERROR(__xludf.DUMMYFUNCTION("""COMPUTED_VALUE"""),45708.6458333333)</f>
        <v>45708.645833333299</v>
      </c>
      <c r="B903" s="1">
        <f ca="1">IFERROR(__xludf.DUMMYFUNCTION("""COMPUTED_VALUE"""),1825.15)</f>
        <v>1825.15</v>
      </c>
      <c r="C903" s="3">
        <f t="shared" ca="1" si="28"/>
        <v>7.9246741771593424E-3</v>
      </c>
      <c r="D903">
        <f t="shared" ca="1" si="27"/>
        <v>1899.6265306122446</v>
      </c>
    </row>
    <row r="904" spans="1:4" x14ac:dyDescent="0.25">
      <c r="A904" s="2">
        <f ca="1">IFERROR(__xludf.DUMMYFUNCTION("""COMPUTED_VALUE"""),45709.6458333333)</f>
        <v>45709.645833333299</v>
      </c>
      <c r="B904" s="1">
        <f ca="1">IFERROR(__xludf.DUMMYFUNCTION("""COMPUTED_VALUE"""),1815)</f>
        <v>1815</v>
      </c>
      <c r="C904" s="3">
        <f t="shared" ca="1" si="28"/>
        <v>-5.5611867517738767E-3</v>
      </c>
      <c r="D904">
        <f t="shared" ca="1" si="27"/>
        <v>1896.3234693877544</v>
      </c>
    </row>
    <row r="905" spans="1:4" x14ac:dyDescent="0.25">
      <c r="A905" s="2">
        <f ca="1">IFERROR(__xludf.DUMMYFUNCTION("""COMPUTED_VALUE"""),45712.6458333333)</f>
        <v>45712.645833333299</v>
      </c>
      <c r="B905" s="1">
        <f ca="1">IFERROR(__xludf.DUMMYFUNCTION("""COMPUTED_VALUE"""),1764.1)</f>
        <v>1764.1</v>
      </c>
      <c r="C905" s="3">
        <f t="shared" ca="1" si="28"/>
        <v>-2.8044077134986276E-2</v>
      </c>
      <c r="D905">
        <f t="shared" ca="1" si="27"/>
        <v>1892.554081632652</v>
      </c>
    </row>
    <row r="906" spans="1:4" x14ac:dyDescent="0.25">
      <c r="A906" s="2">
        <f ca="1">IFERROR(__xludf.DUMMYFUNCTION("""COMPUTED_VALUE"""),45713.6458333333)</f>
        <v>45713.645833333299</v>
      </c>
      <c r="B906" s="1">
        <f ca="1">IFERROR(__xludf.DUMMYFUNCTION("""COMPUTED_VALUE"""),1767.7)</f>
        <v>1767.7</v>
      </c>
      <c r="C906" s="3">
        <f t="shared" ca="1" si="28"/>
        <v>2.0407006405533342E-3</v>
      </c>
      <c r="D906">
        <f t="shared" ca="1" si="27"/>
        <v>1888.1469387755096</v>
      </c>
    </row>
    <row r="907" spans="1:4" x14ac:dyDescent="0.25">
      <c r="A907" s="2">
        <f ca="1">IFERROR(__xludf.DUMMYFUNCTION("""COMPUTED_VALUE"""),45715.6458333333)</f>
        <v>45715.645833333299</v>
      </c>
      <c r="B907" s="1">
        <f ca="1">IFERROR(__xludf.DUMMYFUNCTION("""COMPUTED_VALUE"""),1764.3)</f>
        <v>1764.3</v>
      </c>
      <c r="C907" s="3">
        <f t="shared" ca="1" si="28"/>
        <v>-1.9234032924139225E-3</v>
      </c>
      <c r="D907">
        <f t="shared" ca="1" si="27"/>
        <v>1883.8836734693868</v>
      </c>
    </row>
    <row r="908" spans="1:4" x14ac:dyDescent="0.25">
      <c r="A908" s="2">
        <f ca="1">IFERROR(__xludf.DUMMYFUNCTION("""COMPUTED_VALUE"""),45716.6458333333)</f>
        <v>45716.645833333299</v>
      </c>
      <c r="B908" s="1">
        <f ca="1">IFERROR(__xludf.DUMMYFUNCTION("""COMPUTED_VALUE"""),1687.7)</f>
        <v>1687.7</v>
      </c>
      <c r="C908" s="3">
        <f t="shared" ca="1" si="28"/>
        <v>-4.3416652496740864E-2</v>
      </c>
      <c r="D908">
        <f t="shared" ca="1" si="27"/>
        <v>1879.4989795918361</v>
      </c>
    </row>
    <row r="909" spans="1:4" x14ac:dyDescent="0.25">
      <c r="A909" s="2">
        <f ca="1">IFERROR(__xludf.DUMMYFUNCTION("""COMPUTED_VALUE"""),45719.6458333333)</f>
        <v>45719.645833333299</v>
      </c>
      <c r="B909" s="1">
        <f ca="1">IFERROR(__xludf.DUMMYFUNCTION("""COMPUTED_VALUE"""),1708.6)</f>
        <v>1708.6</v>
      </c>
      <c r="C909" s="3">
        <f t="shared" ca="1" si="28"/>
        <v>1.238371748533499E-2</v>
      </c>
      <c r="D909">
        <f t="shared" ca="1" si="27"/>
        <v>1874.2234693877547</v>
      </c>
    </row>
    <row r="910" spans="1:4" x14ac:dyDescent="0.25">
      <c r="A910" s="2">
        <f ca="1">IFERROR(__xludf.DUMMYFUNCTION("""COMPUTED_VALUE"""),45720.6458333333)</f>
        <v>45720.645833333299</v>
      </c>
      <c r="B910" s="1">
        <f ca="1">IFERROR(__xludf.DUMMYFUNCTION("""COMPUTED_VALUE"""),1688.3)</f>
        <v>1688.3</v>
      </c>
      <c r="C910" s="3">
        <f t="shared" ca="1" si="28"/>
        <v>-1.1881072222872501E-2</v>
      </c>
      <c r="D910">
        <f t="shared" ca="1" si="27"/>
        <v>1869.8653061224486</v>
      </c>
    </row>
    <row r="911" spans="1:4" x14ac:dyDescent="0.25">
      <c r="A911" s="2">
        <f ca="1">IFERROR(__xludf.DUMMYFUNCTION("""COMPUTED_VALUE"""),45721.6458333333)</f>
        <v>45721.645833333299</v>
      </c>
      <c r="B911" s="1">
        <f ca="1">IFERROR(__xludf.DUMMYFUNCTION("""COMPUTED_VALUE"""),1711.5)</f>
        <v>1711.5</v>
      </c>
      <c r="C911" s="3">
        <f t="shared" ca="1" si="28"/>
        <v>1.3741633595924922E-2</v>
      </c>
      <c r="D911">
        <f t="shared" ca="1" si="27"/>
        <v>1865.048979591837</v>
      </c>
    </row>
    <row r="912" spans="1:4" x14ac:dyDescent="0.25">
      <c r="A912" s="2">
        <f ca="1">IFERROR(__xludf.DUMMYFUNCTION("""COMPUTED_VALUE"""),45722.6458333333)</f>
        <v>45722.645833333299</v>
      </c>
      <c r="B912" s="1">
        <f ca="1">IFERROR(__xludf.DUMMYFUNCTION("""COMPUTED_VALUE"""),1715.85)</f>
        <v>1715.85</v>
      </c>
      <c r="C912" s="3">
        <f t="shared" ca="1" si="28"/>
        <v>2.5416301489920592E-3</v>
      </c>
      <c r="D912">
        <f t="shared" ca="1" si="27"/>
        <v>1861.0173469387755</v>
      </c>
    </row>
    <row r="913" spans="1:4" x14ac:dyDescent="0.25">
      <c r="A913" s="2">
        <f ca="1">IFERROR(__xludf.DUMMYFUNCTION("""COMPUTED_VALUE"""),45723.6458333333)</f>
        <v>45723.645833333299</v>
      </c>
      <c r="B913" s="1">
        <f ca="1">IFERROR(__xludf.DUMMYFUNCTION("""COMPUTED_VALUE"""),1686)</f>
        <v>1686</v>
      </c>
      <c r="C913" s="3">
        <f t="shared" ca="1" si="28"/>
        <v>-1.7396625579158966E-2</v>
      </c>
      <c r="D913">
        <f t="shared" ca="1" si="27"/>
        <v>1857.1081632653065</v>
      </c>
    </row>
    <row r="914" spans="1:4" x14ac:dyDescent="0.25">
      <c r="A914" s="2">
        <f ca="1">IFERROR(__xludf.DUMMYFUNCTION("""COMPUTED_VALUE"""),45726.6458333333)</f>
        <v>45726.645833333299</v>
      </c>
      <c r="B914" s="1">
        <f ca="1">IFERROR(__xludf.DUMMYFUNCTION("""COMPUTED_VALUE"""),1701.45)</f>
        <v>1701.45</v>
      </c>
      <c r="C914" s="3">
        <f t="shared" ca="1" si="28"/>
        <v>9.1637010676156854E-3</v>
      </c>
      <c r="D914">
        <f t="shared" ca="1" si="27"/>
        <v>1852.3989795918374</v>
      </c>
    </row>
    <row r="915" spans="1:4" x14ac:dyDescent="0.25">
      <c r="A915" s="2">
        <f ca="1">IFERROR(__xludf.DUMMYFUNCTION("""COMPUTED_VALUE"""),45727.6458333333)</f>
        <v>45727.645833333299</v>
      </c>
      <c r="B915" s="1">
        <f ca="1">IFERROR(__xludf.DUMMYFUNCTION("""COMPUTED_VALUE"""),1661.6)</f>
        <v>1661.6</v>
      </c>
      <c r="C915" s="3">
        <f t="shared" ca="1" si="28"/>
        <v>-2.3421199565076926E-2</v>
      </c>
      <c r="D915">
        <f t="shared" ca="1" si="27"/>
        <v>1848.224489795919</v>
      </c>
    </row>
    <row r="916" spans="1:4" x14ac:dyDescent="0.25">
      <c r="A916" s="2">
        <f ca="1">IFERROR(__xludf.DUMMYFUNCTION("""COMPUTED_VALUE"""),45728.6458333333)</f>
        <v>45728.645833333299</v>
      </c>
      <c r="B916" s="1">
        <f ca="1">IFERROR(__xludf.DUMMYFUNCTION("""COMPUTED_VALUE"""),1590.85)</f>
        <v>1590.85</v>
      </c>
      <c r="C916" s="3">
        <f t="shared" ca="1" si="28"/>
        <v>-4.2579441502166589E-2</v>
      </c>
      <c r="D916">
        <f t="shared" ca="1" si="27"/>
        <v>1843.7673469387764</v>
      </c>
    </row>
    <row r="917" spans="1:4" x14ac:dyDescent="0.25">
      <c r="A917" s="2">
        <f ca="1">IFERROR(__xludf.DUMMYFUNCTION("""COMPUTED_VALUE"""),45729.6458333333)</f>
        <v>45729.645833333299</v>
      </c>
      <c r="B917" s="1">
        <f ca="1">IFERROR(__xludf.DUMMYFUNCTION("""COMPUTED_VALUE"""),1579.85)</f>
        <v>1579.85</v>
      </c>
      <c r="C917" s="3">
        <f t="shared" ca="1" si="28"/>
        <v>-6.9145425401514913E-3</v>
      </c>
      <c r="D917">
        <f t="shared" ca="1" si="27"/>
        <v>1837.8153061224498</v>
      </c>
    </row>
    <row r="918" spans="1:4" x14ac:dyDescent="0.25">
      <c r="A918" s="2">
        <f ca="1">IFERROR(__xludf.DUMMYFUNCTION("""COMPUTED_VALUE"""),45733.6458333333)</f>
        <v>45733.645833333299</v>
      </c>
      <c r="B918" s="1">
        <f ca="1">IFERROR(__xludf.DUMMYFUNCTION("""COMPUTED_VALUE"""),1590.05)</f>
        <v>1590.05</v>
      </c>
      <c r="C918" s="3">
        <f t="shared" ca="1" si="28"/>
        <v>6.4563091432731246E-3</v>
      </c>
      <c r="D918">
        <f t="shared" ca="1" si="27"/>
        <v>1830.1010204081645</v>
      </c>
    </row>
    <row r="919" spans="1:4" x14ac:dyDescent="0.25">
      <c r="A919" s="2">
        <f ca="1">IFERROR(__xludf.DUMMYFUNCTION("""COMPUTED_VALUE"""),45734.6458333333)</f>
        <v>45734.645833333299</v>
      </c>
      <c r="B919" s="1">
        <f ca="1">IFERROR(__xludf.DUMMYFUNCTION("""COMPUTED_VALUE"""),1609.35)</f>
        <v>1609.35</v>
      </c>
      <c r="C919" s="3">
        <f t="shared" ca="1" si="28"/>
        <v>1.2137983082292981E-2</v>
      </c>
      <c r="D919">
        <f t="shared" ca="1" si="27"/>
        <v>1822.9846938775522</v>
      </c>
    </row>
    <row r="920" spans="1:4" x14ac:dyDescent="0.25">
      <c r="A920" s="2">
        <f ca="1">IFERROR(__xludf.DUMMYFUNCTION("""COMPUTED_VALUE"""),45735.6458333333)</f>
        <v>45735.645833333299</v>
      </c>
      <c r="B920" s="1">
        <f ca="1">IFERROR(__xludf.DUMMYFUNCTION("""COMPUTED_VALUE"""),1586.55)</f>
        <v>1586.55</v>
      </c>
      <c r="C920" s="3">
        <f t="shared" ca="1" si="28"/>
        <v>-1.4167210364432819E-2</v>
      </c>
      <c r="D920">
        <f t="shared" ca="1" si="27"/>
        <v>1816.2806122448992</v>
      </c>
    </row>
    <row r="921" spans="1:4" x14ac:dyDescent="0.25">
      <c r="A921" s="2">
        <f ca="1">IFERROR(__xludf.DUMMYFUNCTION("""COMPUTED_VALUE"""),45736.6458333333)</f>
        <v>45736.645833333299</v>
      </c>
      <c r="B921" s="1">
        <f ca="1">IFERROR(__xludf.DUMMYFUNCTION("""COMPUTED_VALUE"""),1615.55)</f>
        <v>1615.55</v>
      </c>
      <c r="C921" s="3">
        <f t="shared" ca="1" si="28"/>
        <v>1.8278654943115567E-2</v>
      </c>
      <c r="D921">
        <f t="shared" ca="1" si="27"/>
        <v>1809.2540816326541</v>
      </c>
    </row>
    <row r="922" spans="1:4" x14ac:dyDescent="0.25">
      <c r="A922" s="2">
        <f ca="1">IFERROR(__xludf.DUMMYFUNCTION("""COMPUTED_VALUE"""),45737.6458333333)</f>
        <v>45737.645833333299</v>
      </c>
      <c r="B922" s="1">
        <f ca="1">IFERROR(__xludf.DUMMYFUNCTION("""COMPUTED_VALUE"""),1592.55)</f>
        <v>1592.55</v>
      </c>
      <c r="C922" s="3">
        <f t="shared" ca="1" si="28"/>
        <v>-1.4236637677571107E-2</v>
      </c>
      <c r="D922">
        <f t="shared" ca="1" si="27"/>
        <v>1802.772448979593</v>
      </c>
    </row>
    <row r="923" spans="1:4" x14ac:dyDescent="0.25">
      <c r="A923" s="2">
        <f ca="1">IFERROR(__xludf.DUMMYFUNCTION("""COMPUTED_VALUE"""),45740.6458333333)</f>
        <v>45740.645833333299</v>
      </c>
      <c r="B923" s="1">
        <f ca="1">IFERROR(__xludf.DUMMYFUNCTION("""COMPUTED_VALUE"""),1592.75)</f>
        <v>1592.75</v>
      </c>
      <c r="C923" s="3">
        <f t="shared" ca="1" si="28"/>
        <v>1.2558475401089163E-4</v>
      </c>
      <c r="D923">
        <f t="shared" ca="1" si="27"/>
        <v>1796.1448979591851</v>
      </c>
    </row>
    <row r="924" spans="1:4" x14ac:dyDescent="0.25">
      <c r="A924" s="2">
        <f ca="1">IFERROR(__xludf.DUMMYFUNCTION("""COMPUTED_VALUE"""),45741.6458333333)</f>
        <v>45741.645833333299</v>
      </c>
      <c r="B924" s="1">
        <f ca="1">IFERROR(__xludf.DUMMYFUNCTION("""COMPUTED_VALUE"""),1628.45)</f>
        <v>1628.45</v>
      </c>
      <c r="C924" s="3">
        <f t="shared" ca="1" si="28"/>
        <v>2.2414063726259644E-2</v>
      </c>
      <c r="D924">
        <f t="shared" ca="1" si="27"/>
        <v>1788.5081632653073</v>
      </c>
    </row>
    <row r="925" spans="1:4" x14ac:dyDescent="0.25">
      <c r="A925" s="2">
        <f ca="1">IFERROR(__xludf.DUMMYFUNCTION("""COMPUTED_VALUE"""),45742.6458333333)</f>
        <v>45742.645833333299</v>
      </c>
      <c r="B925" s="1">
        <f ca="1">IFERROR(__xludf.DUMMYFUNCTION("""COMPUTED_VALUE"""),1599.45)</f>
        <v>1599.45</v>
      </c>
      <c r="C925" s="3">
        <f t="shared" ca="1" si="28"/>
        <v>-1.780834535908379E-2</v>
      </c>
      <c r="D925">
        <f t="shared" ca="1" si="27"/>
        <v>1781.6969387755112</v>
      </c>
    </row>
    <row r="926" spans="1:4" x14ac:dyDescent="0.25">
      <c r="A926" s="2">
        <f ca="1">IFERROR(__xludf.DUMMYFUNCTION("""COMPUTED_VALUE"""),45743.6458333333)</f>
        <v>45743.645833333299</v>
      </c>
      <c r="B926" s="1">
        <f ca="1">IFERROR(__xludf.DUMMYFUNCTION("""COMPUTED_VALUE"""),1603.55)</f>
        <v>1603.55</v>
      </c>
      <c r="C926" s="3">
        <f t="shared" ca="1" si="28"/>
        <v>2.5633811622744751E-3</v>
      </c>
      <c r="D926">
        <f t="shared" ca="1" si="27"/>
        <v>1774.7459183673475</v>
      </c>
    </row>
    <row r="927" spans="1:4" x14ac:dyDescent="0.25">
      <c r="A927" s="2">
        <f ca="1">IFERROR(__xludf.DUMMYFUNCTION("""COMPUTED_VALUE"""),45744.6458333333)</f>
        <v>45744.645833333299</v>
      </c>
      <c r="B927" s="1">
        <f ca="1">IFERROR(__xludf.DUMMYFUNCTION("""COMPUTED_VALUE"""),1570.65)</f>
        <v>1570.65</v>
      </c>
      <c r="C927" s="3">
        <f t="shared" ca="1" si="28"/>
        <v>-2.05169779551619E-2</v>
      </c>
      <c r="D927">
        <f t="shared" ca="1" si="27"/>
        <v>1767.6826530612252</v>
      </c>
    </row>
    <row r="928" spans="1:4" x14ac:dyDescent="0.25">
      <c r="A928" s="2">
        <f ca="1">IFERROR(__xludf.DUMMYFUNCTION("""COMPUTED_VALUE"""),45748.6458333333)</f>
        <v>45748.645833333299</v>
      </c>
      <c r="B928" s="1">
        <f ca="1">IFERROR(__xludf.DUMMYFUNCTION("""COMPUTED_VALUE"""),1526.5)</f>
        <v>1526.5</v>
      </c>
      <c r="C928" s="3">
        <f t="shared" ca="1" si="28"/>
        <v>-2.8109381466271982E-2</v>
      </c>
      <c r="D928">
        <f t="shared" ca="1" si="27"/>
        <v>1760.3806122448984</v>
      </c>
    </row>
    <row r="929" spans="1:4" x14ac:dyDescent="0.25">
      <c r="A929" s="2">
        <f ca="1">IFERROR(__xludf.DUMMYFUNCTION("""COMPUTED_VALUE"""),45749.6458333333)</f>
        <v>45749.645833333299</v>
      </c>
      <c r="B929" s="1">
        <f ca="1">IFERROR(__xludf.DUMMYFUNCTION("""COMPUTED_VALUE"""),1550.15)</f>
        <v>1550.15</v>
      </c>
      <c r="C929" s="3">
        <f t="shared" ca="1" si="28"/>
        <v>1.5492957746478932E-2</v>
      </c>
      <c r="D929">
        <f t="shared" ca="1" si="27"/>
        <v>1754.4836734693879</v>
      </c>
    </row>
    <row r="930" spans="1:4" x14ac:dyDescent="0.25">
      <c r="A930" s="2">
        <f ca="1">IFERROR(__xludf.DUMMYFUNCTION("""COMPUTED_VALUE"""),45750.6458333333)</f>
        <v>45750.645833333299</v>
      </c>
      <c r="B930" s="1">
        <f ca="1">IFERROR(__xludf.DUMMYFUNCTION("""COMPUTED_VALUE"""),1496.5)</f>
        <v>1496.5</v>
      </c>
      <c r="C930" s="3">
        <f t="shared" ca="1" si="28"/>
        <v>-3.4609553914137399E-2</v>
      </c>
      <c r="D930">
        <f t="shared" ca="1" si="27"/>
        <v>1749.1132653061225</v>
      </c>
    </row>
    <row r="931" spans="1:4" x14ac:dyDescent="0.25">
      <c r="A931" s="2">
        <f ca="1">IFERROR(__xludf.DUMMYFUNCTION("""COMPUTED_VALUE"""),45751.6458333333)</f>
        <v>45751.645833333299</v>
      </c>
      <c r="B931" s="1">
        <f ca="1">IFERROR(__xludf.DUMMYFUNCTION("""COMPUTED_VALUE"""),1451.65)</f>
        <v>1451.65</v>
      </c>
      <c r="C931" s="3">
        <f t="shared" ca="1" si="28"/>
        <v>-2.9969929836284603E-2</v>
      </c>
      <c r="D931">
        <f t="shared" ca="1" si="27"/>
        <v>1742.9051020408162</v>
      </c>
    </row>
    <row r="932" spans="1:4" x14ac:dyDescent="0.25">
      <c r="A932" s="2">
        <f ca="1">IFERROR(__xludf.DUMMYFUNCTION("""COMPUTED_VALUE"""),45754.6458333333)</f>
        <v>45754.645833333299</v>
      </c>
      <c r="B932" s="1">
        <f ca="1">IFERROR(__xludf.DUMMYFUNCTION("""COMPUTED_VALUE"""),1396.75)</f>
        <v>1396.75</v>
      </c>
      <c r="C932" s="3">
        <f t="shared" ca="1" si="28"/>
        <v>-3.7819033513588049E-2</v>
      </c>
      <c r="D932">
        <f t="shared" ca="1" si="27"/>
        <v>1734.6438775510201</v>
      </c>
    </row>
    <row r="933" spans="1:4" x14ac:dyDescent="0.25">
      <c r="A933" s="2">
        <f ca="1">IFERROR(__xludf.DUMMYFUNCTION("""COMPUTED_VALUE"""),45755.6458333333)</f>
        <v>45755.645833333299</v>
      </c>
      <c r="B933" s="1">
        <f ca="1">IFERROR(__xludf.DUMMYFUNCTION("""COMPUTED_VALUE"""),1428.8)</f>
        <v>1428.8</v>
      </c>
      <c r="C933" s="3">
        <f t="shared" ca="1" si="28"/>
        <v>2.2946124932879869E-2</v>
      </c>
      <c r="D933">
        <f t="shared" ca="1" si="27"/>
        <v>1725.078571428571</v>
      </c>
    </row>
    <row r="934" spans="1:4" x14ac:dyDescent="0.25">
      <c r="A934" s="2">
        <f ca="1">IFERROR(__xludf.DUMMYFUNCTION("""COMPUTED_VALUE"""),45756.6458333333)</f>
        <v>45756.645833333299</v>
      </c>
      <c r="B934" s="1">
        <f ca="1">IFERROR(__xludf.DUMMYFUNCTION("""COMPUTED_VALUE"""),1403.7)</f>
        <v>1403.7</v>
      </c>
      <c r="C934" s="3">
        <f t="shared" ca="1" si="28"/>
        <v>-1.7567189249719981E-2</v>
      </c>
      <c r="D934">
        <f t="shared" ca="1" si="27"/>
        <v>1715.9632653061221</v>
      </c>
    </row>
    <row r="935" spans="1:4" x14ac:dyDescent="0.25">
      <c r="A935" s="2">
        <f ca="1">IFERROR(__xludf.DUMMYFUNCTION("""COMPUTED_VALUE"""),45758.6458333333)</f>
        <v>45758.645833333299</v>
      </c>
      <c r="B935" s="1">
        <f ca="1">IFERROR(__xludf.DUMMYFUNCTION("""COMPUTED_VALUE"""),1409.45)</f>
        <v>1409.45</v>
      </c>
      <c r="C935" s="3">
        <f t="shared" ca="1" si="28"/>
        <v>4.0963168768255323E-3</v>
      </c>
      <c r="D935">
        <f t="shared" ca="1" si="27"/>
        <v>1707.4265306122445</v>
      </c>
    </row>
    <row r="936" spans="1:4" x14ac:dyDescent="0.25">
      <c r="A936" s="2">
        <f ca="1">IFERROR(__xludf.DUMMYFUNCTION("""COMPUTED_VALUE"""),45762.6458333333)</f>
        <v>45762.645833333299</v>
      </c>
      <c r="B936" s="1">
        <f ca="1">IFERROR(__xludf.DUMMYFUNCTION("""COMPUTED_VALUE"""),1426)</f>
        <v>1426</v>
      </c>
      <c r="C936" s="3">
        <f t="shared" ca="1" si="28"/>
        <v>1.1742168931143321E-2</v>
      </c>
      <c r="D936">
        <f t="shared" ca="1" si="27"/>
        <v>1698.8489795918365</v>
      </c>
    </row>
    <row r="937" spans="1:4" x14ac:dyDescent="0.25">
      <c r="A937" s="2">
        <f ca="1">IFERROR(__xludf.DUMMYFUNCTION("""COMPUTED_VALUE"""),45763.6458333333)</f>
        <v>45763.645833333299</v>
      </c>
      <c r="B937" s="1">
        <f ca="1">IFERROR(__xludf.DUMMYFUNCTION("""COMPUTED_VALUE"""),1413.1)</f>
        <v>1413.1</v>
      </c>
      <c r="C937" s="3">
        <f t="shared" ca="1" si="28"/>
        <v>-9.0462833099579885E-3</v>
      </c>
      <c r="D937">
        <f t="shared" ca="1" si="27"/>
        <v>1689.5581632653057</v>
      </c>
    </row>
    <row r="938" spans="1:4" x14ac:dyDescent="0.25">
      <c r="A938" s="2">
        <f ca="1">IFERROR(__xludf.DUMMYFUNCTION("""COMPUTED_VALUE"""),45764.6458333333)</f>
        <v>45764.645833333299</v>
      </c>
      <c r="B938" s="1">
        <f ca="1">IFERROR(__xludf.DUMMYFUNCTION("""COMPUTED_VALUE"""),1419.5)</f>
        <v>1419.5</v>
      </c>
      <c r="C938" s="3">
        <f t="shared" ca="1" si="28"/>
        <v>4.5290496072465441E-3</v>
      </c>
      <c r="D938">
        <f t="shared" ca="1" si="27"/>
        <v>1680.4387755102039</v>
      </c>
    </row>
    <row r="939" spans="1:4" x14ac:dyDescent="0.25">
      <c r="A939" s="2">
        <f ca="1">IFERROR(__xludf.DUMMYFUNCTION("""COMPUTED_VALUE"""),45768.6458333333)</f>
        <v>45768.645833333299</v>
      </c>
      <c r="B939" s="1">
        <f ca="1">IFERROR(__xludf.DUMMYFUNCTION("""COMPUTED_VALUE"""),1451)</f>
        <v>1451</v>
      </c>
      <c r="C939" s="3">
        <f t="shared" ca="1" si="28"/>
        <v>2.2190912293060937E-2</v>
      </c>
      <c r="D939">
        <f t="shared" ca="1" si="27"/>
        <v>1671.0448979591833</v>
      </c>
    </row>
    <row r="940" spans="1:4" x14ac:dyDescent="0.25">
      <c r="A940" s="2">
        <f ca="1">IFERROR(__xludf.DUMMYFUNCTION("""COMPUTED_VALUE"""),45769.6458333333)</f>
        <v>45769.645833333299</v>
      </c>
      <c r="B940" s="1">
        <f ca="1">IFERROR(__xludf.DUMMYFUNCTION("""COMPUTED_VALUE"""),1422.8)</f>
        <v>1422.8</v>
      </c>
      <c r="C940" s="3">
        <f t="shared" ca="1" si="28"/>
        <v>-1.9434872501722981E-2</v>
      </c>
      <c r="D940">
        <f t="shared" ca="1" si="27"/>
        <v>1662.6306122448975</v>
      </c>
    </row>
    <row r="941" spans="1:4" x14ac:dyDescent="0.25">
      <c r="A941" s="2">
        <f ca="1">IFERROR(__xludf.DUMMYFUNCTION("""COMPUTED_VALUE"""),45770.6458333333)</f>
        <v>45770.645833333299</v>
      </c>
      <c r="B941" s="1">
        <f ca="1">IFERROR(__xludf.DUMMYFUNCTION("""COMPUTED_VALUE"""),1474.9)</f>
        <v>1474.9</v>
      </c>
      <c r="C941" s="3">
        <f t="shared" ca="1" si="28"/>
        <v>3.6617936463311879E-2</v>
      </c>
      <c r="D941">
        <f t="shared" ca="1" si="27"/>
        <v>1652.9163265306124</v>
      </c>
    </row>
    <row r="942" spans="1:4" x14ac:dyDescent="0.25">
      <c r="A942" s="2">
        <f ca="1">IFERROR(__xludf.DUMMYFUNCTION("""COMPUTED_VALUE"""),45771.6458333333)</f>
        <v>45771.645833333299</v>
      </c>
      <c r="B942" s="1">
        <f ca="1">IFERROR(__xludf.DUMMYFUNCTION("""COMPUTED_VALUE"""),1471.4)</f>
        <v>1471.4</v>
      </c>
      <c r="C942" s="3">
        <f t="shared" ca="1" si="28"/>
        <v>-2.3730422401518746E-3</v>
      </c>
      <c r="D942">
        <f t="shared" ca="1" si="27"/>
        <v>1644.3010204081634</v>
      </c>
    </row>
    <row r="943" spans="1:4" x14ac:dyDescent="0.25">
      <c r="A943" s="2">
        <f ca="1">IFERROR(__xludf.DUMMYFUNCTION("""COMPUTED_VALUE"""),45772.6458333333)</f>
        <v>45772.645833333299</v>
      </c>
      <c r="B943" s="1">
        <f ca="1">IFERROR(__xludf.DUMMYFUNCTION("""COMPUTED_VALUE"""),1480.2)</f>
        <v>1480.2</v>
      </c>
      <c r="C943" s="3">
        <f t="shared" ca="1" si="28"/>
        <v>5.9806986543427714E-3</v>
      </c>
      <c r="D943">
        <f t="shared" ca="1" si="27"/>
        <v>1635.2346938775511</v>
      </c>
    </row>
    <row r="944" spans="1:4" x14ac:dyDescent="0.25">
      <c r="A944" s="2">
        <f ca="1">IFERROR(__xludf.DUMMYFUNCTION("""COMPUTED_VALUE"""),45775.6458333333)</f>
        <v>45775.645833333299</v>
      </c>
      <c r="B944" s="1">
        <f ca="1">IFERROR(__xludf.DUMMYFUNCTION("""COMPUTED_VALUE"""),1482.1)</f>
        <v>1482.1</v>
      </c>
      <c r="C944" s="3">
        <f t="shared" ca="1" si="28"/>
        <v>1.2836103229292416E-3</v>
      </c>
      <c r="D944">
        <f t="shared" ca="1" si="27"/>
        <v>1626.5928571428572</v>
      </c>
    </row>
    <row r="945" spans="1:4" x14ac:dyDescent="0.25">
      <c r="A945" s="2">
        <f ca="1">IFERROR(__xludf.DUMMYFUNCTION("""COMPUTED_VALUE"""),45776.6458333333)</f>
        <v>45776.645833333299</v>
      </c>
      <c r="B945" s="1">
        <f ca="1">IFERROR(__xludf.DUMMYFUNCTION("""COMPUTED_VALUE"""),1497.5)</f>
        <v>1497.5</v>
      </c>
      <c r="C945" s="3">
        <f t="shared" ca="1" si="28"/>
        <v>1.0390661898657373E-2</v>
      </c>
      <c r="D945">
        <f t="shared" ca="1" si="27"/>
        <v>1618.4663265306124</v>
      </c>
    </row>
    <row r="946" spans="1:4" x14ac:dyDescent="0.25">
      <c r="A946" s="2">
        <f ca="1">IFERROR(__xludf.DUMMYFUNCTION("""COMPUTED_VALUE"""),45777.6458333333)</f>
        <v>45777.645833333299</v>
      </c>
      <c r="B946" s="1">
        <f ca="1">IFERROR(__xludf.DUMMYFUNCTION("""COMPUTED_VALUE"""),1500.1)</f>
        <v>1500.1</v>
      </c>
      <c r="C946" s="3">
        <f t="shared" ca="1" si="28"/>
        <v>1.7362270450750645E-3</v>
      </c>
      <c r="D946">
        <f t="shared" ca="1" si="27"/>
        <v>1610.748979591837</v>
      </c>
    </row>
    <row r="947" spans="1:4" x14ac:dyDescent="0.25">
      <c r="A947" s="2">
        <f ca="1">IFERROR(__xludf.DUMMYFUNCTION("""COMPUTED_VALUE"""),45779.6458333333)</f>
        <v>45779.645833333299</v>
      </c>
      <c r="B947" s="1">
        <f ca="1">IFERROR(__xludf.DUMMYFUNCTION("""COMPUTED_VALUE"""),1506.8)</f>
        <v>1506.8</v>
      </c>
      <c r="C947" s="3">
        <f t="shared" ca="1" si="28"/>
        <v>4.4663689087394483E-3</v>
      </c>
      <c r="D947">
        <f t="shared" ca="1" si="27"/>
        <v>1603.3397959183671</v>
      </c>
    </row>
    <row r="948" spans="1:4" x14ac:dyDescent="0.25">
      <c r="A948" s="2">
        <f ca="1">IFERROR(__xludf.DUMMYFUNCTION("""COMPUTED_VALUE"""),45782.6458333333)</f>
        <v>45782.645833333299</v>
      </c>
      <c r="B948" s="1">
        <f ca="1">IFERROR(__xludf.DUMMYFUNCTION("""COMPUTED_VALUE"""),1508.6)</f>
        <v>1508.6</v>
      </c>
      <c r="C948" s="3">
        <f t="shared" ca="1" si="28"/>
        <v>1.1945845500397894E-3</v>
      </c>
      <c r="D948">
        <f t="shared" ref="D948:D1011" ca="1" si="29">AVERAGE(B899:B947)</f>
        <v>1596.4734693877551</v>
      </c>
    </row>
    <row r="949" spans="1:4" x14ac:dyDescent="0.25">
      <c r="A949" s="2">
        <f ca="1">IFERROR(__xludf.DUMMYFUNCTION("""COMPUTED_VALUE"""),45783.6458333333)</f>
        <v>45783.645833333299</v>
      </c>
      <c r="B949" s="1">
        <f ca="1">IFERROR(__xludf.DUMMYFUNCTION("""COMPUTED_VALUE"""),1511.5)</f>
        <v>1511.5</v>
      </c>
      <c r="C949" s="3">
        <f t="shared" ca="1" si="28"/>
        <v>1.9223120774228364E-3</v>
      </c>
      <c r="D949">
        <f t="shared" ca="1" si="29"/>
        <v>1589.3755102040818</v>
      </c>
    </row>
    <row r="950" spans="1:4" x14ac:dyDescent="0.25">
      <c r="A950" s="2">
        <f ca="1">IFERROR(__xludf.DUMMYFUNCTION("""COMPUTED_VALUE"""),45784.6458333333)</f>
        <v>45784.645833333299</v>
      </c>
      <c r="B950" s="1">
        <f ca="1">IFERROR(__xludf.DUMMYFUNCTION("""COMPUTED_VALUE"""),1508.3)</f>
        <v>1508.3</v>
      </c>
      <c r="C950" s="3">
        <f t="shared" ca="1" si="28"/>
        <v>-2.1171022163414127E-3</v>
      </c>
      <c r="D950">
        <f t="shared" ca="1" si="29"/>
        <v>1582.6244897959184</v>
      </c>
    </row>
    <row r="951" spans="1:4" x14ac:dyDescent="0.25">
      <c r="A951" s="2">
        <f ca="1">IFERROR(__xludf.DUMMYFUNCTION("""COMPUTED_VALUE"""),45785.6458333333)</f>
        <v>45785.645833333299</v>
      </c>
      <c r="B951" s="1">
        <f ca="1">IFERROR(__xludf.DUMMYFUNCTION("""COMPUTED_VALUE"""),1511.4)</f>
        <v>1511.4</v>
      </c>
      <c r="C951" s="3">
        <f t="shared" ca="1" si="28"/>
        <v>2.0552940396473757E-3</v>
      </c>
      <c r="D951">
        <f t="shared" ca="1" si="29"/>
        <v>1575.6112244897965</v>
      </c>
    </row>
    <row r="952" spans="1:4" x14ac:dyDescent="0.25">
      <c r="A952" s="2">
        <f ca="1">IFERROR(__xludf.DUMMYFUNCTION("""COMPUTED_VALUE"""),45786.6458333333)</f>
        <v>45786.645833333299</v>
      </c>
      <c r="B952" s="1">
        <f ca="1">IFERROR(__xludf.DUMMYFUNCTION("""COMPUTED_VALUE"""),1507.6)</f>
        <v>1507.6</v>
      </c>
      <c r="C952" s="3">
        <f t="shared" ca="1" si="28"/>
        <v>-2.5142252216489224E-3</v>
      </c>
      <c r="D952">
        <f t="shared" ca="1" si="29"/>
        <v>1569.5010204081634</v>
      </c>
    </row>
    <row r="953" spans="1:4" x14ac:dyDescent="0.25">
      <c r="A953" s="2">
        <f ca="1">IFERROR(__xludf.DUMMYFUNCTION("""COMPUTED_VALUE"""),45789.6458333333)</f>
        <v>45789.645833333299</v>
      </c>
      <c r="B953" s="1">
        <f ca="1">IFERROR(__xludf.DUMMYFUNCTION("""COMPUTED_VALUE"""),1626.9)</f>
        <v>1626.9</v>
      </c>
      <c r="C953" s="3">
        <f t="shared" ca="1" si="28"/>
        <v>7.9132395860971205E-2</v>
      </c>
      <c r="D953">
        <f t="shared" ca="1" si="29"/>
        <v>1563.0204081632653</v>
      </c>
    </row>
    <row r="954" spans="1:4" x14ac:dyDescent="0.25">
      <c r="A954" s="2">
        <f ca="1">IFERROR(__xludf.DUMMYFUNCTION("""COMPUTED_VALUE"""),45790.6458333333)</f>
        <v>45790.645833333299</v>
      </c>
      <c r="B954" s="1">
        <f ca="1">IFERROR(__xludf.DUMMYFUNCTION("""COMPUTED_VALUE"""),1568.6)</f>
        <v>1568.6</v>
      </c>
      <c r="C954" s="3">
        <f t="shared" ca="1" si="28"/>
        <v>-3.583502366463838E-2</v>
      </c>
      <c r="D954">
        <f t="shared" ca="1" si="29"/>
        <v>1559.1816326530611</v>
      </c>
    </row>
    <row r="955" spans="1:4" x14ac:dyDescent="0.25">
      <c r="A955" s="2">
        <f ca="1">IFERROR(__xludf.DUMMYFUNCTION("""COMPUTED_VALUE"""),45791.6458333333)</f>
        <v>45791.645833333299</v>
      </c>
      <c r="B955" s="1">
        <f ca="1">IFERROR(__xludf.DUMMYFUNCTION("""COMPUTED_VALUE"""),1592.4)</f>
        <v>1592.4</v>
      </c>
      <c r="C955" s="3">
        <f t="shared" ca="1" si="28"/>
        <v>1.5172765523396777E-2</v>
      </c>
      <c r="D955">
        <f t="shared" ca="1" si="29"/>
        <v>1555.1918367346941</v>
      </c>
    </row>
    <row r="956" spans="1:4" x14ac:dyDescent="0.25">
      <c r="A956" s="2">
        <f ca="1">IFERROR(__xludf.DUMMYFUNCTION("""COMPUTED_VALUE"""),45792.6458333333)</f>
        <v>45792.645833333299</v>
      </c>
      <c r="B956" s="1">
        <f ca="1">IFERROR(__xludf.DUMMYFUNCTION("""COMPUTED_VALUE"""),1613)</f>
        <v>1613</v>
      </c>
      <c r="C956" s="3">
        <f t="shared" ca="1" si="28"/>
        <v>1.2936448128610844E-2</v>
      </c>
      <c r="D956">
        <f t="shared" ca="1" si="29"/>
        <v>1551.6142857142856</v>
      </c>
    </row>
    <row r="957" spans="1:4" x14ac:dyDescent="0.25">
      <c r="A957" s="2">
        <f ca="1">IFERROR(__xludf.DUMMYFUNCTION("""COMPUTED_VALUE"""),45793.6458333333)</f>
        <v>45793.645833333299</v>
      </c>
      <c r="B957" s="1">
        <f ca="1">IFERROR(__xludf.DUMMYFUNCTION("""COMPUTED_VALUE"""),1589.9)</f>
        <v>1589.9</v>
      </c>
      <c r="C957" s="3">
        <f t="shared" ca="1" si="28"/>
        <v>-1.432114073155605E-2</v>
      </c>
      <c r="D957">
        <f t="shared" ca="1" si="29"/>
        <v>1548.5265306122446</v>
      </c>
    </row>
    <row r="958" spans="1:4" x14ac:dyDescent="0.25">
      <c r="A958" s="2">
        <f ca="1">IFERROR(__xludf.DUMMYFUNCTION("""COMPUTED_VALUE"""),45796.6458333333)</f>
        <v>45796.645833333299</v>
      </c>
      <c r="B958" s="1">
        <f ca="1">IFERROR(__xludf.DUMMYFUNCTION("""COMPUTED_VALUE"""),1559.8)</f>
        <v>1559.8</v>
      </c>
      <c r="C958" s="3">
        <f t="shared" ca="1" si="28"/>
        <v>-1.8932008302409042E-2</v>
      </c>
      <c r="D958">
        <f t="shared" ca="1" si="29"/>
        <v>1546.5306122448981</v>
      </c>
    </row>
    <row r="959" spans="1:4" x14ac:dyDescent="0.25">
      <c r="A959" s="2">
        <f ca="1">IFERROR(__xludf.DUMMYFUNCTION("""COMPUTED_VALUE"""),45797.6458333333)</f>
        <v>45797.645833333299</v>
      </c>
      <c r="B959" s="1">
        <f ca="1">IFERROR(__xludf.DUMMYFUNCTION("""COMPUTED_VALUE"""),1560.6)</f>
        <v>1560.6</v>
      </c>
      <c r="C959" s="3">
        <f t="shared" ca="1" si="28"/>
        <v>5.1288626747015935E-4</v>
      </c>
      <c r="D959">
        <f t="shared" ca="1" si="29"/>
        <v>1543.4938775510204</v>
      </c>
    </row>
    <row r="960" spans="1:4" x14ac:dyDescent="0.25">
      <c r="A960" s="2">
        <f ca="1">IFERROR(__xludf.DUMMYFUNCTION("""COMPUTED_VALUE"""),45798.6458333333)</f>
        <v>45798.645833333299</v>
      </c>
      <c r="B960" s="1">
        <f ca="1">IFERROR(__xludf.DUMMYFUNCTION("""COMPUTED_VALUE"""),1568.5)</f>
        <v>1568.5</v>
      </c>
      <c r="C960" s="3">
        <f t="shared" ca="1" si="28"/>
        <v>5.0621555811867815E-3</v>
      </c>
      <c r="D960">
        <f t="shared" ca="1" si="29"/>
        <v>1540.8877551020407</v>
      </c>
    </row>
    <row r="961" spans="1:4" x14ac:dyDescent="0.25">
      <c r="A961" s="2">
        <f ca="1">IFERROR(__xludf.DUMMYFUNCTION("""COMPUTED_VALUE"""),45799.6458333333)</f>
        <v>45799.645833333299</v>
      </c>
      <c r="B961" s="1">
        <f ca="1">IFERROR(__xludf.DUMMYFUNCTION("""COMPUTED_VALUE"""),1547.5)</f>
        <v>1547.5</v>
      </c>
      <c r="C961" s="3">
        <f t="shared" ca="1" si="28"/>
        <v>-1.33885878227606E-2</v>
      </c>
      <c r="D961">
        <f t="shared" ca="1" si="29"/>
        <v>1537.9693877551019</v>
      </c>
    </row>
    <row r="962" spans="1:4" x14ac:dyDescent="0.25">
      <c r="A962" s="2">
        <f ca="1">IFERROR(__xludf.DUMMYFUNCTION("""COMPUTED_VALUE"""),45800.6458333333)</f>
        <v>45800.645833333299</v>
      </c>
      <c r="B962" s="1">
        <f ca="1">IFERROR(__xludf.DUMMYFUNCTION("""COMPUTED_VALUE"""),1564.8)</f>
        <v>1564.8</v>
      </c>
      <c r="C962" s="3">
        <f t="shared" ca="1" si="28"/>
        <v>1.1179321486268145E-2</v>
      </c>
      <c r="D962">
        <f t="shared" ca="1" si="29"/>
        <v>1534.5336734693876</v>
      </c>
    </row>
    <row r="963" spans="1:4" x14ac:dyDescent="0.25">
      <c r="A963" s="2">
        <f ca="1">IFERROR(__xludf.DUMMYFUNCTION("""COMPUTED_VALUE"""),45803.6458333333)</f>
        <v>45803.645833333299</v>
      </c>
      <c r="B963" s="1">
        <f ca="1">IFERROR(__xludf.DUMMYFUNCTION("""COMPUTED_VALUE"""),1580.5)</f>
        <v>1580.5</v>
      </c>
      <c r="C963" s="3">
        <f t="shared" ca="1" si="28"/>
        <v>1.003323108384461E-2</v>
      </c>
      <c r="D963">
        <f t="shared" ca="1" si="29"/>
        <v>1532.0602040816329</v>
      </c>
    </row>
    <row r="964" spans="1:4" x14ac:dyDescent="0.25">
      <c r="A964" s="2">
        <f ca="1">IFERROR(__xludf.DUMMYFUNCTION("""COMPUTED_VALUE"""),45804.6458333333)</f>
        <v>45804.645833333299</v>
      </c>
      <c r="B964" s="1">
        <f ca="1">IFERROR(__xludf.DUMMYFUNCTION("""COMPUTED_VALUE"""),1570.1)</f>
        <v>1570.1</v>
      </c>
      <c r="C964" s="3">
        <f t="shared" ref="C964:C1027" ca="1" si="30">(B964-B963)/B963</f>
        <v>-6.5801961404619363E-3</v>
      </c>
      <c r="D964">
        <f t="shared" ca="1" si="29"/>
        <v>1529.5918367346942</v>
      </c>
    </row>
    <row r="965" spans="1:4" x14ac:dyDescent="0.25">
      <c r="A965" s="2">
        <f ca="1">IFERROR(__xludf.DUMMYFUNCTION("""COMPUTED_VALUE"""),45805.6458333333)</f>
        <v>45805.645833333299</v>
      </c>
      <c r="B965" s="1">
        <f ca="1">IFERROR(__xludf.DUMMYFUNCTION("""COMPUTED_VALUE"""),1571.8)</f>
        <v>1571.8</v>
      </c>
      <c r="C965" s="3">
        <f t="shared" ca="1" si="30"/>
        <v>1.0827335838481916E-3</v>
      </c>
      <c r="D965">
        <f t="shared" ca="1" si="29"/>
        <v>1527.724489795919</v>
      </c>
    </row>
    <row r="966" spans="1:4" x14ac:dyDescent="0.25">
      <c r="A966" s="2">
        <f ca="1">IFERROR(__xludf.DUMMYFUNCTION("""COMPUTED_VALUE"""),45806.6458333333)</f>
        <v>45806.645833333299</v>
      </c>
      <c r="B966" s="1">
        <f ca="1">IFERROR(__xludf.DUMMYFUNCTION("""COMPUTED_VALUE"""),1585.6)</f>
        <v>1585.6</v>
      </c>
      <c r="C966" s="3">
        <f t="shared" ca="1" si="30"/>
        <v>8.7797429698434626E-3</v>
      </c>
      <c r="D966">
        <f t="shared" ca="1" si="29"/>
        <v>1527.3357142857149</v>
      </c>
    </row>
    <row r="967" spans="1:4" x14ac:dyDescent="0.25">
      <c r="A967" s="2">
        <f ca="1">IFERROR(__xludf.DUMMYFUNCTION("""COMPUTED_VALUE"""),45807.6458333333)</f>
        <v>45807.645833333299</v>
      </c>
      <c r="B967" s="1">
        <f ca="1">IFERROR(__xludf.DUMMYFUNCTION("""COMPUTED_VALUE"""),1562.7)</f>
        <v>1562.7</v>
      </c>
      <c r="C967" s="3">
        <f t="shared" ca="1" si="30"/>
        <v>-1.4442482341069542E-2</v>
      </c>
      <c r="D967">
        <f t="shared" ca="1" si="29"/>
        <v>1527.4530612244903</v>
      </c>
    </row>
    <row r="968" spans="1:4" x14ac:dyDescent="0.25">
      <c r="A968" s="2">
        <f ca="1">IFERROR(__xludf.DUMMYFUNCTION("""COMPUTED_VALUE"""),45810.6458333333)</f>
        <v>45810.645833333299</v>
      </c>
      <c r="B968" s="1">
        <f ca="1">IFERROR(__xludf.DUMMYFUNCTION("""COMPUTED_VALUE"""),1553.8)</f>
        <v>1553.8</v>
      </c>
      <c r="C968" s="3">
        <f t="shared" ca="1" si="30"/>
        <v>-5.6952710053113781E-3</v>
      </c>
      <c r="D968">
        <f t="shared" ca="1" si="29"/>
        <v>1526.8948979591842</v>
      </c>
    </row>
    <row r="969" spans="1:4" x14ac:dyDescent="0.25">
      <c r="A969" s="2">
        <f ca="1">IFERROR(__xludf.DUMMYFUNCTION("""COMPUTED_VALUE"""),45811.6458333333)</f>
        <v>45811.645833333299</v>
      </c>
      <c r="B969" s="1">
        <f ca="1">IFERROR(__xludf.DUMMYFUNCTION("""COMPUTED_VALUE"""),1543)</f>
        <v>1543</v>
      </c>
      <c r="C969" s="3">
        <f t="shared" ca="1" si="30"/>
        <v>-6.9507015059852972E-3</v>
      </c>
      <c r="D969">
        <f t="shared" ca="1" si="29"/>
        <v>1525.7612244897962</v>
      </c>
    </row>
    <row r="970" spans="1:4" x14ac:dyDescent="0.25">
      <c r="A970" s="2">
        <f ca="1">IFERROR(__xludf.DUMMYFUNCTION("""COMPUTED_VALUE"""),45812.6458333333)</f>
        <v>45812.645833333299</v>
      </c>
      <c r="B970" s="1">
        <f ca="1">IFERROR(__xludf.DUMMYFUNCTION("""COMPUTED_VALUE"""),1551.2)</f>
        <v>1551.2</v>
      </c>
      <c r="C970" s="3">
        <f t="shared" ca="1" si="30"/>
        <v>5.3143227478937433E-3</v>
      </c>
      <c r="D970">
        <f t="shared" ca="1" si="29"/>
        <v>1524.872448979592</v>
      </c>
    </row>
    <row r="971" spans="1:4" x14ac:dyDescent="0.25">
      <c r="A971" s="2">
        <f ca="1">IFERROR(__xludf.DUMMYFUNCTION("""COMPUTED_VALUE"""),45813.6458333333)</f>
        <v>45813.645833333299</v>
      </c>
      <c r="B971" s="1">
        <f ca="1">IFERROR(__xludf.DUMMYFUNCTION("""COMPUTED_VALUE"""),1554.3)</f>
        <v>1554.3</v>
      </c>
      <c r="C971" s="3">
        <f t="shared" ca="1" si="30"/>
        <v>1.9984528107271204E-3</v>
      </c>
      <c r="D971">
        <f t="shared" ca="1" si="29"/>
        <v>1523.5591836734695</v>
      </c>
    </row>
    <row r="972" spans="1:4" x14ac:dyDescent="0.25">
      <c r="A972" s="2">
        <f ca="1">IFERROR(__xludf.DUMMYFUNCTION("""COMPUTED_VALUE"""),45814.6458333333)</f>
        <v>45814.645833333299</v>
      </c>
      <c r="B972" s="1">
        <f ca="1">IFERROR(__xludf.DUMMYFUNCTION("""COMPUTED_VALUE"""),1563.8)</f>
        <v>1563.8</v>
      </c>
      <c r="C972" s="3">
        <f t="shared" ca="1" si="30"/>
        <v>6.1120761757704435E-3</v>
      </c>
      <c r="D972">
        <f t="shared" ca="1" si="29"/>
        <v>1522.7785714285719</v>
      </c>
    </row>
    <row r="973" spans="1:4" x14ac:dyDescent="0.25">
      <c r="A973" s="2">
        <f ca="1">IFERROR(__xludf.DUMMYFUNCTION("""COMPUTED_VALUE"""),45817.6458333333)</f>
        <v>45817.645833333299</v>
      </c>
      <c r="B973" s="1">
        <f ca="1">IFERROR(__xludf.DUMMYFUNCTION("""COMPUTED_VALUE"""),1572.9)</f>
        <v>1572.9</v>
      </c>
      <c r="C973" s="3">
        <f t="shared" ca="1" si="30"/>
        <v>5.8191584601612334E-3</v>
      </c>
      <c r="D973">
        <f t="shared" ca="1" si="29"/>
        <v>1522.1877551020411</v>
      </c>
    </row>
    <row r="974" spans="1:4" x14ac:dyDescent="0.25">
      <c r="A974" s="2">
        <f ca="1">IFERROR(__xludf.DUMMYFUNCTION("""COMPUTED_VALUE"""),45818.6458333333)</f>
        <v>45818.645833333299</v>
      </c>
      <c r="B974" s="1">
        <f ca="1">IFERROR(__xludf.DUMMYFUNCTION("""COMPUTED_VALUE"""),1596)</f>
        <v>1596</v>
      </c>
      <c r="C974" s="3">
        <f t="shared" ca="1" si="30"/>
        <v>1.4686248331108086E-2</v>
      </c>
      <c r="D974">
        <f t="shared" ca="1" si="29"/>
        <v>1521.0540816326529</v>
      </c>
    </row>
    <row r="975" spans="1:4" x14ac:dyDescent="0.25">
      <c r="A975" s="2">
        <f ca="1">IFERROR(__xludf.DUMMYFUNCTION("""COMPUTED_VALUE"""),45819.6458333333)</f>
        <v>45819.645833333299</v>
      </c>
      <c r="B975" s="1">
        <f ca="1">IFERROR(__xludf.DUMMYFUNCTION("""COMPUTED_VALUE"""),1631.1)</f>
        <v>1631.1</v>
      </c>
      <c r="C975" s="3">
        <f t="shared" ca="1" si="30"/>
        <v>2.1992481203007463E-2</v>
      </c>
      <c r="D975">
        <f t="shared" ca="1" si="29"/>
        <v>1520.9836734693877</v>
      </c>
    </row>
    <row r="976" spans="1:4" x14ac:dyDescent="0.25">
      <c r="A976" s="2">
        <f ca="1">IFERROR(__xludf.DUMMYFUNCTION("""COMPUTED_VALUE"""),45820.6458333333)</f>
        <v>45820.645833333299</v>
      </c>
      <c r="B976" s="1">
        <f ca="1">IFERROR(__xludf.DUMMYFUNCTION("""COMPUTED_VALUE"""),1608.6)</f>
        <v>1608.6</v>
      </c>
      <c r="C976" s="3">
        <f t="shared" ca="1" si="30"/>
        <v>-1.3794371896266325E-2</v>
      </c>
      <c r="D976">
        <f t="shared" ca="1" si="29"/>
        <v>1521.5459183673472</v>
      </c>
    </row>
    <row r="977" spans="1:4" x14ac:dyDescent="0.25">
      <c r="A977" s="2">
        <f ca="1">IFERROR(__xludf.DUMMYFUNCTION("""COMPUTED_VALUE"""),45821.6458333333)</f>
        <v>45821.645833333299</v>
      </c>
      <c r="B977" s="1">
        <f ca="1">IFERROR(__xludf.DUMMYFUNCTION("""COMPUTED_VALUE"""),1602)</f>
        <v>1602</v>
      </c>
      <c r="C977" s="3">
        <f t="shared" ca="1" si="30"/>
        <v>-4.1029466616933413E-3</v>
      </c>
      <c r="D977">
        <f t="shared" ca="1" si="29"/>
        <v>1522.3204081632655</v>
      </c>
    </row>
    <row r="978" spans="1:4" x14ac:dyDescent="0.25">
      <c r="A978" s="2">
        <f ca="1">IFERROR(__xludf.DUMMYFUNCTION("""COMPUTED_VALUE"""),45824.6458333333)</f>
        <v>45824.645833333299</v>
      </c>
      <c r="B978" s="1">
        <f ca="1">IFERROR(__xludf.DUMMYFUNCTION("""COMPUTED_VALUE"""),1623.8)</f>
        <v>1623.8</v>
      </c>
      <c r="C978" s="3">
        <f t="shared" ca="1" si="30"/>
        <v>1.3607990012484366E-2</v>
      </c>
      <c r="D978">
        <f t="shared" ca="1" si="29"/>
        <v>1523.8612244897961</v>
      </c>
    </row>
    <row r="979" spans="1:4" x14ac:dyDescent="0.25">
      <c r="A979" s="2">
        <f ca="1">IFERROR(__xludf.DUMMYFUNCTION("""COMPUTED_VALUE"""),45825.6458333333)</f>
        <v>45825.645833333299</v>
      </c>
      <c r="B979" s="1">
        <f ca="1">IFERROR(__xludf.DUMMYFUNCTION("""COMPUTED_VALUE"""),1639.9)</f>
        <v>1639.9</v>
      </c>
      <c r="C979" s="3">
        <f t="shared" ca="1" si="30"/>
        <v>9.9150141643060338E-3</v>
      </c>
      <c r="D979">
        <f t="shared" ca="1" si="29"/>
        <v>1525.3642857142861</v>
      </c>
    </row>
    <row r="980" spans="1:4" x14ac:dyDescent="0.25">
      <c r="A980" s="2">
        <f ca="1">IFERROR(__xludf.DUMMYFUNCTION("""COMPUTED_VALUE"""),45826.6458333333)</f>
        <v>45826.645833333299</v>
      </c>
      <c r="B980" s="1">
        <f ca="1">IFERROR(__xludf.DUMMYFUNCTION("""COMPUTED_VALUE"""),1632.9)</f>
        <v>1632.9</v>
      </c>
      <c r="C980" s="3">
        <f t="shared" ca="1" si="30"/>
        <v>-4.2685529605463743E-3</v>
      </c>
      <c r="D980">
        <f t="shared" ca="1" si="29"/>
        <v>1528.2908163265308</v>
      </c>
    </row>
    <row r="981" spans="1:4" x14ac:dyDescent="0.25">
      <c r="A981" s="2">
        <f ca="1">IFERROR(__xludf.DUMMYFUNCTION("""COMPUTED_VALUE"""),45827.6458333333)</f>
        <v>45827.645833333299</v>
      </c>
      <c r="B981" s="1">
        <f ca="1">IFERROR(__xludf.DUMMYFUNCTION("""COMPUTED_VALUE"""),1618.4)</f>
        <v>1618.4</v>
      </c>
      <c r="C981" s="3">
        <f t="shared" ca="1" si="30"/>
        <v>-8.8799069140792445E-3</v>
      </c>
      <c r="D981">
        <f t="shared" ca="1" si="29"/>
        <v>1531.9897959183672</v>
      </c>
    </row>
    <row r="982" spans="1:4" x14ac:dyDescent="0.25">
      <c r="A982" s="2">
        <f ca="1">IFERROR(__xludf.DUMMYFUNCTION("""COMPUTED_VALUE"""),45828.6458333333)</f>
        <v>45828.645833333299</v>
      </c>
      <c r="B982" s="1">
        <f ca="1">IFERROR(__xludf.DUMMYFUNCTION("""COMPUTED_VALUE"""),1622.9)</f>
        <v>1622.9</v>
      </c>
      <c r="C982" s="3">
        <f t="shared" ca="1" si="30"/>
        <v>2.7805239742956004E-3</v>
      </c>
      <c r="D982">
        <f t="shared" ca="1" si="29"/>
        <v>1536.5132653061223</v>
      </c>
    </row>
    <row r="983" spans="1:4" x14ac:dyDescent="0.25">
      <c r="A983" s="2">
        <f ca="1">IFERROR(__xludf.DUMMYFUNCTION("""COMPUTED_VALUE"""),45831.6458333333)</f>
        <v>45831.645833333299</v>
      </c>
      <c r="B983" s="1">
        <f ca="1">IFERROR(__xludf.DUMMYFUNCTION("""COMPUTED_VALUE"""),1584)</f>
        <v>1584</v>
      </c>
      <c r="C983" s="3">
        <f t="shared" ca="1" si="30"/>
        <v>-2.3969437426828572E-2</v>
      </c>
      <c r="D983">
        <f t="shared" ca="1" si="29"/>
        <v>1540.4744897959181</v>
      </c>
    </row>
    <row r="984" spans="1:4" x14ac:dyDescent="0.25">
      <c r="A984" s="2">
        <f ca="1">IFERROR(__xludf.DUMMYFUNCTION("""COMPUTED_VALUE"""),45832.6458333333)</f>
        <v>45832.645833333299</v>
      </c>
      <c r="B984" s="1">
        <f ca="1">IFERROR(__xludf.DUMMYFUNCTION("""COMPUTED_VALUE"""),1581.6)</f>
        <v>1581.6</v>
      </c>
      <c r="C984" s="3">
        <f t="shared" ca="1" si="30"/>
        <v>-1.5151515151515726E-3</v>
      </c>
      <c r="D984">
        <f t="shared" ca="1" si="29"/>
        <v>1544.1540816326526</v>
      </c>
    </row>
    <row r="985" spans="1:4" x14ac:dyDescent="0.25">
      <c r="A985" s="2">
        <f ca="1">IFERROR(__xludf.DUMMYFUNCTION("""COMPUTED_VALUE"""),45833.6458333333)</f>
        <v>45833.645833333299</v>
      </c>
      <c r="B985" s="1">
        <f ca="1">IFERROR(__xludf.DUMMYFUNCTION("""COMPUTED_VALUE"""),1614.9)</f>
        <v>1614.9</v>
      </c>
      <c r="C985" s="3">
        <f t="shared" ca="1" si="30"/>
        <v>2.1054628224582816E-2</v>
      </c>
      <c r="D985">
        <f t="shared" ca="1" si="29"/>
        <v>1547.6673469387752</v>
      </c>
    </row>
    <row r="986" spans="1:4" x14ac:dyDescent="0.25">
      <c r="A986" s="2">
        <f ca="1">IFERROR(__xludf.DUMMYFUNCTION("""COMPUTED_VALUE"""),45834.6458333333)</f>
        <v>45834.645833333299</v>
      </c>
      <c r="B986" s="1">
        <f ca="1">IFERROR(__xludf.DUMMYFUNCTION("""COMPUTED_VALUE"""),1616)</f>
        <v>1616</v>
      </c>
      <c r="C986" s="3">
        <f t="shared" ca="1" si="30"/>
        <v>6.8115672797071586E-4</v>
      </c>
      <c r="D986">
        <f t="shared" ca="1" si="29"/>
        <v>1551.5224489795917</v>
      </c>
    </row>
    <row r="987" spans="1:4" x14ac:dyDescent="0.25">
      <c r="A987" s="2">
        <f ca="1">IFERROR(__xludf.DUMMYFUNCTION("""COMPUTED_VALUE"""),45835.6458333333)</f>
        <v>45835.645833333299</v>
      </c>
      <c r="B987" s="1">
        <f ca="1">IFERROR(__xludf.DUMMYFUNCTION("""COMPUTED_VALUE"""),1608)</f>
        <v>1608</v>
      </c>
      <c r="C987" s="3">
        <f t="shared" ca="1" si="30"/>
        <v>-4.9504950495049506E-3</v>
      </c>
      <c r="D987">
        <f t="shared" ca="1" si="29"/>
        <v>1555.6632653061224</v>
      </c>
    </row>
    <row r="988" spans="1:4" x14ac:dyDescent="0.25">
      <c r="A988" s="2">
        <f ca="1">IFERROR(__xludf.DUMMYFUNCTION("""COMPUTED_VALUE"""),45838.6458333333)</f>
        <v>45838.645833333299</v>
      </c>
      <c r="B988" s="1">
        <f ca="1">IFERROR(__xludf.DUMMYFUNCTION("""COMPUTED_VALUE"""),1601.8)</f>
        <v>1601.8</v>
      </c>
      <c r="C988" s="3">
        <f t="shared" ca="1" si="30"/>
        <v>-3.8557213930348541E-3</v>
      </c>
      <c r="D988">
        <f t="shared" ca="1" si="29"/>
        <v>1559.5102040816328</v>
      </c>
    </row>
    <row r="989" spans="1:4" x14ac:dyDescent="0.25">
      <c r="A989" s="2">
        <f ca="1">IFERROR(__xludf.DUMMYFUNCTION("""COMPUTED_VALUE"""),45839.6458333333)</f>
        <v>45839.645833333299</v>
      </c>
      <c r="B989" s="1">
        <f ca="1">IFERROR(__xludf.DUMMYFUNCTION("""COMPUTED_VALUE"""),1606.8)</f>
        <v>1606.8</v>
      </c>
      <c r="C989" s="3">
        <f t="shared" ca="1" si="30"/>
        <v>3.1214883256336623E-3</v>
      </c>
      <c r="D989">
        <f t="shared" ca="1" si="29"/>
        <v>1562.5877551020408</v>
      </c>
    </row>
    <row r="990" spans="1:4" x14ac:dyDescent="0.25">
      <c r="A990" s="2">
        <f ca="1">IFERROR(__xludf.DUMMYFUNCTION("""COMPUTED_VALUE"""),45840.6458333333)</f>
        <v>45840.645833333299</v>
      </c>
      <c r="B990" s="1">
        <f ca="1">IFERROR(__xludf.DUMMYFUNCTION("""COMPUTED_VALUE"""),1610.5)</f>
        <v>1610.5</v>
      </c>
      <c r="C990" s="3">
        <f t="shared" ca="1" si="30"/>
        <v>2.3027134677620397E-3</v>
      </c>
      <c r="D990">
        <f t="shared" ca="1" si="29"/>
        <v>1566.3428571428576</v>
      </c>
    </row>
    <row r="991" spans="1:4" x14ac:dyDescent="0.25">
      <c r="A991" s="2">
        <f ca="1">IFERROR(__xludf.DUMMYFUNCTION("""COMPUTED_VALUE"""),45841.6458333333)</f>
        <v>45841.645833333299</v>
      </c>
      <c r="B991" s="1">
        <f ca="1">IFERROR(__xludf.DUMMYFUNCTION("""COMPUTED_VALUE"""),1618.7)</f>
        <v>1618.7</v>
      </c>
      <c r="C991" s="3">
        <f t="shared" ca="1" si="30"/>
        <v>5.0915864638311362E-3</v>
      </c>
      <c r="D991">
        <f t="shared" ca="1" si="29"/>
        <v>1569.1102040816331</v>
      </c>
    </row>
    <row r="992" spans="1:4" x14ac:dyDescent="0.25">
      <c r="A992" s="2">
        <f ca="1">IFERROR(__xludf.DUMMYFUNCTION("""COMPUTED_VALUE"""),45842.6458333333)</f>
        <v>45842.645833333299</v>
      </c>
      <c r="B992" s="1">
        <f ca="1">IFERROR(__xludf.DUMMYFUNCTION("""COMPUTED_VALUE"""),1640.7)</f>
        <v>1640.7</v>
      </c>
      <c r="C992" s="3">
        <f t="shared" ca="1" si="30"/>
        <v>1.359115339469945E-2</v>
      </c>
      <c r="D992">
        <f t="shared" ca="1" si="29"/>
        <v>1572.1163265306125</v>
      </c>
    </row>
    <row r="993" spans="1:4" x14ac:dyDescent="0.25">
      <c r="A993" s="2">
        <f ca="1">IFERROR(__xludf.DUMMYFUNCTION("""COMPUTED_VALUE"""),45845.6458333333)</f>
        <v>45845.645833333299</v>
      </c>
      <c r="B993" s="1">
        <f ca="1">IFERROR(__xludf.DUMMYFUNCTION("""COMPUTED_VALUE"""),1627)</f>
        <v>1627</v>
      </c>
      <c r="C993" s="3">
        <f t="shared" ca="1" si="30"/>
        <v>-8.3500944718717888E-3</v>
      </c>
      <c r="D993">
        <f t="shared" ca="1" si="29"/>
        <v>1575.3918367346939</v>
      </c>
    </row>
    <row r="994" spans="1:4" x14ac:dyDescent="0.25">
      <c r="A994" s="2">
        <f ca="1">IFERROR(__xludf.DUMMYFUNCTION("""COMPUTED_VALUE"""),45846.6458333333)</f>
        <v>45846.645833333299</v>
      </c>
      <c r="B994" s="1">
        <f ca="1">IFERROR(__xludf.DUMMYFUNCTION("""COMPUTED_VALUE"""),1638.7)</f>
        <v>1638.7</v>
      </c>
      <c r="C994" s="3">
        <f t="shared" ca="1" si="30"/>
        <v>7.1911493546404706E-3</v>
      </c>
      <c r="D994">
        <f t="shared" ca="1" si="29"/>
        <v>1578.348979591837</v>
      </c>
    </row>
    <row r="995" spans="1:4" x14ac:dyDescent="0.25">
      <c r="A995" s="2">
        <f ca="1">IFERROR(__xludf.DUMMYFUNCTION("""COMPUTED_VALUE"""),45847.6458333333)</f>
        <v>45847.645833333299</v>
      </c>
      <c r="B995" s="1">
        <f ca="1">IFERROR(__xludf.DUMMYFUNCTION("""COMPUTED_VALUE"""),1633.7)</f>
        <v>1633.7</v>
      </c>
      <c r="C995" s="3">
        <f t="shared" ca="1" si="30"/>
        <v>-3.0511991212546531E-3</v>
      </c>
      <c r="D995">
        <f t="shared" ca="1" si="29"/>
        <v>1581.2306122448981</v>
      </c>
    </row>
    <row r="996" spans="1:4" x14ac:dyDescent="0.25">
      <c r="A996" s="2">
        <f ca="1">IFERROR(__xludf.DUMMYFUNCTION("""COMPUTED_VALUE"""),45848.6458333333)</f>
        <v>45848.645833333299</v>
      </c>
      <c r="B996" s="1">
        <f ca="1">IFERROR(__xludf.DUMMYFUNCTION("""COMPUTED_VALUE"""),1615.8)</f>
        <v>1615.8</v>
      </c>
      <c r="C996" s="3">
        <f t="shared" ca="1" si="30"/>
        <v>-1.0956724000734584E-2</v>
      </c>
      <c r="D996">
        <f t="shared" ca="1" si="29"/>
        <v>1583.9571428571428</v>
      </c>
    </row>
    <row r="997" spans="1:4" x14ac:dyDescent="0.25">
      <c r="A997" s="2">
        <f ca="1">IFERROR(__xludf.DUMMYFUNCTION("""COMPUTED_VALUE"""),45849.6458333333)</f>
        <v>45849.645833333299</v>
      </c>
      <c r="B997" s="1">
        <f ca="1">IFERROR(__xludf.DUMMYFUNCTION("""COMPUTED_VALUE"""),1594.9)</f>
        <v>1594.9</v>
      </c>
      <c r="C997" s="3">
        <f t="shared" ca="1" si="30"/>
        <v>-1.2934769154598257E-2</v>
      </c>
      <c r="D997">
        <f t="shared" ca="1" si="29"/>
        <v>1586.1816326530611</v>
      </c>
    </row>
    <row r="998" spans="1:4" x14ac:dyDescent="0.25">
      <c r="A998" s="2">
        <f ca="1">IFERROR(__xludf.DUMMYFUNCTION("""COMPUTED_VALUE"""),45852.6458333333)</f>
        <v>45852.645833333299</v>
      </c>
      <c r="B998" s="1">
        <f ca="1">IFERROR(__xludf.DUMMYFUNCTION("""COMPUTED_VALUE"""),1570.3)</f>
        <v>1570.3</v>
      </c>
      <c r="C998" s="3">
        <f t="shared" ca="1" si="30"/>
        <v>-1.5424164524421679E-2</v>
      </c>
      <c r="D998">
        <f t="shared" ca="1" si="29"/>
        <v>1587.9428571428571</v>
      </c>
    </row>
    <row r="999" spans="1:4" x14ac:dyDescent="0.25">
      <c r="A999" s="2">
        <f ca="1">IFERROR(__xludf.DUMMYFUNCTION("""COMPUTED_VALUE"""),45853.6458333333)</f>
        <v>45853.645833333299</v>
      </c>
      <c r="B999" s="1">
        <f ca="1">IFERROR(__xludf.DUMMYFUNCTION("""COMPUTED_VALUE"""),1585.6)</f>
        <v>1585.6</v>
      </c>
      <c r="C999" s="3">
        <f t="shared" ca="1" si="30"/>
        <v>9.7433611411831839E-3</v>
      </c>
      <c r="D999">
        <f t="shared" ca="1" si="29"/>
        <v>1589.1428571428571</v>
      </c>
    </row>
    <row r="1000" spans="1:4" x14ac:dyDescent="0.25">
      <c r="A1000" s="2">
        <f ca="1">IFERROR(__xludf.DUMMYFUNCTION("""COMPUTED_VALUE"""),45854.6458333333)</f>
        <v>45854.645833333299</v>
      </c>
      <c r="B1000" s="1">
        <f ca="1">IFERROR(__xludf.DUMMYFUNCTION("""COMPUTED_VALUE"""),1607.9)</f>
        <v>1607.9</v>
      </c>
      <c r="C1000" s="3">
        <f t="shared" ca="1" si="30"/>
        <v>1.4064076690212023E-2</v>
      </c>
      <c r="D1000">
        <f t="shared" ca="1" si="29"/>
        <v>1590.7204081632653</v>
      </c>
    </row>
    <row r="1001" spans="1:4" x14ac:dyDescent="0.25">
      <c r="A1001" s="2">
        <f ca="1">IFERROR(__xludf.DUMMYFUNCTION("""COMPUTED_VALUE"""),45855.6458333333)</f>
        <v>45855.645833333299</v>
      </c>
      <c r="B1001" s="1">
        <f ca="1">IFERROR(__xludf.DUMMYFUNCTION("""COMPUTED_VALUE"""),1583.5)</f>
        <v>1583.5</v>
      </c>
      <c r="C1001" s="3">
        <f t="shared" ca="1" si="30"/>
        <v>-1.5175073076683929E-2</v>
      </c>
      <c r="D1001">
        <f t="shared" ca="1" si="29"/>
        <v>1592.6897959183671</v>
      </c>
    </row>
    <row r="1002" spans="1:4" x14ac:dyDescent="0.25">
      <c r="A1002" s="2">
        <f ca="1">IFERROR(__xludf.DUMMYFUNCTION("""COMPUTED_VALUE"""),45856.6458333333)</f>
        <v>45856.645833333299</v>
      </c>
      <c r="B1002" s="1">
        <f ca="1">IFERROR(__xludf.DUMMYFUNCTION("""COMPUTED_VALUE"""),1586.1)</f>
        <v>1586.1</v>
      </c>
      <c r="C1002" s="3">
        <f t="shared" ca="1" si="30"/>
        <v>1.6419324281653988E-3</v>
      </c>
      <c r="D1002">
        <f t="shared" ca="1" si="29"/>
        <v>1594.2387755102041</v>
      </c>
    </row>
    <row r="1003" spans="1:4" x14ac:dyDescent="0.25">
      <c r="A1003" s="2">
        <f ca="1">IFERROR(__xludf.DUMMYFUNCTION("""COMPUTED_VALUE"""),45859.6458333333)</f>
        <v>45859.645833333299</v>
      </c>
      <c r="B1003" s="1">
        <f ca="1">IFERROR(__xludf.DUMMYFUNCTION("""COMPUTED_VALUE"""),1584.3)</f>
        <v>1584.3</v>
      </c>
      <c r="C1003" s="3">
        <f t="shared" ca="1" si="30"/>
        <v>-1.1348590883298371E-3</v>
      </c>
      <c r="D1003">
        <f t="shared" ca="1" si="29"/>
        <v>1593.4061224489797</v>
      </c>
    </row>
    <row r="1004" spans="1:4" x14ac:dyDescent="0.25">
      <c r="A1004" s="2">
        <f ca="1">IFERROR(__xludf.DUMMYFUNCTION("""COMPUTED_VALUE"""),45860.6458333333)</f>
        <v>45860.645833333299</v>
      </c>
      <c r="B1004" s="1">
        <f ca="1">IFERROR(__xludf.DUMMYFUNCTION("""COMPUTED_VALUE"""),1570.9)</f>
        <v>1570.9</v>
      </c>
      <c r="C1004" s="3">
        <f t="shared" ca="1" si="30"/>
        <v>-8.4579940667801959E-3</v>
      </c>
      <c r="D1004">
        <f t="shared" ca="1" si="29"/>
        <v>1593.7265306122449</v>
      </c>
    </row>
    <row r="1005" spans="1:4" x14ac:dyDescent="0.25">
      <c r="A1005" s="2">
        <f ca="1">IFERROR(__xludf.DUMMYFUNCTION("""COMPUTED_VALUE"""),45861.6458333333)</f>
        <v>45861.645833333299</v>
      </c>
      <c r="B1005" s="1">
        <f ca="1">IFERROR(__xludf.DUMMYFUNCTION("""COMPUTED_VALUE"""),1574.5)</f>
        <v>1574.5</v>
      </c>
      <c r="C1005" s="3">
        <f t="shared" ca="1" si="30"/>
        <v>2.2916799287032333E-3</v>
      </c>
      <c r="D1005">
        <f t="shared" ca="1" si="29"/>
        <v>1593.287755102041</v>
      </c>
    </row>
    <row r="1006" spans="1:4" x14ac:dyDescent="0.25">
      <c r="A1006" s="2">
        <f ca="1">IFERROR(__xludf.DUMMYFUNCTION("""COMPUTED_VALUE"""),45862.6458333333)</f>
        <v>45862.645833333299</v>
      </c>
      <c r="B1006" s="1">
        <f ca="1">IFERROR(__xludf.DUMMYFUNCTION("""COMPUTED_VALUE"""),1552.5)</f>
        <v>1552.5</v>
      </c>
      <c r="C1006" s="3">
        <f t="shared" ca="1" si="30"/>
        <v>-1.3972689742775483E-2</v>
      </c>
      <c r="D1006">
        <f t="shared" ca="1" si="29"/>
        <v>1592.5020408163266</v>
      </c>
    </row>
    <row r="1007" spans="1:4" x14ac:dyDescent="0.25">
      <c r="A1007" s="2">
        <f ca="1">IFERROR(__xludf.DUMMYFUNCTION("""COMPUTED_VALUE"""),45863.6458333333)</f>
        <v>45863.645833333299</v>
      </c>
      <c r="B1007" s="1">
        <f ca="1">IFERROR(__xludf.DUMMYFUNCTION("""COMPUTED_VALUE"""),1515.7)</f>
        <v>1515.7</v>
      </c>
      <c r="C1007" s="3">
        <f t="shared" ca="1" si="30"/>
        <v>-2.3703703703703675E-2</v>
      </c>
      <c r="D1007">
        <f t="shared" ca="1" si="29"/>
        <v>1591.7387755102043</v>
      </c>
    </row>
    <row r="1008" spans="1:4" x14ac:dyDescent="0.25">
      <c r="A1008" s="2">
        <f ca="1">IFERROR(__xludf.DUMMYFUNCTION("""COMPUTED_VALUE"""),45866.6458333333)</f>
        <v>45866.645833333299</v>
      </c>
      <c r="B1008" s="1">
        <f ca="1">IFERROR(__xludf.DUMMYFUNCTION("""COMPUTED_VALUE"""),1516)</f>
        <v>1516</v>
      </c>
      <c r="C1008" s="3">
        <f t="shared" ca="1" si="30"/>
        <v>1.9792834993729268E-4</v>
      </c>
      <c r="D1008">
        <f t="shared" ca="1" si="29"/>
        <v>1590.8387755102042</v>
      </c>
    </row>
    <row r="1009" spans="1:4" x14ac:dyDescent="0.25">
      <c r="A1009" s="2">
        <f ca="1">IFERROR(__xludf.DUMMYFUNCTION("""COMPUTED_VALUE"""),45867.6458333333)</f>
        <v>45867.645833333299</v>
      </c>
      <c r="B1009" s="1">
        <f ca="1">IFERROR(__xludf.DUMMYFUNCTION("""COMPUTED_VALUE"""),1513.7)</f>
        <v>1513.7</v>
      </c>
      <c r="C1009" s="3">
        <f t="shared" ca="1" si="30"/>
        <v>-1.517150395778334E-3</v>
      </c>
      <c r="D1009">
        <f t="shared" ca="1" si="29"/>
        <v>1589.9285714285713</v>
      </c>
    </row>
    <row r="1010" spans="1:4" x14ac:dyDescent="0.25">
      <c r="A1010" s="2">
        <f ca="1">IFERROR(__xludf.DUMMYFUNCTION("""COMPUTED_VALUE"""),45868.6458333333)</f>
        <v>45868.645833333299</v>
      </c>
      <c r="B1010" s="1">
        <f ca="1">IFERROR(__xludf.DUMMYFUNCTION("""COMPUTED_VALUE"""),1519)</f>
        <v>1519</v>
      </c>
      <c r="C1010" s="3">
        <f t="shared" ca="1" si="30"/>
        <v>3.5013542974168953E-3</v>
      </c>
      <c r="D1010">
        <f t="shared" ca="1" si="29"/>
        <v>1588.8102040816325</v>
      </c>
    </row>
    <row r="1011" spans="1:4" x14ac:dyDescent="0.25">
      <c r="A1011" s="2">
        <f ca="1">IFERROR(__xludf.DUMMYFUNCTION("""COMPUTED_VALUE"""),45869.6458333333)</f>
        <v>45869.645833333299</v>
      </c>
      <c r="B1011" s="1">
        <f ca="1">IFERROR(__xludf.DUMMYFUNCTION("""COMPUTED_VALUE"""),1509)</f>
        <v>1509</v>
      </c>
      <c r="C1011" s="3">
        <f t="shared" ca="1" si="30"/>
        <v>-6.5832784726793945E-3</v>
      </c>
      <c r="D1011">
        <f t="shared" ca="1" si="29"/>
        <v>1588.2285714285711</v>
      </c>
    </row>
    <row r="1012" spans="1:4" x14ac:dyDescent="0.25">
      <c r="A1012" s="2">
        <f ca="1">IFERROR(__xludf.DUMMYFUNCTION("""COMPUTED_VALUE"""),45870.6458333333)</f>
        <v>45870.645833333299</v>
      </c>
      <c r="B1012" s="1">
        <f ca="1">IFERROR(__xludf.DUMMYFUNCTION("""COMPUTED_VALUE"""),1469.6)</f>
        <v>1469.6</v>
      </c>
      <c r="C1012" s="3">
        <f t="shared" ca="1" si="30"/>
        <v>-2.6110006626905297E-2</v>
      </c>
      <c r="D1012">
        <f t="shared" ref="D1012:D1075" ca="1" si="31">AVERAGE(B963:B1011)</f>
        <v>1587.0897959183671</v>
      </c>
    </row>
    <row r="1013" spans="1:4" x14ac:dyDescent="0.25">
      <c r="A1013" s="2">
        <f ca="1">IFERROR(__xludf.DUMMYFUNCTION("""COMPUTED_VALUE"""),45873.6458333333)</f>
        <v>45873.645833333299</v>
      </c>
      <c r="B1013" s="1">
        <f ca="1">IFERROR(__xludf.DUMMYFUNCTION("""COMPUTED_VALUE"""),1480.5)</f>
        <v>1480.5</v>
      </c>
      <c r="C1013" s="3">
        <f t="shared" ca="1" si="30"/>
        <v>7.4169842133914613E-3</v>
      </c>
      <c r="D1013">
        <f t="shared" ca="1" si="31"/>
        <v>1584.8265306122448</v>
      </c>
    </row>
    <row r="1014" spans="1:4" x14ac:dyDescent="0.25">
      <c r="A1014" s="2">
        <f ca="1">IFERROR(__xludf.DUMMYFUNCTION("""COMPUTED_VALUE"""),45874.6458333333)</f>
        <v>45874.645833333299</v>
      </c>
      <c r="B1014" s="1">
        <f ca="1">IFERROR(__xludf.DUMMYFUNCTION("""COMPUTED_VALUE"""),1460.3)</f>
        <v>1460.3</v>
      </c>
      <c r="C1014" s="3">
        <f t="shared" ca="1" si="30"/>
        <v>-1.36440391759541E-2</v>
      </c>
      <c r="D1014">
        <f t="shared" ca="1" si="31"/>
        <v>1582.9979591836734</v>
      </c>
    </row>
    <row r="1015" spans="1:4" x14ac:dyDescent="0.25">
      <c r="A1015" s="2">
        <f ca="1">IFERROR(__xludf.DUMMYFUNCTION("""COMPUTED_VALUE"""),45875.6458333333)</f>
        <v>45875.645833333299</v>
      </c>
      <c r="B1015" s="1">
        <f ca="1">IFERROR(__xludf.DUMMYFUNCTION("""COMPUTED_VALUE"""),1436.7)</f>
        <v>1436.7</v>
      </c>
      <c r="C1015" s="3">
        <f t="shared" ca="1" si="30"/>
        <v>-1.616106279531597E-2</v>
      </c>
      <c r="D1015">
        <f t="shared" ca="1" si="31"/>
        <v>1580.7224489795924</v>
      </c>
    </row>
    <row r="1016" spans="1:4" x14ac:dyDescent="0.25">
      <c r="A1016" s="2">
        <f ca="1">IFERROR(__xludf.DUMMYFUNCTION("""COMPUTED_VALUE"""),45876.6458333333)</f>
        <v>45876.645833333299</v>
      </c>
      <c r="B1016" s="1">
        <f ca="1">IFERROR(__xludf.DUMMYFUNCTION("""COMPUTED_VALUE"""),1436.9)</f>
        <v>1436.9</v>
      </c>
      <c r="C1016" s="3">
        <f t="shared" ca="1" si="30"/>
        <v>1.3920790700914978E-4</v>
      </c>
      <c r="D1016">
        <f t="shared" ca="1" si="31"/>
        <v>1577.6836734693879</v>
      </c>
    </row>
    <row r="1017" spans="1:4" x14ac:dyDescent="0.25">
      <c r="A1017" s="2">
        <f ca="1">IFERROR(__xludf.DUMMYFUNCTION("""COMPUTED_VALUE"""),45877.6458333333)</f>
        <v>45877.645833333299</v>
      </c>
      <c r="B1017" s="1">
        <f ca="1">IFERROR(__xludf.DUMMYFUNCTION("""COMPUTED_VALUE"""),1423.1)</f>
        <v>1423.1</v>
      </c>
      <c r="C1017" s="3">
        <f t="shared" ca="1" si="30"/>
        <v>-9.6040086296890394E-3</v>
      </c>
      <c r="D1017">
        <f t="shared" ca="1" si="31"/>
        <v>1575.1163265306125</v>
      </c>
    </row>
    <row r="1018" spans="1:4" x14ac:dyDescent="0.25">
      <c r="A1018" s="2">
        <f ca="1">IFERROR(__xludf.DUMMYFUNCTION("""COMPUTED_VALUE"""),45880.6458333333)</f>
        <v>45880.645833333299</v>
      </c>
      <c r="B1018" s="1">
        <f ca="1">IFERROR(__xludf.DUMMYFUNCTION("""COMPUTED_VALUE"""),1428.2)</f>
        <v>1428.2</v>
      </c>
      <c r="C1018" s="3">
        <f t="shared" ca="1" si="30"/>
        <v>3.5837256693135667E-3</v>
      </c>
      <c r="D1018">
        <f t="shared" ca="1" si="31"/>
        <v>1572.4489795918366</v>
      </c>
    </row>
    <row r="1019" spans="1:4" x14ac:dyDescent="0.25">
      <c r="A1019" s="2">
        <f ca="1">IFERROR(__xludf.DUMMYFUNCTION("""COMPUTED_VALUE"""),45881.6458333333)</f>
        <v>45881.645833333299</v>
      </c>
      <c r="B1019" s="1">
        <f ca="1">IFERROR(__xludf.DUMMYFUNCTION("""COMPUTED_VALUE"""),1424.1)</f>
        <v>1424.1</v>
      </c>
      <c r="C1019" s="3">
        <f t="shared" ca="1" si="30"/>
        <v>-2.8707463940625517E-3</v>
      </c>
      <c r="D1019">
        <f t="shared" ca="1" si="31"/>
        <v>1570.1061224489795</v>
      </c>
    </row>
    <row r="1020" spans="1:4" x14ac:dyDescent="0.25">
      <c r="A1020" s="2">
        <f ca="1">IFERROR(__xludf.DUMMYFUNCTION("""COMPUTED_VALUE"""),45882.6458333333)</f>
        <v>45882.645833333299</v>
      </c>
      <c r="B1020" s="1">
        <f ca="1">IFERROR(__xludf.DUMMYFUNCTION("""COMPUTED_VALUE"""),1426.6)</f>
        <v>1426.6</v>
      </c>
      <c r="C1020" s="3">
        <f t="shared" ca="1" si="30"/>
        <v>1.755494698406011E-3</v>
      </c>
      <c r="D1020">
        <f t="shared" ca="1" si="31"/>
        <v>1567.5122448979594</v>
      </c>
    </row>
    <row r="1021" spans="1:4" x14ac:dyDescent="0.25">
      <c r="A1021" s="2">
        <f ca="1">IFERROR(__xludf.DUMMYFUNCTION("""COMPUTED_VALUE"""),45883.6458333333)</f>
        <v>45883.645833333299</v>
      </c>
      <c r="B1021" s="1">
        <f ca="1">IFERROR(__xludf.DUMMYFUNCTION("""COMPUTED_VALUE"""),1447.7)</f>
        <v>1447.7</v>
      </c>
      <c r="C1021" s="3">
        <f t="shared" ca="1" si="30"/>
        <v>1.479041076685836E-2</v>
      </c>
      <c r="D1021">
        <f t="shared" ca="1" si="31"/>
        <v>1564.9061224489797</v>
      </c>
    </row>
    <row r="1022" spans="1:4" x14ac:dyDescent="0.25">
      <c r="A1022" s="2">
        <f ca="1">IFERROR(__xludf.DUMMYFUNCTION("""COMPUTED_VALUE"""),45887.6458333333)</f>
        <v>45887.645833333299</v>
      </c>
      <c r="B1022" s="1">
        <f ca="1">IFERROR(__xludf.DUMMYFUNCTION("""COMPUTED_VALUE"""),1435.8)</f>
        <v>1435.8</v>
      </c>
      <c r="C1022" s="3">
        <f t="shared" ca="1" si="30"/>
        <v>-8.2199350694205225E-3</v>
      </c>
      <c r="D1022">
        <f t="shared" ca="1" si="31"/>
        <v>1562.5367346938776</v>
      </c>
    </row>
    <row r="1023" spans="1:4" x14ac:dyDescent="0.25">
      <c r="A1023" s="2">
        <f ca="1">IFERROR(__xludf.DUMMYFUNCTION("""COMPUTED_VALUE"""),45888.6458333333)</f>
        <v>45888.645833333299</v>
      </c>
      <c r="B1023" s="1">
        <f ca="1">IFERROR(__xludf.DUMMYFUNCTION("""COMPUTED_VALUE"""),1440)</f>
        <v>1440</v>
      </c>
      <c r="C1023" s="3">
        <f t="shared" ca="1" si="30"/>
        <v>2.9251984956122339E-3</v>
      </c>
      <c r="D1023">
        <f t="shared" ca="1" si="31"/>
        <v>1559.7387755102043</v>
      </c>
    </row>
    <row r="1024" spans="1:4" x14ac:dyDescent="0.25">
      <c r="A1024" s="2">
        <f ca="1">IFERROR(__xludf.DUMMYFUNCTION("""COMPUTED_VALUE"""),45889.6458333333)</f>
        <v>45889.645833333299</v>
      </c>
      <c r="B1024" s="1">
        <f ca="1">IFERROR(__xludf.DUMMYFUNCTION("""COMPUTED_VALUE"""),1496.2)</f>
        <v>1496.2</v>
      </c>
      <c r="C1024" s="3">
        <f t="shared" ca="1" si="30"/>
        <v>3.9027777777777807E-2</v>
      </c>
      <c r="D1024">
        <f t="shared" ca="1" si="31"/>
        <v>1556.5551020408166</v>
      </c>
    </row>
    <row r="1025" spans="1:4" x14ac:dyDescent="0.25">
      <c r="A1025" s="2">
        <f ca="1">IFERROR(__xludf.DUMMYFUNCTION("""COMPUTED_VALUE"""),45890.6458333333)</f>
        <v>45890.645833333299</v>
      </c>
      <c r="B1025" s="1">
        <f ca="1">IFERROR(__xludf.DUMMYFUNCTION("""COMPUTED_VALUE"""),1496.4)</f>
        <v>1496.4</v>
      </c>
      <c r="C1025" s="3">
        <f t="shared" ca="1" si="30"/>
        <v>1.3367196898813358E-4</v>
      </c>
      <c r="D1025">
        <f t="shared" ca="1" si="31"/>
        <v>1553.8020408163268</v>
      </c>
    </row>
    <row r="1026" spans="1:4" x14ac:dyDescent="0.25">
      <c r="A1026" s="2">
        <f ca="1">IFERROR(__xludf.DUMMYFUNCTION("""COMPUTED_VALUE"""),45891.6458333333)</f>
        <v>45891.645833333299</v>
      </c>
      <c r="B1026" s="1">
        <f ca="1">IFERROR(__xludf.DUMMYFUNCTION("""COMPUTED_VALUE"""),1487.5)</f>
        <v>1487.5</v>
      </c>
      <c r="C1026" s="3">
        <f t="shared" ca="1" si="30"/>
        <v>-5.9476075915531213E-3</v>
      </c>
      <c r="D1026">
        <f t="shared" ca="1" si="31"/>
        <v>1551.5122448979594</v>
      </c>
    </row>
    <row r="1027" spans="1:4" x14ac:dyDescent="0.25">
      <c r="A1027" s="2">
        <f ca="1">IFERROR(__xludf.DUMMYFUNCTION("""COMPUTED_VALUE"""),45894.6458333333)</f>
        <v>45894.645833333299</v>
      </c>
      <c r="B1027" s="1">
        <f ca="1">IFERROR(__xludf.DUMMYFUNCTION("""COMPUTED_VALUE"""),1532.1)</f>
        <v>1532.1</v>
      </c>
      <c r="C1027" s="3">
        <f t="shared" ca="1" si="30"/>
        <v>2.9983193277310864E-2</v>
      </c>
      <c r="D1027">
        <f t="shared" ca="1" si="31"/>
        <v>1549.1755102040815</v>
      </c>
    </row>
    <row r="1028" spans="1:4" x14ac:dyDescent="0.25">
      <c r="A1028" s="2">
        <f ca="1">IFERROR(__xludf.DUMMYFUNCTION("""COMPUTED_VALUE"""),45895.6458333333)</f>
        <v>45895.645833333299</v>
      </c>
      <c r="B1028" s="1">
        <f ca="1">IFERROR(__xludf.DUMMYFUNCTION("""COMPUTED_VALUE"""),1529.6)</f>
        <v>1529.6</v>
      </c>
      <c r="C1028" s="3">
        <f t="shared" ref="C1028:C1091" ca="1" si="32">(B1028-B1027)/B1027</f>
        <v>-1.6317472749820508E-3</v>
      </c>
      <c r="D1028">
        <f t="shared" ca="1" si="31"/>
        <v>1547.3040816326529</v>
      </c>
    </row>
    <row r="1029" spans="1:4" x14ac:dyDescent="0.25">
      <c r="A1029" s="2">
        <f ca="1">IFERROR(__xludf.DUMMYFUNCTION("""COMPUTED_VALUE"""),45897.6458333333)</f>
        <v>45897.645833333299</v>
      </c>
      <c r="B1029" s="1">
        <f ca="1">IFERROR(__xludf.DUMMYFUNCTION("""COMPUTED_VALUE"""),1500.1)</f>
        <v>1500.1</v>
      </c>
      <c r="C1029" s="3">
        <f t="shared" ca="1" si="32"/>
        <v>-1.9286087866108789E-2</v>
      </c>
      <c r="D1029">
        <f t="shared" ca="1" si="31"/>
        <v>1545.0530612244895</v>
      </c>
    </row>
    <row r="1030" spans="1:4" x14ac:dyDescent="0.25">
      <c r="A1030" s="2">
        <f ca="1">IFERROR(__xludf.DUMMYFUNCTION("""COMPUTED_VALUE"""),45898.6458333333)</f>
        <v>45898.645833333299</v>
      </c>
      <c r="B1030" s="1">
        <f ca="1">IFERROR(__xludf.DUMMYFUNCTION("""COMPUTED_VALUE"""),1469.6)</f>
        <v>1469.6</v>
      </c>
      <c r="C1030" s="3">
        <f t="shared" ca="1" si="32"/>
        <v>-2.0331977868142125E-2</v>
      </c>
      <c r="D1030">
        <f t="shared" ca="1" si="31"/>
        <v>1542.3428571428572</v>
      </c>
    </row>
    <row r="1031" spans="1:4" x14ac:dyDescent="0.25">
      <c r="A1031" s="2">
        <f ca="1">IFERROR(__xludf.DUMMYFUNCTION("""COMPUTED_VALUE"""),45901.6458333333)</f>
        <v>45901.645833333299</v>
      </c>
      <c r="B1031" s="1">
        <f ca="1">IFERROR(__xludf.DUMMYFUNCTION("""COMPUTED_VALUE"""),1499.4)</f>
        <v>1499.4</v>
      </c>
      <c r="C1031" s="3">
        <f t="shared" ca="1" si="32"/>
        <v>2.0277626565051839E-2</v>
      </c>
      <c r="D1031">
        <f t="shared" ca="1" si="31"/>
        <v>1539.30612244898</v>
      </c>
    </row>
    <row r="1032" spans="1:4" x14ac:dyDescent="0.25">
      <c r="A1032" s="2">
        <f ca="1">IFERROR(__xludf.DUMMYFUNCTION("""COMPUTED_VALUE"""),45902.6458333333)</f>
        <v>45902.645833333299</v>
      </c>
      <c r="B1032" s="1">
        <f ca="1">IFERROR(__xludf.DUMMYFUNCTION("""COMPUTED_VALUE"""),1498.7)</f>
        <v>1498.7</v>
      </c>
      <c r="C1032" s="3">
        <f t="shared" ca="1" si="32"/>
        <v>-4.6685340802990894E-4</v>
      </c>
      <c r="D1032">
        <f t="shared" ca="1" si="31"/>
        <v>1536.7857142857142</v>
      </c>
    </row>
    <row r="1033" spans="1:4" x14ac:dyDescent="0.25">
      <c r="A1033" s="2">
        <f ca="1">IFERROR(__xludf.DUMMYFUNCTION("""COMPUTED_VALUE"""),45903.6458333333)</f>
        <v>45903.645833333299</v>
      </c>
      <c r="B1033" s="1">
        <f ca="1">IFERROR(__xludf.DUMMYFUNCTION("""COMPUTED_VALUE"""),1479.1)</f>
        <v>1479.1</v>
      </c>
      <c r="C1033" s="3">
        <f t="shared" ca="1" si="32"/>
        <v>-1.3078000934143014E-2</v>
      </c>
      <c r="D1033">
        <f t="shared" ca="1" si="31"/>
        <v>1535.0448979591836</v>
      </c>
    </row>
    <row r="1034" spans="1:4" x14ac:dyDescent="0.25">
      <c r="A1034" s="2">
        <f ca="1">IFERROR(__xludf.DUMMYFUNCTION("""COMPUTED_VALUE"""),45904.6458333333)</f>
        <v>45904.645833333299</v>
      </c>
      <c r="B1034" s="1">
        <f ca="1">IFERROR(__xludf.DUMMYFUNCTION("""COMPUTED_VALUE"""),1463)</f>
        <v>1463</v>
      </c>
      <c r="C1034" s="3">
        <f t="shared" ca="1" si="32"/>
        <v>-1.0884997633696106E-2</v>
      </c>
      <c r="D1034">
        <f t="shared" ca="1" si="31"/>
        <v>1532.9530612244901</v>
      </c>
    </row>
    <row r="1035" spans="1:4" x14ac:dyDescent="0.25">
      <c r="A1035" s="2">
        <f ca="1">IFERROR(__xludf.DUMMYFUNCTION("""COMPUTED_VALUE"""),45905.6458333333)</f>
        <v>45905.645833333299</v>
      </c>
      <c r="B1035" s="1">
        <f ca="1">IFERROR(__xludf.DUMMYFUNCTION("""COMPUTED_VALUE"""),1444.6)</f>
        <v>1444.6</v>
      </c>
      <c r="C1035" s="3">
        <f t="shared" ca="1" si="32"/>
        <v>-1.2576896787423165E-2</v>
      </c>
      <c r="D1035">
        <f t="shared" ca="1" si="31"/>
        <v>1529.8530612244899</v>
      </c>
    </row>
    <row r="1036" spans="1:4" x14ac:dyDescent="0.25">
      <c r="A1036" s="2">
        <f ca="1">IFERROR(__xludf.DUMMYFUNCTION("""COMPUTED_VALUE"""),45908.6458333333)</f>
        <v>45908.645833333299</v>
      </c>
      <c r="B1036" s="1">
        <f ca="1">IFERROR(__xludf.DUMMYFUNCTION("""COMPUTED_VALUE"""),1432.9)</f>
        <v>1432.9</v>
      </c>
      <c r="C1036" s="3">
        <f t="shared" ca="1" si="32"/>
        <v>-8.0991277862382804E-3</v>
      </c>
      <c r="D1036">
        <f t="shared" ca="1" si="31"/>
        <v>1526.3551020408163</v>
      </c>
    </row>
    <row r="1037" spans="1:4" x14ac:dyDescent="0.25">
      <c r="A1037" s="2">
        <f ca="1">IFERROR(__xludf.DUMMYFUNCTION("""COMPUTED_VALUE"""),45909.6458333333)</f>
        <v>45909.645833333299</v>
      </c>
      <c r="B1037" s="1">
        <f ca="1">IFERROR(__xludf.DUMMYFUNCTION("""COMPUTED_VALUE"""),1504.3)</f>
        <v>1504.3</v>
      </c>
      <c r="C1037" s="3">
        <f t="shared" ca="1" si="32"/>
        <v>4.9829018075231948E-2</v>
      </c>
      <c r="D1037">
        <f t="shared" ca="1" si="31"/>
        <v>1522.781632653061</v>
      </c>
    </row>
    <row r="1038" spans="1:4" x14ac:dyDescent="0.25">
      <c r="A1038" s="2">
        <f ca="1">IFERROR(__xludf.DUMMYFUNCTION("""COMPUTED_VALUE"""),45910.6458333333)</f>
        <v>45910.645833333299</v>
      </c>
      <c r="B1038" s="1">
        <f ca="1">IFERROR(__xludf.DUMMYFUNCTION("""COMPUTED_VALUE"""),1532.6)</f>
        <v>1532.6</v>
      </c>
      <c r="C1038" s="3">
        <f t="shared" ca="1" si="32"/>
        <v>1.8812736821112782E-2</v>
      </c>
      <c r="D1038">
        <f t="shared" ca="1" si="31"/>
        <v>1520.7918367346936</v>
      </c>
    </row>
    <row r="1039" spans="1:4" x14ac:dyDescent="0.25">
      <c r="A1039" s="2">
        <f ca="1">IFERROR(__xludf.DUMMYFUNCTION("""COMPUTED_VALUE"""),45911.6458333333)</f>
        <v>45911.645833333299</v>
      </c>
      <c r="B1039" s="1">
        <f ca="1">IFERROR(__xludf.DUMMYFUNCTION("""COMPUTED_VALUE"""),1509.7)</f>
        <v>1509.7</v>
      </c>
      <c r="C1039" s="3">
        <f t="shared" ca="1" si="32"/>
        <v>-1.4941928748531818E-2</v>
      </c>
      <c r="D1039">
        <f t="shared" ca="1" si="31"/>
        <v>1519.2775510204083</v>
      </c>
    </row>
    <row r="1040" spans="1:4" x14ac:dyDescent="0.25">
      <c r="A1040" s="2">
        <f ca="1">IFERROR(__xludf.DUMMYFUNCTION("""COMPUTED_VALUE"""),45912.6458333333)</f>
        <v>45912.645833333299</v>
      </c>
      <c r="B1040" s="1">
        <f ca="1">IFERROR(__xludf.DUMMYFUNCTION("""COMPUTED_VALUE"""),1525.6)</f>
        <v>1525.6</v>
      </c>
      <c r="C1040" s="3">
        <f t="shared" ca="1" si="32"/>
        <v>1.0531893753725815E-2</v>
      </c>
      <c r="D1040">
        <f t="shared" ca="1" si="31"/>
        <v>1517.2204081632651</v>
      </c>
    </row>
    <row r="1041" spans="1:4" x14ac:dyDescent="0.25">
      <c r="A1041" s="2">
        <f ca="1">IFERROR(__xludf.DUMMYFUNCTION("""COMPUTED_VALUE"""),45915.6458333333)</f>
        <v>45915.645833333299</v>
      </c>
      <c r="B1041" s="1">
        <f ca="1">IFERROR(__xludf.DUMMYFUNCTION("""COMPUTED_VALUE"""),1508.4)</f>
        <v>1508.4</v>
      </c>
      <c r="C1041" s="3">
        <f t="shared" ca="1" si="32"/>
        <v>-1.1274252753015088E-2</v>
      </c>
      <c r="D1041">
        <f t="shared" ca="1" si="31"/>
        <v>1515.3204081632653</v>
      </c>
    </row>
    <row r="1042" spans="1:4" x14ac:dyDescent="0.25">
      <c r="A1042" s="2">
        <f ca="1">IFERROR(__xludf.DUMMYFUNCTION("""COMPUTED_VALUE"""),45916.6458333333)</f>
        <v>45916.645833333299</v>
      </c>
      <c r="B1042" s="1">
        <f ca="1">IFERROR(__xludf.DUMMYFUNCTION("""COMPUTED_VALUE"""),1511.3)</f>
        <v>1511.3</v>
      </c>
      <c r="C1042" s="3">
        <f t="shared" ca="1" si="32"/>
        <v>1.9225669583663905E-3</v>
      </c>
      <c r="D1042">
        <f t="shared" ca="1" si="31"/>
        <v>1512.620408163265</v>
      </c>
    </row>
    <row r="1043" spans="1:4" x14ac:dyDescent="0.25">
      <c r="A1043" s="2">
        <f ca="1">IFERROR(__xludf.DUMMYFUNCTION("""COMPUTED_VALUE"""),45917.6458333333)</f>
        <v>45917.645833333299</v>
      </c>
      <c r="B1043" s="1">
        <f ca="1">IFERROR(__xludf.DUMMYFUNCTION("""COMPUTED_VALUE"""),1522.4)</f>
        <v>1522.4</v>
      </c>
      <c r="C1043" s="3">
        <f t="shared" ca="1" si="32"/>
        <v>7.3446701515252674E-3</v>
      </c>
      <c r="D1043">
        <f t="shared" ca="1" si="31"/>
        <v>1510.2591836734691</v>
      </c>
    </row>
    <row r="1044" spans="1:4" x14ac:dyDescent="0.25">
      <c r="A1044" s="2">
        <f ca="1">IFERROR(__xludf.DUMMYFUNCTION("""COMPUTED_VALUE"""),45918.6458333333)</f>
        <v>45918.645833333299</v>
      </c>
      <c r="B1044" s="1">
        <f ca="1">IFERROR(__xludf.DUMMYFUNCTION("""COMPUTED_VALUE"""),1540.6)</f>
        <v>1540.6</v>
      </c>
      <c r="C1044" s="3">
        <f t="shared" ca="1" si="32"/>
        <v>1.1954808197582644E-2</v>
      </c>
      <c r="D1044">
        <f t="shared" ca="1" si="31"/>
        <v>1507.8857142857139</v>
      </c>
    </row>
    <row r="1045" spans="1:4" x14ac:dyDescent="0.25">
      <c r="A1045" s="2">
        <f ca="1">IFERROR(__xludf.DUMMYFUNCTION("""COMPUTED_VALUE"""),45919.6458333333)</f>
        <v>45919.645833333299</v>
      </c>
      <c r="B1045" s="1">
        <f ca="1">IFERROR(__xludf.DUMMYFUNCTION("""COMPUTED_VALUE"""),1540.2)</f>
        <v>1540.2</v>
      </c>
      <c r="C1045" s="3">
        <f t="shared" ca="1" si="32"/>
        <v>-2.5963910164861974E-4</v>
      </c>
      <c r="D1045">
        <f t="shared" ca="1" si="31"/>
        <v>1505.985714285714</v>
      </c>
    </row>
    <row r="1046" spans="1:4" x14ac:dyDescent="0.25">
      <c r="A1046" s="2">
        <f ca="1">IFERROR(__xludf.DUMMYFUNCTION("""COMPUTED_VALUE"""),45922.6458333333)</f>
        <v>45922.645833333299</v>
      </c>
      <c r="B1046" s="1">
        <f ca="1">IFERROR(__xludf.DUMMYFUNCTION("""COMPUTED_VALUE"""),1499.5)</f>
        <v>1499.5</v>
      </c>
      <c r="C1046" s="3">
        <f t="shared" ca="1" si="32"/>
        <v>-2.6425139592260775E-2</v>
      </c>
      <c r="D1046">
        <f t="shared" ca="1" si="31"/>
        <v>1504.4428571428568</v>
      </c>
    </row>
    <row r="1047" spans="1:4" x14ac:dyDescent="0.25">
      <c r="A1047" s="2">
        <f ca="1">IFERROR(__xludf.DUMMYFUNCTION("""COMPUTED_VALUE"""),45923.6458333333)</f>
        <v>45923.645833333299</v>
      </c>
      <c r="B1047" s="1">
        <f ca="1">IFERROR(__xludf.DUMMYFUNCTION("""COMPUTED_VALUE"""),1497.5)</f>
        <v>1497.5</v>
      </c>
      <c r="C1047" s="3">
        <f t="shared" ca="1" si="32"/>
        <v>-1.333777925975325E-3</v>
      </c>
      <c r="D1047">
        <f t="shared" ca="1" si="31"/>
        <v>1502.4959183673468</v>
      </c>
    </row>
    <row r="1048" spans="1:4" x14ac:dyDescent="0.25">
      <c r="A1048" s="2">
        <f ca="1">IFERROR(__xludf.DUMMYFUNCTION("""COMPUTED_VALUE"""),45924.6458333333)</f>
        <v>45924.645833333299</v>
      </c>
      <c r="B1048" s="1">
        <f ca="1">IFERROR(__xludf.DUMMYFUNCTION("""COMPUTED_VALUE"""),1494.6)</f>
        <v>1494.6</v>
      </c>
      <c r="C1048" s="3">
        <f t="shared" ca="1" si="32"/>
        <v>-1.9365609348915465E-3</v>
      </c>
      <c r="D1048">
        <f t="shared" ca="1" si="31"/>
        <v>1501.0102040816323</v>
      </c>
    </row>
    <row r="1049" spans="1:4" x14ac:dyDescent="0.25">
      <c r="A1049" s="2">
        <f ca="1">IFERROR(__xludf.DUMMYFUNCTION("""COMPUTED_VALUE"""),45925.6458333333)</f>
        <v>45925.645833333299</v>
      </c>
      <c r="B1049" s="1">
        <f ca="1">IFERROR(__xludf.DUMMYFUNCTION("""COMPUTED_VALUE"""),1484.8)</f>
        <v>1484.8</v>
      </c>
      <c r="C1049" s="3">
        <f t="shared" ca="1" si="32"/>
        <v>-6.556938311253817E-3</v>
      </c>
      <c r="D1049">
        <f t="shared" ca="1" si="31"/>
        <v>1499.1530612244899</v>
      </c>
    </row>
    <row r="1050" spans="1:4" x14ac:dyDescent="0.25">
      <c r="A1050" s="2">
        <f ca="1">IFERROR(__xludf.DUMMYFUNCTION("""COMPUTED_VALUE"""),45926.6458333333)</f>
        <v>45926.645833333299</v>
      </c>
      <c r="B1050" s="1">
        <f ca="1">IFERROR(__xludf.DUMMYFUNCTION("""COMPUTED_VALUE"""),1448.9)</f>
        <v>1448.9</v>
      </c>
      <c r="C1050" s="3">
        <f t="shared" ca="1" si="32"/>
        <v>-2.4178340517241288E-2</v>
      </c>
      <c r="D1050">
        <f t="shared" ca="1" si="31"/>
        <v>1496.6408163265305</v>
      </c>
    </row>
    <row r="1051" spans="1:4" x14ac:dyDescent="0.25">
      <c r="A1051" s="2">
        <f ca="1">IFERROR(__xludf.DUMMYFUNCTION("""COMPUTED_VALUE"""),45929.6458333333)</f>
        <v>45929.645833333299</v>
      </c>
      <c r="B1051" s="1">
        <f ca="1">IFERROR(__xludf.DUMMYFUNCTION("""COMPUTED_VALUE"""),1441.8)</f>
        <v>1441.8</v>
      </c>
      <c r="C1051" s="3">
        <f t="shared" ca="1" si="32"/>
        <v>-4.9002691697150498E-3</v>
      </c>
      <c r="D1051">
        <f t="shared" ca="1" si="31"/>
        <v>1493.8938775510201</v>
      </c>
    </row>
    <row r="1052" spans="1:4" x14ac:dyDescent="0.25">
      <c r="A1052" s="2">
        <f ca="1">IFERROR(__xludf.DUMMYFUNCTION("""COMPUTED_VALUE"""),45930.6458333333)</f>
        <v>45930.645833333299</v>
      </c>
      <c r="B1052" s="1">
        <f ca="1">IFERROR(__xludf.DUMMYFUNCTION("""COMPUTED_VALUE"""),1441.8)</f>
        <v>1441.8</v>
      </c>
      <c r="C1052" s="3">
        <f t="shared" ca="1" si="32"/>
        <v>0</v>
      </c>
      <c r="D1052">
        <f t="shared" ca="1" si="31"/>
        <v>1490.9489795918366</v>
      </c>
    </row>
    <row r="1053" spans="1:4" x14ac:dyDescent="0.25">
      <c r="A1053" s="2">
        <f ca="1">IFERROR(__xludf.DUMMYFUNCTION("""COMPUTED_VALUE"""),45931.6458333333)</f>
        <v>45931.645833333299</v>
      </c>
      <c r="B1053" s="1">
        <f ca="1">IFERROR(__xludf.DUMMYFUNCTION("""COMPUTED_VALUE"""),1445.8)</f>
        <v>1445.8</v>
      </c>
      <c r="C1053" s="3">
        <f t="shared" ca="1" si="32"/>
        <v>2.7743098904147593E-3</v>
      </c>
      <c r="D1053">
        <f t="shared" ca="1" si="31"/>
        <v>1488.0408163265306</v>
      </c>
    </row>
    <row r="1054" spans="1:4" x14ac:dyDescent="0.25">
      <c r="A1054" s="2">
        <f ca="1">IFERROR(__xludf.DUMMYFUNCTION("""COMPUTED_VALUE"""),45933.6458333333)</f>
        <v>45933.645833333299</v>
      </c>
      <c r="B1054" s="1">
        <f ca="1">IFERROR(__xludf.DUMMYFUNCTION("""COMPUTED_VALUE"""),1446.6)</f>
        <v>1446.6</v>
      </c>
      <c r="C1054" s="3">
        <f t="shared" ca="1" si="32"/>
        <v>5.5332687785306024E-4</v>
      </c>
      <c r="D1054">
        <f t="shared" ca="1" si="31"/>
        <v>1485.4877551020406</v>
      </c>
    </row>
    <row r="1055" spans="1:4" x14ac:dyDescent="0.25">
      <c r="A1055" s="2">
        <f ca="1">IFERROR(__xludf.DUMMYFUNCTION("""COMPUTED_VALUE"""),45936.6458333333)</f>
        <v>45936.645833333299</v>
      </c>
      <c r="B1055" s="1">
        <f ca="1">IFERROR(__xludf.DUMMYFUNCTION("""COMPUTED_VALUE"""),1476)</f>
        <v>1476</v>
      </c>
      <c r="C1055" s="3">
        <f t="shared" ca="1" si="32"/>
        <v>2.0323517212774846E-2</v>
      </c>
      <c r="D1055">
        <f t="shared" ca="1" si="31"/>
        <v>1482.8775510204082</v>
      </c>
    </row>
    <row r="1056" spans="1:4" x14ac:dyDescent="0.25">
      <c r="A1056" s="2">
        <f ca="1">IFERROR(__xludf.DUMMYFUNCTION("""COMPUTED_VALUE"""),45937.6458333333)</f>
        <v>45937.645833333299</v>
      </c>
      <c r="B1056" s="1">
        <f ca="1">IFERROR(__xludf.DUMMYFUNCTION("""COMPUTED_VALUE"""),1458.5)</f>
        <v>1458.5</v>
      </c>
      <c r="C1056" s="3">
        <f t="shared" ca="1" si="32"/>
        <v>-1.1856368563685637E-2</v>
      </c>
      <c r="D1056">
        <f t="shared" ca="1" si="31"/>
        <v>1481.3163265306123</v>
      </c>
    </row>
    <row r="1057" spans="1:4" x14ac:dyDescent="0.25">
      <c r="A1057" s="2">
        <f ca="1">IFERROR(__xludf.DUMMYFUNCTION("""COMPUTED_VALUE"""),45938.6458333333)</f>
        <v>45938.645833333299</v>
      </c>
      <c r="B1057" s="1">
        <f ca="1">IFERROR(__xludf.DUMMYFUNCTION("""COMPUTED_VALUE"""),1495)</f>
        <v>1495</v>
      </c>
      <c r="C1057" s="3">
        <f t="shared" ca="1" si="32"/>
        <v>2.5025711347274597E-2</v>
      </c>
      <c r="D1057">
        <f t="shared" ca="1" si="31"/>
        <v>1480.1489795918369</v>
      </c>
    </row>
    <row r="1058" spans="1:4" x14ac:dyDescent="0.25">
      <c r="A1058" s="2">
        <f ca="1">IFERROR(__xludf.DUMMYFUNCTION("""COMPUTED_VALUE"""),45939.6458333333)</f>
        <v>45939.645833333299</v>
      </c>
      <c r="B1058" s="1">
        <f ca="1">IFERROR(__xludf.DUMMYFUNCTION("""COMPUTED_VALUE"""),1509.3)</f>
        <v>1509.3</v>
      </c>
      <c r="C1058" s="3">
        <f t="shared" ca="1" si="32"/>
        <v>9.5652173913043179E-3</v>
      </c>
      <c r="D1058">
        <f t="shared" ca="1" si="31"/>
        <v>1479.7204081632653</v>
      </c>
    </row>
    <row r="1059" spans="1:4" x14ac:dyDescent="0.25">
      <c r="A1059" s="2">
        <f ca="1">IFERROR(__xludf.DUMMYFUNCTION("""COMPUTED_VALUE"""),45940.6458333333)</f>
        <v>45940.645833333299</v>
      </c>
      <c r="B1059" s="1">
        <f ca="1">IFERROR(__xludf.DUMMYFUNCTION("""COMPUTED_VALUE"""),1514.9)</f>
        <v>1514.9</v>
      </c>
      <c r="C1059" s="3">
        <f t="shared" ca="1" si="32"/>
        <v>3.7103292917247312E-3</v>
      </c>
      <c r="D1059">
        <f t="shared" ca="1" si="31"/>
        <v>1479.6306122448982</v>
      </c>
    </row>
    <row r="1060" spans="1:4" x14ac:dyDescent="0.25">
      <c r="A1060" s="2">
        <f ca="1">IFERROR(__xludf.DUMMYFUNCTION("""COMPUTED_VALUE"""),45943.6458333333)</f>
        <v>45943.645833333299</v>
      </c>
      <c r="B1060" s="1">
        <f ca="1">IFERROR(__xludf.DUMMYFUNCTION("""COMPUTED_VALUE"""),1493.2)</f>
        <v>1493.2</v>
      </c>
      <c r="C1060" s="3">
        <f t="shared" ca="1" si="32"/>
        <v>-1.4324377846722585E-2</v>
      </c>
      <c r="D1060">
        <f t="shared" ca="1" si="31"/>
        <v>1479.5469387755102</v>
      </c>
    </row>
    <row r="1061" spans="1:4" x14ac:dyDescent="0.25">
      <c r="A1061" s="2">
        <f ca="1">IFERROR(__xludf.DUMMYFUNCTION("""COMPUTED_VALUE"""),45944.6458333333)</f>
        <v>45944.645833333299</v>
      </c>
      <c r="B1061" s="1">
        <f ca="1">IFERROR(__xludf.DUMMYFUNCTION("""COMPUTED_VALUE"""),1489.9)</f>
        <v>1489.9</v>
      </c>
      <c r="C1061" s="3">
        <f t="shared" ca="1" si="32"/>
        <v>-2.2100187516742261E-3</v>
      </c>
      <c r="D1061">
        <f t="shared" ca="1" si="31"/>
        <v>1479.2244897959183</v>
      </c>
    </row>
    <row r="1062" spans="1:4" x14ac:dyDescent="0.25">
      <c r="A1062" s="2">
        <f ca="1">IFERROR(__xludf.DUMMYFUNCTION("""COMPUTED_VALUE"""),45945.6458333333)</f>
        <v>45945.645833333299</v>
      </c>
      <c r="B1062" s="1">
        <f ca="1">IFERROR(__xludf.DUMMYFUNCTION("""COMPUTED_VALUE"""),1474.4)</f>
        <v>1474.4</v>
      </c>
      <c r="C1062" s="3">
        <f t="shared" ca="1" si="32"/>
        <v>-1.0403382777367609E-2</v>
      </c>
      <c r="D1062">
        <f t="shared" ca="1" si="31"/>
        <v>1479.6387755102039</v>
      </c>
    </row>
    <row r="1063" spans="1:4" x14ac:dyDescent="0.25">
      <c r="A1063" s="2">
        <f ca="1">IFERROR(__xludf.DUMMYFUNCTION("""COMPUTED_VALUE"""),45946.6458333333)</f>
        <v>45946.645833333299</v>
      </c>
      <c r="B1063" s="1">
        <f ca="1">IFERROR(__xludf.DUMMYFUNCTION("""COMPUTED_VALUE"""),1471.5)</f>
        <v>1471.5</v>
      </c>
      <c r="C1063" s="3">
        <f t="shared" ca="1" si="32"/>
        <v>-1.9669017905589331E-3</v>
      </c>
      <c r="D1063">
        <f t="shared" ca="1" si="31"/>
        <v>1479.5142857142853</v>
      </c>
    </row>
    <row r="1064" spans="1:4" x14ac:dyDescent="0.25">
      <c r="A1064" s="2">
        <f ca="1">IFERROR(__xludf.DUMMYFUNCTION("""COMPUTED_VALUE"""),45947.6458333333)</f>
        <v>45947.645833333299</v>
      </c>
      <c r="B1064" s="1">
        <f ca="1">IFERROR(__xludf.DUMMYFUNCTION("""COMPUTED_VALUE"""),1441.1)</f>
        <v>1441.1</v>
      </c>
      <c r="C1064" s="3">
        <f t="shared" ca="1" si="32"/>
        <v>-2.0659191301393199E-2</v>
      </c>
      <c r="D1064">
        <f t="shared" ca="1" si="31"/>
        <v>1479.742857142857</v>
      </c>
    </row>
    <row r="1065" spans="1:4" x14ac:dyDescent="0.25">
      <c r="A1065" s="2">
        <f ca="1">IFERROR(__xludf.DUMMYFUNCTION("""COMPUTED_VALUE"""),45950.6458333333)</f>
        <v>45950.645833333299</v>
      </c>
      <c r="B1065" s="1">
        <f ca="1">IFERROR(__xludf.DUMMYFUNCTION("""COMPUTED_VALUE"""),1460.9)</f>
        <v>1460.9</v>
      </c>
      <c r="C1065" s="3">
        <f t="shared" ca="1" si="32"/>
        <v>1.3739504545139256E-2</v>
      </c>
      <c r="D1065">
        <f t="shared" ca="1" si="31"/>
        <v>1479.8326530612246</v>
      </c>
    </row>
    <row r="1066" spans="1:4" x14ac:dyDescent="0.25">
      <c r="A1066" s="2">
        <f ca="1">IFERROR(__xludf.DUMMYFUNCTION("""COMPUTED_VALUE"""),45951.6458333333)</f>
        <v>45951.645833333299</v>
      </c>
      <c r="B1066" s="1">
        <f ca="1">IFERROR(__xludf.DUMMYFUNCTION("""COMPUTED_VALUE"""),1472.4)</f>
        <v>1472.4</v>
      </c>
      <c r="C1066" s="3">
        <f t="shared" ca="1" si="32"/>
        <v>7.8718598124443828E-3</v>
      </c>
      <c r="D1066">
        <f t="shared" ca="1" si="31"/>
        <v>1480.3224489795919</v>
      </c>
    </row>
    <row r="1067" spans="1:4" x14ac:dyDescent="0.25">
      <c r="A1067" s="2">
        <f ca="1">IFERROR(__xludf.DUMMYFUNCTION("""COMPUTED_VALUE"""),45953.6458333333)</f>
        <v>45953.645833333299</v>
      </c>
      <c r="B1067" s="1">
        <f ca="1">IFERROR(__xludf.DUMMYFUNCTION("""COMPUTED_VALUE"""),1528.5)</f>
        <v>1528.5</v>
      </c>
      <c r="C1067" s="3">
        <f t="shared" ca="1" si="32"/>
        <v>3.8101059494702459E-2</v>
      </c>
      <c r="D1067">
        <f t="shared" ca="1" si="31"/>
        <v>1481.3285714285716</v>
      </c>
    </row>
    <row r="1068" spans="1:4" x14ac:dyDescent="0.25">
      <c r="A1068" s="2">
        <f ca="1">IFERROR(__xludf.DUMMYFUNCTION("""COMPUTED_VALUE"""),45954.6458333333)</f>
        <v>45954.645833333299</v>
      </c>
      <c r="B1068" s="1">
        <f ca="1">IFERROR(__xludf.DUMMYFUNCTION("""COMPUTED_VALUE"""),1525.4)</f>
        <v>1525.4</v>
      </c>
      <c r="C1068" s="3">
        <f t="shared" ca="1" si="32"/>
        <v>-2.028132155708151E-3</v>
      </c>
      <c r="D1068">
        <f t="shared" ca="1" si="31"/>
        <v>1483.3755102040818</v>
      </c>
    </row>
    <row r="1069" spans="1:4" x14ac:dyDescent="0.25">
      <c r="A1069" s="2">
        <f ca="1">IFERROR(__xludf.DUMMYFUNCTION("""COMPUTED_VALUE"""),45957.6458333333)</f>
        <v>45957.645833333299</v>
      </c>
      <c r="B1069" s="1">
        <f ca="1">IFERROR(__xludf.DUMMYFUNCTION("""COMPUTED_VALUE"""),1504.5)</f>
        <v>1504.5</v>
      </c>
      <c r="C1069" s="3">
        <f t="shared" ca="1" si="32"/>
        <v>-1.3701324242821614E-2</v>
      </c>
      <c r="D1069">
        <f t="shared" ca="1" si="31"/>
        <v>1485.4428571428571</v>
      </c>
    </row>
    <row r="1070" spans="1:4" x14ac:dyDescent="0.25">
      <c r="A1070" s="2">
        <f ca="1">IFERROR(__xludf.DUMMYFUNCTION("""COMPUTED_VALUE"""),45958.6458333333)</f>
        <v>45958.645833333299</v>
      </c>
      <c r="B1070" s="1">
        <f ca="1">IFERROR(__xludf.DUMMYFUNCTION("""COMPUTED_VALUE"""),1500.2)</f>
        <v>1500.2</v>
      </c>
      <c r="C1070" s="3">
        <f t="shared" ca="1" si="32"/>
        <v>-2.8580923894981421E-3</v>
      </c>
      <c r="D1070">
        <f t="shared" ca="1" si="31"/>
        <v>1487.0326530612242</v>
      </c>
    </row>
    <row r="1071" spans="1:4" x14ac:dyDescent="0.25">
      <c r="A1071" s="2">
        <f ca="1">IFERROR(__xludf.DUMMYFUNCTION("""COMPUTED_VALUE"""),45959.6458333333)</f>
        <v>45959.645833333299</v>
      </c>
      <c r="B1071" s="1">
        <f ca="1">IFERROR(__xludf.DUMMYFUNCTION("""COMPUTED_VALUE"""),1510.4)</f>
        <v>1510.4</v>
      </c>
      <c r="C1071" s="3">
        <f t="shared" ca="1" si="32"/>
        <v>6.7990934542061362E-3</v>
      </c>
      <c r="D1071">
        <f t="shared" ca="1" si="31"/>
        <v>1488.1040816326529</v>
      </c>
    </row>
    <row r="1072" spans="1:4" x14ac:dyDescent="0.25">
      <c r="A1072" s="2">
        <f ca="1">IFERROR(__xludf.DUMMYFUNCTION("""COMPUTED_VALUE"""),45960.6458333333)</f>
        <v>45960.645833333299</v>
      </c>
      <c r="B1072" s="1">
        <f ca="1">IFERROR(__xludf.DUMMYFUNCTION("""COMPUTED_VALUE"""),1493.8)</f>
        <v>1493.8</v>
      </c>
      <c r="C1072" s="3">
        <f t="shared" ca="1" si="32"/>
        <v>-1.0990466101695006E-2</v>
      </c>
      <c r="D1072">
        <f t="shared" ca="1" si="31"/>
        <v>1489.6265306122448</v>
      </c>
    </row>
    <row r="1073" spans="1:4" x14ac:dyDescent="0.25">
      <c r="A1073" s="2">
        <f ca="1">IFERROR(__xludf.DUMMYFUNCTION("""COMPUTED_VALUE"""),45961.6458333333)</f>
        <v>45961.645833333299</v>
      </c>
      <c r="B1073" s="1">
        <f ca="1">IFERROR(__xludf.DUMMYFUNCTION("""COMPUTED_VALUE"""),1482.3)</f>
        <v>1482.3</v>
      </c>
      <c r="C1073" s="3">
        <f t="shared" ca="1" si="32"/>
        <v>-7.6984870799303795E-3</v>
      </c>
      <c r="D1073">
        <f t="shared" ca="1" si="31"/>
        <v>1490.7244897959188</v>
      </c>
    </row>
    <row r="1074" spans="1:4" x14ac:dyDescent="0.25">
      <c r="A1074" s="2">
        <f ca="1">IFERROR(__xludf.DUMMYFUNCTION("""COMPUTED_VALUE"""),45964.6458333333)</f>
        <v>45964.645833333299</v>
      </c>
      <c r="B1074" s="1">
        <f ca="1">IFERROR(__xludf.DUMMYFUNCTION("""COMPUTED_VALUE"""),1485.5)</f>
        <v>1485.5</v>
      </c>
      <c r="C1074" s="3">
        <f t="shared" ca="1" si="32"/>
        <v>2.1588072589894393E-3</v>
      </c>
      <c r="D1074">
        <f t="shared" ca="1" si="31"/>
        <v>1490.4408163265309</v>
      </c>
    </row>
    <row r="1075" spans="1:4" x14ac:dyDescent="0.25">
      <c r="A1075" s="2">
        <f ca="1">IFERROR(__xludf.DUMMYFUNCTION("""COMPUTED_VALUE"""),45965.6458333333)</f>
        <v>45965.645833333299</v>
      </c>
      <c r="B1075" s="1">
        <f ca="1">IFERROR(__xludf.DUMMYFUNCTION("""COMPUTED_VALUE"""),1467.9)</f>
        <v>1467.9</v>
      </c>
      <c r="C1075" s="3">
        <f t="shared" ca="1" si="32"/>
        <v>-1.184786267250078E-2</v>
      </c>
      <c r="D1075">
        <f t="shared" ca="1" si="31"/>
        <v>1490.218367346939</v>
      </c>
    </row>
    <row r="1076" spans="1:4" x14ac:dyDescent="0.25">
      <c r="A1076" s="2">
        <f ca="1">IFERROR(__xludf.DUMMYFUNCTION("""COMPUTED_VALUE"""),45967.6458333333)</f>
        <v>45967.645833333299</v>
      </c>
      <c r="B1076" s="1">
        <f ca="1">IFERROR(__xludf.DUMMYFUNCTION("""COMPUTED_VALUE"""),1466.7)</f>
        <v>1466.7</v>
      </c>
      <c r="C1076" s="3">
        <f t="shared" ca="1" si="32"/>
        <v>-8.1749437972617031E-4</v>
      </c>
      <c r="D1076">
        <f t="shared" ref="D1076:D1139" ca="1" si="33">AVERAGE(B1027:B1075)</f>
        <v>1489.8183673469391</v>
      </c>
    </row>
    <row r="1077" spans="1:4" x14ac:dyDescent="0.25">
      <c r="A1077" s="2">
        <f ca="1">IFERROR(__xludf.DUMMYFUNCTION("""COMPUTED_VALUE"""),45968.6458333333)</f>
        <v>45968.645833333299</v>
      </c>
      <c r="B1077" s="1">
        <f ca="1">IFERROR(__xludf.DUMMYFUNCTION("""COMPUTED_VALUE"""),1476.8)</f>
        <v>1476.8</v>
      </c>
      <c r="C1077" s="3">
        <f t="shared" ca="1" si="32"/>
        <v>6.8862071316560369E-3</v>
      </c>
      <c r="D1077">
        <f t="shared" ca="1" si="33"/>
        <v>1488.4836734693879</v>
      </c>
    </row>
    <row r="1078" spans="1:4" x14ac:dyDescent="0.25">
      <c r="A1078" s="2">
        <f ca="1">IFERROR(__xludf.DUMMYFUNCTION("""COMPUTED_VALUE"""),45971.6458333333)</f>
        <v>45971.645833333299</v>
      </c>
      <c r="B1078" s="1">
        <f ca="1">IFERROR(__xludf.DUMMYFUNCTION("""COMPUTED_VALUE"""),1513.5)</f>
        <v>1513.5</v>
      </c>
      <c r="C1078" s="3">
        <f t="shared" ca="1" si="32"/>
        <v>2.4851029252437734E-2</v>
      </c>
      <c r="D1078">
        <f t="shared" ca="1" si="33"/>
        <v>1487.4061224489797</v>
      </c>
    </row>
    <row r="1079" spans="1:4" x14ac:dyDescent="0.25">
      <c r="A1079" s="2">
        <f ca="1">IFERROR(__xludf.DUMMYFUNCTION("""COMPUTED_VALUE"""),45972.6458333333)</f>
        <v>45972.645833333299</v>
      </c>
      <c r="B1079" s="1">
        <f ca="1">IFERROR(__xludf.DUMMYFUNCTION("""COMPUTED_VALUE"""),1530.3)</f>
        <v>1530.3</v>
      </c>
      <c r="C1079" s="3">
        <f t="shared" ca="1" si="32"/>
        <v>1.1100099108027721E-2</v>
      </c>
      <c r="D1079">
        <f t="shared" ca="1" si="33"/>
        <v>1487.679591836735</v>
      </c>
    </row>
    <row r="1080" spans="1:4" x14ac:dyDescent="0.25">
      <c r="A1080" s="2">
        <f ca="1">IFERROR(__xludf.DUMMYFUNCTION("""COMPUTED_VALUE"""),45973.6458333333)</f>
        <v>45973.645833333299</v>
      </c>
      <c r="B1080" s="1">
        <f ca="1">IFERROR(__xludf.DUMMYFUNCTION("""COMPUTED_VALUE"""),1551.7)</f>
        <v>1551.7</v>
      </c>
      <c r="C1080" s="3">
        <f t="shared" ca="1" si="32"/>
        <v>1.3984186107299281E-2</v>
      </c>
      <c r="D1080">
        <f t="shared" ca="1" si="33"/>
        <v>1488.918367346939</v>
      </c>
    </row>
    <row r="1081" spans="1:4" x14ac:dyDescent="0.25">
      <c r="A1081" s="2">
        <f ca="1">IFERROR(__xludf.DUMMYFUNCTION("""COMPUTED_VALUE"""),45974.6458333333)</f>
        <v>45974.645833333299</v>
      </c>
      <c r="B1081" s="1">
        <f ca="1">IFERROR(__xludf.DUMMYFUNCTION("""COMPUTED_VALUE"""),1541.8)</f>
        <v>1541.8</v>
      </c>
      <c r="C1081" s="3">
        <f t="shared" ca="1" si="32"/>
        <v>-6.3800992459883297E-3</v>
      </c>
      <c r="D1081">
        <f t="shared" ca="1" si="33"/>
        <v>1489.9857142857147</v>
      </c>
    </row>
    <row r="1082" spans="1:4" x14ac:dyDescent="0.25">
      <c r="A1082" s="2">
        <f ca="1">IFERROR(__xludf.DUMMYFUNCTION("""COMPUTED_VALUE"""),45975.6458333333)</f>
        <v>45975.645833333299</v>
      </c>
      <c r="B1082" s="1">
        <f ca="1">IFERROR(__xludf.DUMMYFUNCTION("""COMPUTED_VALUE"""),1502.8)</f>
        <v>1502.8</v>
      </c>
      <c r="C1082" s="3">
        <f t="shared" ca="1" si="32"/>
        <v>-2.5295109612141653E-2</v>
      </c>
      <c r="D1082">
        <f t="shared" ca="1" si="33"/>
        <v>1490.8653061224491</v>
      </c>
    </row>
    <row r="1083" spans="1:4" x14ac:dyDescent="0.25">
      <c r="A1083" s="2">
        <f ca="1">IFERROR(__xludf.DUMMYFUNCTION("""COMPUTED_VALUE"""),45978.6458333333)</f>
        <v>45978.645833333299</v>
      </c>
      <c r="B1083" s="1">
        <f ca="1">IFERROR(__xludf.DUMMYFUNCTION("""COMPUTED_VALUE"""),1507.6)</f>
        <v>1507.6</v>
      </c>
      <c r="C1083" s="3">
        <f t="shared" ca="1" si="32"/>
        <v>3.1940377961138904E-3</v>
      </c>
      <c r="D1083">
        <f t="shared" ca="1" si="33"/>
        <v>1491.348979591837</v>
      </c>
    </row>
    <row r="1084" spans="1:4" x14ac:dyDescent="0.25">
      <c r="A1084" s="2">
        <f ca="1">IFERROR(__xludf.DUMMYFUNCTION("""COMPUTED_VALUE"""),45979.6458333333)</f>
        <v>45979.645833333299</v>
      </c>
      <c r="B1084" s="1">
        <f ca="1">IFERROR(__xludf.DUMMYFUNCTION("""COMPUTED_VALUE"""),1486.4)</f>
        <v>1486.4</v>
      </c>
      <c r="C1084" s="3">
        <f t="shared" ca="1" si="32"/>
        <v>-1.4062085433801949E-2</v>
      </c>
      <c r="D1084">
        <f t="shared" ca="1" si="33"/>
        <v>1492.2591836734696</v>
      </c>
    </row>
    <row r="1085" spans="1:4" x14ac:dyDescent="0.25">
      <c r="A1085" s="2">
        <f ca="1">IFERROR(__xludf.DUMMYFUNCTION("""COMPUTED_VALUE"""),45980.6458333333)</f>
        <v>45980.645833333299</v>
      </c>
      <c r="B1085" s="1">
        <f ca="1">IFERROR(__xludf.DUMMYFUNCTION("""COMPUTED_VALUE"""),1541.1)</f>
        <v>1541.1</v>
      </c>
      <c r="C1085" s="3">
        <f t="shared" ca="1" si="32"/>
        <v>3.6800322927879318E-2</v>
      </c>
      <c r="D1085">
        <f t="shared" ca="1" si="33"/>
        <v>1493.1122448979595</v>
      </c>
    </row>
    <row r="1086" spans="1:4" x14ac:dyDescent="0.25">
      <c r="A1086" s="2">
        <f ca="1">IFERROR(__xludf.DUMMYFUNCTION("""COMPUTED_VALUE"""),45981.6458333333)</f>
        <v>45981.645833333299</v>
      </c>
      <c r="B1086" s="1">
        <f ca="1">IFERROR(__xludf.DUMMYFUNCTION("""COMPUTED_VALUE"""),1536.5)</f>
        <v>1536.5</v>
      </c>
      <c r="C1086" s="3">
        <f t="shared" ca="1" si="32"/>
        <v>-2.9848809292063521E-3</v>
      </c>
      <c r="D1086">
        <f t="shared" ca="1" si="33"/>
        <v>1495.3204081632659</v>
      </c>
    </row>
    <row r="1087" spans="1:4" x14ac:dyDescent="0.25">
      <c r="A1087" s="2">
        <f ca="1">IFERROR(__xludf.DUMMYFUNCTION("""COMPUTED_VALUE"""),45982.6458333333)</f>
        <v>45982.645833333299</v>
      </c>
      <c r="B1087" s="1">
        <f ca="1">IFERROR(__xludf.DUMMYFUNCTION("""COMPUTED_VALUE"""),1545)</f>
        <v>1545</v>
      </c>
      <c r="C1087" s="3">
        <f t="shared" ca="1" si="32"/>
        <v>5.5320533680442568E-3</v>
      </c>
      <c r="D1087">
        <f t="shared" ca="1" si="33"/>
        <v>1495.9775510204083</v>
      </c>
    </row>
    <row r="1088" spans="1:4" x14ac:dyDescent="0.25">
      <c r="A1088" s="2">
        <f ca="1">IFERROR(__xludf.DUMMYFUNCTION("""COMPUTED_VALUE"""),45985.6458333333)</f>
        <v>45985.645833333299</v>
      </c>
      <c r="B1088" s="1">
        <f ca="1">IFERROR(__xludf.DUMMYFUNCTION("""COMPUTED_VALUE"""),1548)</f>
        <v>1548</v>
      </c>
      <c r="C1088" s="3">
        <f t="shared" ca="1" si="32"/>
        <v>1.9417475728155339E-3</v>
      </c>
      <c r="D1088">
        <f t="shared" ca="1" si="33"/>
        <v>1496.2306122448983</v>
      </c>
    </row>
    <row r="1089" spans="1:4" x14ac:dyDescent="0.25">
      <c r="A1089" s="2">
        <f ca="1">IFERROR(__xludf.DUMMYFUNCTION("""COMPUTED_VALUE"""),45986.6458333333)</f>
        <v>45986.645833333299</v>
      </c>
      <c r="B1089" s="1">
        <f ca="1">IFERROR(__xludf.DUMMYFUNCTION("""COMPUTED_VALUE"""),1530.6)</f>
        <v>1530.6</v>
      </c>
      <c r="C1089" s="3">
        <f t="shared" ca="1" si="32"/>
        <v>-1.1240310077519439E-2</v>
      </c>
      <c r="D1089">
        <f t="shared" ca="1" si="33"/>
        <v>1497.0122448979596</v>
      </c>
    </row>
    <row r="1090" spans="1:4" x14ac:dyDescent="0.25">
      <c r="A1090" s="2">
        <f ca="1">IFERROR(__xludf.DUMMYFUNCTION("""COMPUTED_VALUE"""),45987.6458333333)</f>
        <v>45987.645833333299</v>
      </c>
      <c r="B1090" s="1">
        <f ca="1">IFERROR(__xludf.DUMMYFUNCTION("""COMPUTED_VALUE"""),1557.9)</f>
        <v>1557.9</v>
      </c>
      <c r="C1090" s="3">
        <f t="shared" ca="1" si="32"/>
        <v>1.7836142689141632E-2</v>
      </c>
      <c r="D1090">
        <f t="shared" ca="1" si="33"/>
        <v>1497.1142857142861</v>
      </c>
    </row>
    <row r="1091" spans="1:4" x14ac:dyDescent="0.25">
      <c r="A1091" s="2">
        <f ca="1">IFERROR(__xludf.DUMMYFUNCTION("""COMPUTED_VALUE"""),45988.6458333333)</f>
        <v>45988.645833333299</v>
      </c>
      <c r="B1091" s="1">
        <f ca="1">IFERROR(__xludf.DUMMYFUNCTION("""COMPUTED_VALUE"""),1566.4)</f>
        <v>1566.4</v>
      </c>
      <c r="C1091" s="3">
        <f t="shared" ca="1" si="32"/>
        <v>5.4560626484369979E-3</v>
      </c>
      <c r="D1091">
        <f t="shared" ca="1" si="33"/>
        <v>1498.1244897959189</v>
      </c>
    </row>
    <row r="1092" spans="1:4" x14ac:dyDescent="0.25">
      <c r="A1092" s="2">
        <f ca="1">IFERROR(__xludf.DUMMYFUNCTION("""COMPUTED_VALUE"""),45989.6458333333)</f>
        <v>45989.645833333299</v>
      </c>
      <c r="B1092" s="1">
        <f ca="1">IFERROR(__xludf.DUMMYFUNCTION("""COMPUTED_VALUE"""),1560.1)</f>
        <v>1560.1</v>
      </c>
      <c r="C1092" s="3">
        <f t="shared" ref="C1092:C1155" ca="1" si="34">(B1092-B1091)/B1091</f>
        <v>-4.0219611848826492E-3</v>
      </c>
      <c r="D1092">
        <f t="shared" ca="1" si="33"/>
        <v>1499.248979591837</v>
      </c>
    </row>
    <row r="1093" spans="1:4" x14ac:dyDescent="0.25">
      <c r="A1093" s="2">
        <f ca="1">IFERROR(__xludf.DUMMYFUNCTION("""COMPUTED_VALUE"""),45992.6458333333)</f>
        <v>45992.645833333299</v>
      </c>
      <c r="B1093" s="1">
        <f ca="1">IFERROR(__xludf.DUMMYFUNCTION("""COMPUTED_VALUE"""),1564)</f>
        <v>1564</v>
      </c>
      <c r="C1093" s="3">
        <f t="shared" ca="1" si="34"/>
        <v>2.4998397538619904E-3</v>
      </c>
      <c r="D1093">
        <f t="shared" ca="1" si="33"/>
        <v>1500.0183673469392</v>
      </c>
    </row>
    <row r="1094" spans="1:4" x14ac:dyDescent="0.25">
      <c r="A1094" s="2">
        <f ca="1">IFERROR(__xludf.DUMMYFUNCTION("""COMPUTED_VALUE"""),45993.6458333333)</f>
        <v>45993.645833333299</v>
      </c>
      <c r="B1094" s="1">
        <f ca="1">IFERROR(__xludf.DUMMYFUNCTION("""COMPUTED_VALUE"""),1561)</f>
        <v>1561</v>
      </c>
      <c r="C1094" s="3">
        <f t="shared" ca="1" si="34"/>
        <v>-1.9181585677749361E-3</v>
      </c>
      <c r="D1094">
        <f t="shared" ca="1" si="33"/>
        <v>1500.4959183673473</v>
      </c>
    </row>
    <row r="1095" spans="1:4" x14ac:dyDescent="0.25">
      <c r="A1095" s="2">
        <f ca="1">IFERROR(__xludf.DUMMYFUNCTION("""COMPUTED_VALUE"""),45994.6458333333)</f>
        <v>45994.645833333299</v>
      </c>
      <c r="B1095" s="1">
        <f ca="1">IFERROR(__xludf.DUMMYFUNCTION("""COMPUTED_VALUE"""),1578.7)</f>
        <v>1578.7</v>
      </c>
      <c r="C1095" s="3">
        <f t="shared" ca="1" si="34"/>
        <v>1.1338885329916748E-2</v>
      </c>
      <c r="D1095">
        <f t="shared" ca="1" si="33"/>
        <v>1500.9204081632654</v>
      </c>
    </row>
    <row r="1096" spans="1:4" x14ac:dyDescent="0.25">
      <c r="A1096" s="2">
        <f ca="1">IFERROR(__xludf.DUMMYFUNCTION("""COMPUTED_VALUE"""),45995.6458333333)</f>
        <v>45995.645833333299</v>
      </c>
      <c r="B1096" s="1">
        <f ca="1">IFERROR(__xludf.DUMMYFUNCTION("""COMPUTED_VALUE"""),1597.6)</f>
        <v>1597.6</v>
      </c>
      <c r="C1096" s="3">
        <f t="shared" ca="1" si="34"/>
        <v>1.1971875593842949E-2</v>
      </c>
      <c r="D1096">
        <f t="shared" ca="1" si="33"/>
        <v>1502.5367346938776</v>
      </c>
    </row>
    <row r="1097" spans="1:4" x14ac:dyDescent="0.25">
      <c r="A1097" s="2">
        <f ca="1">IFERROR(__xludf.DUMMYFUNCTION("""COMPUTED_VALUE"""),45996.6458333333)</f>
        <v>45996.645833333299</v>
      </c>
      <c r="B1097" s="1">
        <f ca="1">IFERROR(__xludf.DUMMYFUNCTION("""COMPUTED_VALUE"""),1616.2)</f>
        <v>1616.2</v>
      </c>
      <c r="C1097" s="3">
        <f t="shared" ca="1" si="34"/>
        <v>1.1642463695543401E-2</v>
      </c>
      <c r="D1097">
        <f t="shared" ca="1" si="33"/>
        <v>1504.5795918367351</v>
      </c>
    </row>
    <row r="1098" spans="1:4" x14ac:dyDescent="0.25">
      <c r="A1098" s="2">
        <f ca="1">IFERROR(__xludf.DUMMYFUNCTION("""COMPUTED_VALUE"""),45999.6458333333)</f>
        <v>45999.645833333299</v>
      </c>
      <c r="B1098" s="1">
        <f ca="1">IFERROR(__xludf.DUMMYFUNCTION("""COMPUTED_VALUE"""),1610.8)</f>
        <v>1610.8</v>
      </c>
      <c r="C1098" s="3">
        <f t="shared" ca="1" si="34"/>
        <v>-3.3411706471971852E-3</v>
      </c>
      <c r="D1098">
        <f t="shared" ca="1" si="33"/>
        <v>1507.0612244897961</v>
      </c>
    </row>
    <row r="1099" spans="1:4" x14ac:dyDescent="0.25">
      <c r="A1099" s="2">
        <f ca="1">IFERROR(__xludf.DUMMYFUNCTION("""COMPUTED_VALUE"""),46000.6458333333)</f>
        <v>46000.645833333299</v>
      </c>
      <c r="B1099" s="1">
        <f ca="1">IFERROR(__xludf.DUMMYFUNCTION("""COMPUTED_VALUE"""),1599)</f>
        <v>1599</v>
      </c>
      <c r="C1099" s="3">
        <f t="shared" ca="1" si="34"/>
        <v>-7.3255525204866867E-3</v>
      </c>
      <c r="D1099">
        <f t="shared" ca="1" si="33"/>
        <v>1509.6326530612248</v>
      </c>
    </row>
    <row r="1100" spans="1:4" x14ac:dyDescent="0.25">
      <c r="A1100" s="2">
        <f ca="1">IFERROR(__xludf.DUMMYFUNCTION("""COMPUTED_VALUE"""),46001.6458333333)</f>
        <v>46001.645833333299</v>
      </c>
      <c r="B1100" s="1">
        <f ca="1">IFERROR(__xludf.DUMMYFUNCTION("""COMPUTED_VALUE"""),1584.8)</f>
        <v>1584.8</v>
      </c>
      <c r="C1100" s="3">
        <f t="shared" ca="1" si="34"/>
        <v>-8.8805503439650067E-3</v>
      </c>
      <c r="D1100">
        <f t="shared" ca="1" si="33"/>
        <v>1512.6959183673473</v>
      </c>
    </row>
    <row r="1101" spans="1:4" x14ac:dyDescent="0.25">
      <c r="A1101" s="2">
        <f ca="1">IFERROR(__xludf.DUMMYFUNCTION("""COMPUTED_VALUE"""),46002.6458333333)</f>
        <v>46002.645833333299</v>
      </c>
      <c r="B1101" s="1">
        <f ca="1">IFERROR(__xludf.DUMMYFUNCTION("""COMPUTED_VALUE"""),1598)</f>
        <v>1598</v>
      </c>
      <c r="C1101" s="3">
        <f t="shared" ca="1" si="34"/>
        <v>8.3291267036850365E-3</v>
      </c>
      <c r="D1101">
        <f t="shared" ca="1" si="33"/>
        <v>1515.6142857142861</v>
      </c>
    </row>
    <row r="1102" spans="1:4" x14ac:dyDescent="0.25">
      <c r="A1102" s="2">
        <f ca="1">IFERROR(__xludf.DUMMYFUNCTION("""COMPUTED_VALUE"""),46003.6458333333)</f>
        <v>46003.645833333299</v>
      </c>
      <c r="B1102" s="1">
        <f ca="1">IFERROR(__xludf.DUMMYFUNCTION("""COMPUTED_VALUE"""),1598.2)</f>
        <v>1598.2</v>
      </c>
      <c r="C1102" s="3">
        <f t="shared" ca="1" si="34"/>
        <v>1.2515644555697464E-4</v>
      </c>
      <c r="D1102">
        <f t="shared" ca="1" si="33"/>
        <v>1518.8020408163266</v>
      </c>
    </row>
    <row r="1103" spans="1:4" x14ac:dyDescent="0.25">
      <c r="A1103" s="2">
        <f ca="1">IFERROR(__xludf.DUMMYFUNCTION("""COMPUTED_VALUE"""),46006.6458333333)</f>
        <v>46006.645833333299</v>
      </c>
      <c r="B1103" s="1">
        <f ca="1">IFERROR(__xludf.DUMMYFUNCTION("""COMPUTED_VALUE"""),1606.8)</f>
        <v>1606.8</v>
      </c>
      <c r="C1103" s="3">
        <f t="shared" ca="1" si="34"/>
        <v>5.3810536853960136E-3</v>
      </c>
      <c r="D1103">
        <f t="shared" ca="1" si="33"/>
        <v>1521.9122448979595</v>
      </c>
    </row>
    <row r="1104" spans="1:4" x14ac:dyDescent="0.25">
      <c r="A1104" s="2">
        <f ca="1">IFERROR(__xludf.DUMMYFUNCTION("""COMPUTED_VALUE"""),46007.6458333333)</f>
        <v>46007.645833333299</v>
      </c>
      <c r="B1104" s="1">
        <f ca="1">IFERROR(__xludf.DUMMYFUNCTION("""COMPUTED_VALUE"""),1592.9)</f>
        <v>1592.9</v>
      </c>
      <c r="C1104" s="3">
        <f t="shared" ca="1" si="34"/>
        <v>-8.6507343788896334E-3</v>
      </c>
      <c r="D1104">
        <f t="shared" ca="1" si="33"/>
        <v>1525.1816326530613</v>
      </c>
    </row>
    <row r="1105" spans="1:4" x14ac:dyDescent="0.25">
      <c r="A1105" s="2">
        <f ca="1">IFERROR(__xludf.DUMMYFUNCTION("""COMPUTED_VALUE"""),46008.6458333333)</f>
        <v>46008.645833333299</v>
      </c>
      <c r="B1105" s="1">
        <f ca="1">IFERROR(__xludf.DUMMYFUNCTION("""COMPUTED_VALUE"""),1602)</f>
        <v>1602</v>
      </c>
      <c r="C1105" s="3">
        <f t="shared" ca="1" si="34"/>
        <v>5.712850775315405E-3</v>
      </c>
      <c r="D1105">
        <f t="shared" ca="1" si="33"/>
        <v>1527.5673469387755</v>
      </c>
    </row>
    <row r="1106" spans="1:4" x14ac:dyDescent="0.25">
      <c r="A1106" s="2">
        <f ca="1">IFERROR(__xludf.DUMMYFUNCTION("""COMPUTED_VALUE"""),46009.6458333333)</f>
        <v>46009.645833333299</v>
      </c>
      <c r="B1106" s="1">
        <f ca="1">IFERROR(__xludf.DUMMYFUNCTION("""COMPUTED_VALUE"""),1626.8)</f>
        <v>1626.8</v>
      </c>
      <c r="C1106" s="3">
        <f t="shared" ca="1" si="34"/>
        <v>1.5480649188514328E-2</v>
      </c>
      <c r="D1106">
        <f t="shared" ca="1" si="33"/>
        <v>1530.495918367347</v>
      </c>
    </row>
    <row r="1107" spans="1:4" x14ac:dyDescent="0.25">
      <c r="A1107" s="2">
        <f ca="1">IFERROR(__xludf.DUMMYFUNCTION("""COMPUTED_VALUE"""),46010.6458333333)</f>
        <v>46010.645833333299</v>
      </c>
      <c r="B1107" s="1">
        <f ca="1">IFERROR(__xludf.DUMMYFUNCTION("""COMPUTED_VALUE"""),1638.7)</f>
        <v>1638.7</v>
      </c>
      <c r="C1107" s="3">
        <f t="shared" ca="1" si="34"/>
        <v>7.3149741824441181E-3</v>
      </c>
      <c r="D1107">
        <f t="shared" ca="1" si="33"/>
        <v>1533.1857142857141</v>
      </c>
    </row>
    <row r="1108" spans="1:4" x14ac:dyDescent="0.25">
      <c r="A1108" s="2">
        <f ca="1">IFERROR(__xludf.DUMMYFUNCTION("""COMPUTED_VALUE"""),46013.6458333333)</f>
        <v>46013.645833333299</v>
      </c>
      <c r="B1108" s="1">
        <f ca="1">IFERROR(__xludf.DUMMYFUNCTION("""COMPUTED_VALUE"""),1689.6)</f>
        <v>1689.6</v>
      </c>
      <c r="C1108" s="3">
        <f t="shared" ca="1" si="34"/>
        <v>3.1061207054372285E-2</v>
      </c>
      <c r="D1108">
        <f t="shared" ca="1" si="33"/>
        <v>1535.8265306122448</v>
      </c>
    </row>
    <row r="1109" spans="1:4" x14ac:dyDescent="0.25">
      <c r="A1109" s="2">
        <f ca="1">IFERROR(__xludf.DUMMYFUNCTION("""COMPUTED_VALUE"""),46014.6458333333)</f>
        <v>46014.645833333299</v>
      </c>
      <c r="B1109" s="1">
        <f ca="1">IFERROR(__xludf.DUMMYFUNCTION("""COMPUTED_VALUE"""),1668.3)</f>
        <v>1668.3</v>
      </c>
      <c r="C1109" s="3">
        <f t="shared" ca="1" si="34"/>
        <v>-1.2606534090909064E-2</v>
      </c>
      <c r="D1109">
        <f t="shared" ca="1" si="33"/>
        <v>1539.3918367346942</v>
      </c>
    </row>
    <row r="1110" spans="1:4" x14ac:dyDescent="0.25">
      <c r="A1110" s="2">
        <f ca="1">IFERROR(__xludf.DUMMYFUNCTION("""COMPUTED_VALUE"""),46015.6458333333)</f>
        <v>46015.645833333299</v>
      </c>
      <c r="B1110" s="1">
        <f ca="1">IFERROR(__xludf.DUMMYFUNCTION("""COMPUTED_VALUE"""),1663.4)</f>
        <v>1663.4</v>
      </c>
      <c r="C1110" s="3">
        <f t="shared" ca="1" si="34"/>
        <v>-2.9371216208115229E-3</v>
      </c>
      <c r="D1110">
        <f t="shared" ca="1" si="33"/>
        <v>1542.965306122449</v>
      </c>
    </row>
    <row r="1111" spans="1:4" x14ac:dyDescent="0.25">
      <c r="A1111" s="2">
        <f ca="1">IFERROR(__xludf.DUMMYFUNCTION("""COMPUTED_VALUE"""),46017.6458333333)</f>
        <v>46017.645833333299</v>
      </c>
      <c r="B1111" s="1">
        <f ca="1">IFERROR(__xludf.DUMMYFUNCTION("""COMPUTED_VALUE"""),1656.1)</f>
        <v>1656.1</v>
      </c>
      <c r="C1111" s="3">
        <f t="shared" ca="1" si="34"/>
        <v>-4.3886016592522437E-3</v>
      </c>
      <c r="D1111">
        <f t="shared" ca="1" si="33"/>
        <v>1546.5061224489796</v>
      </c>
    </row>
    <row r="1112" spans="1:4" x14ac:dyDescent="0.25">
      <c r="A1112" s="2">
        <f ca="1">IFERROR(__xludf.DUMMYFUNCTION("""COMPUTED_VALUE"""),46020.6458333333)</f>
        <v>46020.645833333299</v>
      </c>
      <c r="B1112" s="1">
        <f ca="1">IFERROR(__xludf.DUMMYFUNCTION("""COMPUTED_VALUE"""),1644.7)</f>
        <v>1644.7</v>
      </c>
      <c r="C1112" s="3">
        <f t="shared" ca="1" si="34"/>
        <v>-6.8836422921320353E-3</v>
      </c>
      <c r="D1112">
        <f t="shared" ca="1" si="33"/>
        <v>1550.214285714286</v>
      </c>
    </row>
    <row r="1113" spans="1:4" x14ac:dyDescent="0.25">
      <c r="A1113" s="2">
        <f ca="1">IFERROR(__xludf.DUMMYFUNCTION("""COMPUTED_VALUE"""),46021.6458333333)</f>
        <v>46021.645833333299</v>
      </c>
      <c r="B1113" s="1">
        <f ca="1">IFERROR(__xludf.DUMMYFUNCTION("""COMPUTED_VALUE"""),1621.6)</f>
        <v>1621.6</v>
      </c>
      <c r="C1113" s="3">
        <f t="shared" ca="1" si="34"/>
        <v>-1.404511461056736E-2</v>
      </c>
      <c r="D1113">
        <f t="shared" ca="1" si="33"/>
        <v>1553.7489795918366</v>
      </c>
    </row>
    <row r="1114" spans="1:4" x14ac:dyDescent="0.25">
      <c r="A1114" s="2">
        <f ca="1">IFERROR(__xludf.DUMMYFUNCTION("""COMPUTED_VALUE"""),46022.6458333333)</f>
        <v>46022.645833333299</v>
      </c>
      <c r="B1114" s="1">
        <f ca="1">IFERROR(__xludf.DUMMYFUNCTION("""COMPUTED_VALUE"""),1615.4)</f>
        <v>1615.4</v>
      </c>
      <c r="C1114" s="3">
        <f t="shared" ca="1" si="34"/>
        <v>-3.8233843117907117E-3</v>
      </c>
      <c r="D1114">
        <f t="shared" ca="1" si="33"/>
        <v>1557.4326530612248</v>
      </c>
    </row>
    <row r="1115" spans="1:4" x14ac:dyDescent="0.25">
      <c r="A1115" s="2">
        <f ca="1">IFERROR(__xludf.DUMMYFUNCTION("""COMPUTED_VALUE"""),46023.6458333333)</f>
        <v>46023.645833333299</v>
      </c>
      <c r="B1115" s="1">
        <f ca="1">IFERROR(__xludf.DUMMYFUNCTION("""COMPUTED_VALUE"""),1629.8)</f>
        <v>1629.8</v>
      </c>
      <c r="C1115" s="3">
        <f t="shared" ca="1" si="34"/>
        <v>8.9142008171349905E-3</v>
      </c>
      <c r="D1115">
        <f t="shared" ca="1" si="33"/>
        <v>1560.5857142857142</v>
      </c>
    </row>
    <row r="1116" spans="1:4" x14ac:dyDescent="0.25">
      <c r="A1116" s="2">
        <f ca="1">IFERROR(__xludf.DUMMYFUNCTION("""COMPUTED_VALUE"""),46024.6458333333)</f>
        <v>46024.645833333299</v>
      </c>
      <c r="B1116" s="1">
        <f ca="1">IFERROR(__xludf.DUMMYFUNCTION("""COMPUTED_VALUE"""),1640.4)</f>
        <v>1640.4</v>
      </c>
      <c r="C1116" s="3">
        <f t="shared" ca="1" si="34"/>
        <v>6.5038655049700191E-3</v>
      </c>
      <c r="D1116">
        <f t="shared" ca="1" si="33"/>
        <v>1563.7979591836734</v>
      </c>
    </row>
    <row r="1117" spans="1:4" x14ac:dyDescent="0.25">
      <c r="A1117" s="2">
        <f ca="1">IFERROR(__xludf.DUMMYFUNCTION("""COMPUTED_VALUE"""),46027.6458333333)</f>
        <v>46027.645833333299</v>
      </c>
      <c r="B1117" s="1">
        <f ca="1">IFERROR(__xludf.DUMMYFUNCTION("""COMPUTED_VALUE"""),1606.4)</f>
        <v>1606.4</v>
      </c>
      <c r="C1117" s="3">
        <f t="shared" ca="1" si="34"/>
        <v>-2.0726652036088759E-2</v>
      </c>
      <c r="D1117">
        <f t="shared" ca="1" si="33"/>
        <v>1566.0816326530612</v>
      </c>
    </row>
    <row r="1118" spans="1:4" x14ac:dyDescent="0.25">
      <c r="A1118" s="2">
        <f ca="1">IFERROR(__xludf.DUMMYFUNCTION("""COMPUTED_VALUE"""),46028.6458333333)</f>
        <v>46028.645833333299</v>
      </c>
      <c r="B1118" s="1">
        <f ca="1">IFERROR(__xludf.DUMMYFUNCTION("""COMPUTED_VALUE"""),1612.2)</f>
        <v>1612.2</v>
      </c>
      <c r="C1118" s="3">
        <f t="shared" ca="1" si="34"/>
        <v>3.6105577689242744E-3</v>
      </c>
      <c r="D1118">
        <f t="shared" ca="1" si="33"/>
        <v>1567.7346938775506</v>
      </c>
    </row>
    <row r="1119" spans="1:4" x14ac:dyDescent="0.25">
      <c r="A1119" s="2">
        <f ca="1">IFERROR(__xludf.DUMMYFUNCTION("""COMPUTED_VALUE"""),46029.6458333333)</f>
        <v>46029.645833333299</v>
      </c>
      <c r="B1119" s="1">
        <f ca="1">IFERROR(__xludf.DUMMYFUNCTION("""COMPUTED_VALUE"""),1639)</f>
        <v>1639</v>
      </c>
      <c r="C1119" s="3">
        <f t="shared" ca="1" si="34"/>
        <v>1.6623247736012873E-2</v>
      </c>
      <c r="D1119">
        <f t="shared" ca="1" si="33"/>
        <v>1569.9326530612241</v>
      </c>
    </row>
    <row r="1120" spans="1:4" x14ac:dyDescent="0.25">
      <c r="A1120" s="2">
        <f ca="1">IFERROR(__xludf.DUMMYFUNCTION("""COMPUTED_VALUE"""),46030.6458333333)</f>
        <v>46030.645833333299</v>
      </c>
      <c r="B1120" s="1">
        <f ca="1">IFERROR(__xludf.DUMMYFUNCTION("""COMPUTED_VALUE"""),1613.3)</f>
        <v>1613.3</v>
      </c>
      <c r="C1120" s="3">
        <f t="shared" ca="1" si="34"/>
        <v>-1.5680292861500942E-2</v>
      </c>
      <c r="D1120">
        <f t="shared" ca="1" si="33"/>
        <v>1572.7653061224487</v>
      </c>
    </row>
    <row r="1121" spans="1:4" x14ac:dyDescent="0.25">
      <c r="A1121" s="2">
        <f ca="1">IFERROR(__xludf.DUMMYFUNCTION("""COMPUTED_VALUE"""),46031.6458333333)</f>
        <v>46031.645833333299</v>
      </c>
      <c r="B1121" s="1">
        <f ca="1">IFERROR(__xludf.DUMMYFUNCTION("""COMPUTED_VALUE"""),1614.1)</f>
        <v>1614.1</v>
      </c>
      <c r="C1121" s="3">
        <f t="shared" ca="1" si="34"/>
        <v>4.9587801400852573E-4</v>
      </c>
      <c r="D1121">
        <f t="shared" ca="1" si="33"/>
        <v>1574.8653061224486</v>
      </c>
    </row>
    <row r="1122" spans="1:4" x14ac:dyDescent="0.25">
      <c r="A1122" s="2">
        <f ca="1">IFERROR(__xludf.DUMMYFUNCTION("""COMPUTED_VALUE"""),46034.6458333333)</f>
        <v>46034.645833333299</v>
      </c>
      <c r="B1122" s="1">
        <f ca="1">IFERROR(__xludf.DUMMYFUNCTION("""COMPUTED_VALUE"""),1595.9)</f>
        <v>1595.9</v>
      </c>
      <c r="C1122" s="3">
        <f t="shared" ca="1" si="34"/>
        <v>-1.1275633479957759E-2</v>
      </c>
      <c r="D1122">
        <f t="shared" ca="1" si="33"/>
        <v>1577.320408163265</v>
      </c>
    </row>
    <row r="1123" spans="1:4" x14ac:dyDescent="0.25">
      <c r="A1123" s="2">
        <f ca="1">IFERROR(__xludf.DUMMYFUNCTION("""COMPUTED_VALUE"""),46035.6458333333)</f>
        <v>46035.645833333299</v>
      </c>
      <c r="B1123" s="1">
        <f ca="1">IFERROR(__xludf.DUMMYFUNCTION("""COMPUTED_VALUE"""),1599)</f>
        <v>1599</v>
      </c>
      <c r="C1123" s="3">
        <f t="shared" ca="1" si="34"/>
        <v>1.9424775988469885E-3</v>
      </c>
      <c r="D1123">
        <f t="shared" ca="1" si="33"/>
        <v>1579.6387755102039</v>
      </c>
    </row>
    <row r="1124" spans="1:4" x14ac:dyDescent="0.25">
      <c r="A1124" s="2">
        <f ca="1">IFERROR(__xludf.DUMMYFUNCTION("""COMPUTED_VALUE"""),46036.6458333333)</f>
        <v>46036.645833333299</v>
      </c>
      <c r="B1124" s="1">
        <f ca="1">IFERROR(__xludf.DUMMYFUNCTION("""COMPUTED_VALUE"""),1599.8)</f>
        <v>1599.8</v>
      </c>
      <c r="C1124" s="3">
        <f t="shared" ca="1" si="34"/>
        <v>5.0031269543461825E-4</v>
      </c>
      <c r="D1124">
        <f t="shared" ca="1" si="33"/>
        <v>1581.9551020408164</v>
      </c>
    </row>
    <row r="1125" spans="1:4" x14ac:dyDescent="0.25">
      <c r="A1125" s="2">
        <f ca="1">IFERROR(__xludf.DUMMYFUNCTION("""COMPUTED_VALUE"""),46038.6458333333)</f>
        <v>46038.645833333299</v>
      </c>
      <c r="B1125" s="1">
        <f ca="1">IFERROR(__xludf.DUMMYFUNCTION("""COMPUTED_VALUE"""),1689.8)</f>
        <v>1689.8</v>
      </c>
      <c r="C1125" s="3">
        <f t="shared" ca="1" si="34"/>
        <v>5.625703212901613E-2</v>
      </c>
      <c r="D1125">
        <f t="shared" ca="1" si="33"/>
        <v>1584.6469387755105</v>
      </c>
    </row>
    <row r="1126" spans="1:4" x14ac:dyDescent="0.25">
      <c r="A1126" s="2">
        <f ca="1">IFERROR(__xludf.DUMMYFUNCTION("""COMPUTED_VALUE"""),46041.6458333333)</f>
        <v>46041.645833333299</v>
      </c>
      <c r="B1126" s="1">
        <f ca="1">IFERROR(__xludf.DUMMYFUNCTION("""COMPUTED_VALUE"""),1681.2)</f>
        <v>1681.2</v>
      </c>
      <c r="C1126" s="3">
        <f t="shared" ca="1" si="34"/>
        <v>-5.0893596875369327E-3</v>
      </c>
      <c r="D1126">
        <f t="shared" ca="1" si="33"/>
        <v>1589.2000000000003</v>
      </c>
    </row>
    <row r="1127" spans="1:4" x14ac:dyDescent="0.25">
      <c r="A1127" s="2">
        <f ca="1">IFERROR(__xludf.DUMMYFUNCTION("""COMPUTED_VALUE"""),46042.6458333333)</f>
        <v>46042.645833333299</v>
      </c>
      <c r="B1127" s="1">
        <f ca="1">IFERROR(__xludf.DUMMYFUNCTION("""COMPUTED_VALUE"""),1658.9)</f>
        <v>1658.9</v>
      </c>
      <c r="C1127" s="3">
        <f t="shared" ca="1" si="34"/>
        <v>-1.3264334998810346E-2</v>
      </c>
      <c r="D1127">
        <f t="shared" ca="1" si="33"/>
        <v>1593.3714285714289</v>
      </c>
    </row>
    <row r="1128" spans="1:4" x14ac:dyDescent="0.25">
      <c r="A1128" s="2">
        <f ca="1">IFERROR(__xludf.DUMMYFUNCTION("""COMPUTED_VALUE"""),46043.6458333333)</f>
        <v>46043.645833333299</v>
      </c>
      <c r="B1128" s="1">
        <f ca="1">IFERROR(__xludf.DUMMYFUNCTION("""COMPUTED_VALUE"""),1654.4)</f>
        <v>1654.4</v>
      </c>
      <c r="C1128" s="3">
        <f t="shared" ca="1" si="34"/>
        <v>-2.7126409066248716E-3</v>
      </c>
      <c r="D1128">
        <f t="shared" ca="1" si="33"/>
        <v>1596.3387755102042</v>
      </c>
    </row>
    <row r="1129" spans="1:4" x14ac:dyDescent="0.25">
      <c r="A1129" s="2">
        <f ca="1">IFERROR(__xludf.DUMMYFUNCTION("""COMPUTED_VALUE"""),46044.6458333333)</f>
        <v>46044.645833333299</v>
      </c>
      <c r="B1129" s="1">
        <f ca="1">IFERROR(__xludf.DUMMYFUNCTION("""COMPUTED_VALUE"""),1663.5)</f>
        <v>1663.5</v>
      </c>
      <c r="C1129" s="3">
        <f t="shared" ca="1" si="34"/>
        <v>5.5004835589941422E-3</v>
      </c>
      <c r="D1129">
        <f t="shared" ca="1" si="33"/>
        <v>1598.8714285714286</v>
      </c>
    </row>
    <row r="1130" spans="1:4" x14ac:dyDescent="0.25">
      <c r="A1130" s="2">
        <f ca="1">IFERROR(__xludf.DUMMYFUNCTION("""COMPUTED_VALUE"""),46045.6458333333)</f>
        <v>46045.645833333299</v>
      </c>
      <c r="B1130" s="1">
        <f ca="1">IFERROR(__xludf.DUMMYFUNCTION("""COMPUTED_VALUE"""),1670.8)</f>
        <v>1670.8</v>
      </c>
      <c r="C1130" s="3">
        <f t="shared" ca="1" si="34"/>
        <v>4.3883378418995821E-3</v>
      </c>
      <c r="D1130">
        <f t="shared" ca="1" si="33"/>
        <v>1601.1530612244899</v>
      </c>
    </row>
    <row r="1131" spans="1:4" x14ac:dyDescent="0.25">
      <c r="A1131" s="2">
        <f ca="1">IFERROR(__xludf.DUMMYFUNCTION("""COMPUTED_VALUE"""),46049.6458333333)</f>
        <v>46049.645833333299</v>
      </c>
      <c r="B1131" s="1">
        <f ca="1">IFERROR(__xludf.DUMMYFUNCTION("""COMPUTED_VALUE"""),1682.7)</f>
        <v>1682.7</v>
      </c>
      <c r="C1131" s="3">
        <f t="shared" ca="1" si="34"/>
        <v>7.1223366052191118E-3</v>
      </c>
      <c r="D1131">
        <f t="shared" ca="1" si="33"/>
        <v>1603.7857142857142</v>
      </c>
    </row>
    <row r="1132" spans="1:4" x14ac:dyDescent="0.25">
      <c r="A1132" s="2">
        <f ca="1">IFERROR(__xludf.DUMMYFUNCTION("""COMPUTED_VALUE"""),46050.6458333333)</f>
        <v>46050.645833333299</v>
      </c>
      <c r="B1132" s="1">
        <f ca="1">IFERROR(__xludf.DUMMYFUNCTION("""COMPUTED_VALUE"""),1666.5)</f>
        <v>1666.5</v>
      </c>
      <c r="C1132" s="3">
        <f t="shared" ca="1" si="34"/>
        <v>-9.6273845605277502E-3</v>
      </c>
      <c r="D1132">
        <f t="shared" ca="1" si="33"/>
        <v>1607.4571428571428</v>
      </c>
    </row>
    <row r="1133" spans="1:4" x14ac:dyDescent="0.25">
      <c r="A1133" s="2">
        <f ca="1">IFERROR(__xludf.DUMMYFUNCTION("""COMPUTED_VALUE"""),46051.6458333333)</f>
        <v>46051.645833333299</v>
      </c>
      <c r="B1133" s="1">
        <f ca="1">IFERROR(__xludf.DUMMYFUNCTION("""COMPUTED_VALUE"""),1659.5)</f>
        <v>1659.5</v>
      </c>
      <c r="C1133" s="3">
        <f t="shared" ca="1" si="34"/>
        <v>-4.2004200420042003E-3</v>
      </c>
      <c r="D1133">
        <f t="shared" ca="1" si="33"/>
        <v>1610.6999999999998</v>
      </c>
    </row>
    <row r="1134" spans="1:4" x14ac:dyDescent="0.25">
      <c r="A1134" s="2">
        <f ca="1">IFERROR(__xludf.DUMMYFUNCTION("""COMPUTED_VALUE"""),46052.6458333333)</f>
        <v>46052.645833333299</v>
      </c>
      <c r="B1134" s="1">
        <f ca="1">IFERROR(__xludf.DUMMYFUNCTION("""COMPUTED_VALUE"""),1641)</f>
        <v>1641</v>
      </c>
      <c r="C1134" s="3">
        <f t="shared" ca="1" si="34"/>
        <v>-1.1147936125338957E-2</v>
      </c>
      <c r="D1134">
        <f t="shared" ca="1" si="33"/>
        <v>1614.2326530612245</v>
      </c>
    </row>
    <row r="1135" spans="1:4" x14ac:dyDescent="0.25">
      <c r="A1135" s="2">
        <f ca="1">IFERROR(__xludf.DUMMYFUNCTION("""COMPUTED_VALUE"""),46055.6458333333)</f>
        <v>46055.645833333299</v>
      </c>
      <c r="B1135" s="1">
        <f ca="1">IFERROR(__xludf.DUMMYFUNCTION("""COMPUTED_VALUE"""),1629.4)</f>
        <v>1629.4</v>
      </c>
      <c r="C1135" s="3">
        <f t="shared" ca="1" si="34"/>
        <v>-7.0688604509444907E-3</v>
      </c>
      <c r="D1135">
        <f t="shared" ca="1" si="33"/>
        <v>1616.2714285714287</v>
      </c>
    </row>
    <row r="1136" spans="1:4" x14ac:dyDescent="0.25">
      <c r="A1136" s="2">
        <f ca="1">IFERROR(__xludf.DUMMYFUNCTION("""COMPUTED_VALUE"""),46056.6458333333)</f>
        <v>46056.645833333299</v>
      </c>
      <c r="B1136" s="1">
        <f ca="1">IFERROR(__xludf.DUMMYFUNCTION("""COMPUTED_VALUE"""),1656)</f>
        <v>1656</v>
      </c>
      <c r="C1136" s="3">
        <f t="shared" ca="1" si="34"/>
        <v>1.6325027617527868E-2</v>
      </c>
      <c r="D1136">
        <f t="shared" ca="1" si="33"/>
        <v>1618.1673469387754</v>
      </c>
    </row>
    <row r="1137" spans="1:4" x14ac:dyDescent="0.25">
      <c r="A1137" s="2">
        <f ca="1">IFERROR(__xludf.DUMMYFUNCTION("""COMPUTED_VALUE"""),46057.6458333333)</f>
        <v>46057.645833333299</v>
      </c>
      <c r="B1137" s="1">
        <f ca="1">IFERROR(__xludf.DUMMYFUNCTION("""COMPUTED_VALUE"""),1535.8)</f>
        <v>1535.8</v>
      </c>
      <c r="C1137" s="3">
        <f t="shared" ca="1" si="34"/>
        <v>-7.258454106280196E-2</v>
      </c>
      <c r="D1137">
        <f t="shared" ca="1" si="33"/>
        <v>1620.4326530612248</v>
      </c>
    </row>
    <row r="1138" spans="1:4" x14ac:dyDescent="0.25">
      <c r="A1138" s="2">
        <f ca="1">IFERROR(__xludf.DUMMYFUNCTION("""COMPUTED_VALUE"""),46058.6458333333)</f>
        <v>46058.645833333299</v>
      </c>
      <c r="B1138" s="1">
        <f ca="1">IFERROR(__xludf.DUMMYFUNCTION("""COMPUTED_VALUE"""),1520.2)</f>
        <v>1520.2</v>
      </c>
      <c r="C1138" s="3">
        <f t="shared" ca="1" si="34"/>
        <v>-1.0157572600598977E-2</v>
      </c>
      <c r="D1138">
        <f t="shared" ca="1" si="33"/>
        <v>1620.1836734693879</v>
      </c>
    </row>
    <row r="1139" spans="1:4" x14ac:dyDescent="0.25">
      <c r="A1139" s="2">
        <f ca="1">IFERROR(__xludf.DUMMYFUNCTION("""COMPUTED_VALUE"""),46059.6458333333)</f>
        <v>46059.645833333299</v>
      </c>
      <c r="B1139" s="1">
        <f ca="1">IFERROR(__xludf.DUMMYFUNCTION("""COMPUTED_VALUE"""),1507.1)</f>
        <v>1507.1</v>
      </c>
      <c r="C1139" s="3">
        <f t="shared" ca="1" si="34"/>
        <v>-8.6172871990528449E-3</v>
      </c>
      <c r="D1139">
        <f t="shared" ca="1" si="33"/>
        <v>1619.9714285714283</v>
      </c>
    </row>
    <row r="1140" spans="1:4" x14ac:dyDescent="0.25">
      <c r="A1140" s="2">
        <f ca="1">IFERROR(__xludf.DUMMYFUNCTION("""COMPUTED_VALUE"""),46062.6458333333)</f>
        <v>46062.645833333299</v>
      </c>
      <c r="B1140" s="1">
        <f ca="1">IFERROR(__xludf.DUMMYFUNCTION("""COMPUTED_VALUE"""),1497.2)</f>
        <v>1497.2</v>
      </c>
      <c r="C1140" s="3">
        <f t="shared" ca="1" si="34"/>
        <v>-6.5689071727157216E-3</v>
      </c>
      <c r="D1140">
        <f t="shared" ref="D1140:D1203" ca="1" si="35">AVERAGE(B1091:B1139)</f>
        <v>1618.9346938775514</v>
      </c>
    </row>
    <row r="1141" spans="1:4" x14ac:dyDescent="0.25">
      <c r="A1141" s="2">
        <f ca="1">IFERROR(__xludf.DUMMYFUNCTION("""COMPUTED_VALUE"""),46063.6458333333)</f>
        <v>46063.645833333299</v>
      </c>
      <c r="B1141" s="1">
        <f ca="1">IFERROR(__xludf.DUMMYFUNCTION("""COMPUTED_VALUE"""),1497.8)</f>
        <v>1497.8</v>
      </c>
      <c r="C1141" s="3">
        <f t="shared" ca="1" si="34"/>
        <v>4.0074806305096785E-4</v>
      </c>
      <c r="D1141">
        <f t="shared" ca="1" si="35"/>
        <v>1617.5224489795919</v>
      </c>
    </row>
    <row r="1142" spans="1:4" x14ac:dyDescent="0.25">
      <c r="A1142" s="2">
        <f ca="1">IFERROR(__xludf.DUMMYFUNCTION("""COMPUTED_VALUE"""),46064.6458333333)</f>
        <v>46064.645833333299</v>
      </c>
      <c r="B1142" s="1">
        <f ca="1">IFERROR(__xludf.DUMMYFUNCTION("""COMPUTED_VALUE"""),1471.9)</f>
        <v>1471.9</v>
      </c>
      <c r="C1142" s="3">
        <f t="shared" ca="1" si="34"/>
        <v>-1.7292028308185249E-2</v>
      </c>
      <c r="D1142">
        <f t="shared" ca="1" si="35"/>
        <v>1616.2510204081636</v>
      </c>
    </row>
    <row r="1143" spans="1:4" x14ac:dyDescent="0.25">
      <c r="A1143" s="2">
        <f ca="1">IFERROR(__xludf.DUMMYFUNCTION("""COMPUTED_VALUE"""),46065.6458333333)</f>
        <v>46065.645833333299</v>
      </c>
      <c r="B1143" s="1">
        <f ca="1">IFERROR(__xludf.DUMMYFUNCTION("""COMPUTED_VALUE"""),1386)</f>
        <v>1386</v>
      </c>
      <c r="C1143" s="3">
        <f t="shared" ca="1" si="34"/>
        <v>-5.8359942930905691E-2</v>
      </c>
      <c r="D1143">
        <f t="shared" ca="1" si="35"/>
        <v>1614.3714285714289</v>
      </c>
    </row>
    <row r="1144" spans="1:4" x14ac:dyDescent="0.25">
      <c r="A1144" s="2">
        <f ca="1">IFERROR(__xludf.DUMMYFUNCTION("""COMPUTED_VALUE"""),46066.6458333333)</f>
        <v>46066.645833333299</v>
      </c>
      <c r="B1144" s="1">
        <f ca="1">IFERROR(__xludf.DUMMYFUNCTION("""COMPUTED_VALUE"""),1369.1)</f>
        <v>1369.1</v>
      </c>
      <c r="C1144" s="3">
        <f t="shared" ca="1" si="34"/>
        <v>-1.2193362193362259E-2</v>
      </c>
      <c r="D1144">
        <f t="shared" ca="1" si="35"/>
        <v>1610.8000000000002</v>
      </c>
    </row>
    <row r="1145" spans="1:4" x14ac:dyDescent="0.25">
      <c r="A1145" s="2">
        <f ca="1">IFERROR(__xludf.DUMMYFUNCTION("""COMPUTED_VALUE"""),46069.6458333333)</f>
        <v>46069.645833333299</v>
      </c>
      <c r="B1145" s="1">
        <f ca="1">IFERROR(__xludf.DUMMYFUNCTION("""COMPUTED_VALUE"""),1365.6)</f>
        <v>1365.6</v>
      </c>
      <c r="C1145" s="3">
        <f t="shared" ca="1" si="34"/>
        <v>-2.5564239281279677E-3</v>
      </c>
      <c r="D1145">
        <f t="shared" ca="1" si="35"/>
        <v>1606.5224489795919</v>
      </c>
    </row>
    <row r="1146" spans="1:4" x14ac:dyDescent="0.25">
      <c r="A1146" s="2">
        <f ca="1">IFERROR(__xludf.DUMMYFUNCTION("""COMPUTED_VALUE"""),46070.6458333333)</f>
        <v>46070.645833333299</v>
      </c>
      <c r="B1146" s="1">
        <f ca="1">IFERROR(__xludf.DUMMYFUNCTION("""COMPUTED_VALUE"""),1391.2)</f>
        <v>1391.2</v>
      </c>
      <c r="C1146" s="3">
        <f t="shared" ca="1" si="34"/>
        <v>1.8746338605741167E-2</v>
      </c>
      <c r="D1146">
        <f t="shared" ca="1" si="35"/>
        <v>1601.787755102041</v>
      </c>
    </row>
    <row r="1147" spans="1:4" x14ac:dyDescent="0.25">
      <c r="A1147" s="2">
        <f ca="1">IFERROR(__xludf.DUMMYFUNCTION("""COMPUTED_VALUE"""),46071.6458333333)</f>
        <v>46071.645833333299</v>
      </c>
      <c r="B1147" s="1">
        <f ca="1">IFERROR(__xludf.DUMMYFUNCTION("""COMPUTED_VALUE"""),1373.7)</f>
        <v>1373.7</v>
      </c>
      <c r="C1147" s="3">
        <f t="shared" ca="1" si="34"/>
        <v>-1.257906843013226E-2</v>
      </c>
      <c r="D1147">
        <f t="shared" ca="1" si="35"/>
        <v>1597.1959183673473</v>
      </c>
    </row>
    <row r="1148" spans="1:4" x14ac:dyDescent="0.25">
      <c r="A1148" s="2">
        <f ca="1">IFERROR(__xludf.DUMMYFUNCTION("""COMPUTED_VALUE"""),46072.6458333333)</f>
        <v>46072.645833333299</v>
      </c>
      <c r="B1148" s="1">
        <f ca="1">IFERROR(__xludf.DUMMYFUNCTION("""COMPUTED_VALUE"""),1370.5)</f>
        <v>1370.5</v>
      </c>
      <c r="C1148" s="3">
        <f t="shared" ca="1" si="34"/>
        <v>-2.329475140132522E-3</v>
      </c>
      <c r="D1148">
        <f t="shared" ca="1" si="35"/>
        <v>1592.3571428571431</v>
      </c>
    </row>
    <row r="1149" spans="1:4" x14ac:dyDescent="0.25">
      <c r="A1149" s="2">
        <f ca="1">IFERROR(__xludf.DUMMYFUNCTION("""COMPUTED_VALUE"""),46073.6458333333)</f>
        <v>46073.645833333299</v>
      </c>
      <c r="B1149" s="1">
        <f ca="1">IFERROR(__xludf.DUMMYFUNCTION("""COMPUTED_VALUE"""),1353.2)</f>
        <v>1353.2</v>
      </c>
      <c r="C1149" s="3">
        <f t="shared" ca="1" si="34"/>
        <v>-1.2623130244436304E-2</v>
      </c>
      <c r="D1149">
        <f t="shared" ca="1" si="35"/>
        <v>1587.6938775510207</v>
      </c>
    </row>
    <row r="1150" spans="1:4" x14ac:dyDescent="0.25">
      <c r="A1150" s="2">
        <f ca="1">IFERROR(__xludf.DUMMYFUNCTION("""COMPUTED_VALUE"""),46076.6458333333)</f>
        <v>46076.645833333299</v>
      </c>
      <c r="B1150" s="1">
        <f ca="1">IFERROR(__xludf.DUMMYFUNCTION("""COMPUTED_VALUE"""),1327.5)</f>
        <v>1327.5</v>
      </c>
      <c r="C1150" s="3">
        <f t="shared" ca="1" si="34"/>
        <v>-1.8992018918120045E-2</v>
      </c>
      <c r="D1150">
        <f t="shared" ca="1" si="35"/>
        <v>1582.9673469387758</v>
      </c>
    </row>
    <row r="1151" spans="1:4" x14ac:dyDescent="0.25">
      <c r="A1151" s="2">
        <f ca="1">IFERROR(__xludf.DUMMYFUNCTION("""COMPUTED_VALUE"""),46077.6458333333)</f>
        <v>46077.645833333299</v>
      </c>
      <c r="B1151" s="1">
        <f ca="1">IFERROR(__xludf.DUMMYFUNCTION("""COMPUTED_VALUE"""),1275.5)</f>
        <v>1275.5</v>
      </c>
      <c r="C1151" s="3">
        <f t="shared" ca="1" si="34"/>
        <v>-3.9171374764595104E-2</v>
      </c>
      <c r="D1151">
        <f t="shared" ca="1" si="35"/>
        <v>1577.4469387755105</v>
      </c>
    </row>
    <row r="1152" spans="1:4" x14ac:dyDescent="0.25">
      <c r="A1152" s="2">
        <f ca="1">IFERROR(__xludf.DUMMYFUNCTION("""COMPUTED_VALUE"""),46078.6458333333)</f>
        <v>46078.645833333299</v>
      </c>
      <c r="B1152" s="1">
        <f ca="1">IFERROR(__xludf.DUMMYFUNCTION("""COMPUTED_VALUE"""),1290.1)</f>
        <v>1290.0999999999999</v>
      </c>
      <c r="C1152" s="3">
        <f t="shared" ca="1" si="34"/>
        <v>1.1446491571932504E-2</v>
      </c>
      <c r="D1152">
        <f t="shared" ca="1" si="35"/>
        <v>1570.8612244897961</v>
      </c>
    </row>
    <row r="1153" spans="1:4" x14ac:dyDescent="0.25">
      <c r="A1153" s="2">
        <f ca="1">IFERROR(__xludf.DUMMYFUNCTION("""COMPUTED_VALUE"""),46079.6458333333)</f>
        <v>46079.645833333299</v>
      </c>
      <c r="B1153" s="1">
        <f ca="1">IFERROR(__xludf.DUMMYFUNCTION("""COMPUTED_VALUE"""),1289.1)</f>
        <v>1289.0999999999999</v>
      </c>
      <c r="C1153" s="3">
        <f t="shared" ca="1" si="34"/>
        <v>-7.751337105650725E-4</v>
      </c>
      <c r="D1153">
        <f t="shared" ca="1" si="35"/>
        <v>1564.3979591836737</v>
      </c>
    </row>
    <row r="1154" spans="1:4" x14ac:dyDescent="0.25">
      <c r="A1154" s="2">
        <f ca="1">IFERROR(__xludf.DUMMYFUNCTION("""COMPUTED_VALUE"""),46080.6458333333)</f>
        <v>46080.645833333299</v>
      </c>
      <c r="B1154" s="1">
        <f ca="1">IFERROR(__xludf.DUMMYFUNCTION("""COMPUTED_VALUE"""),1300.1)</f>
        <v>1300.0999999999999</v>
      </c>
      <c r="C1154" s="3">
        <f t="shared" ca="1" si="34"/>
        <v>8.5330850981304787E-3</v>
      </c>
      <c r="D1154">
        <f t="shared" ca="1" si="35"/>
        <v>1558.1979591836737</v>
      </c>
    </row>
    <row r="1155" spans="1:4" x14ac:dyDescent="0.25">
      <c r="A1155" s="2">
        <f ca="1">IFERROR(__xludf.DUMMYFUNCTION("""COMPUTED_VALUE"""),46083.6458333333)</f>
        <v>46083.645833333299</v>
      </c>
      <c r="B1155" s="1">
        <f ca="1">IFERROR(__xludf.DUMMYFUNCTION("""COMPUTED_VALUE"""),1288.9)</f>
        <v>1288.9000000000001</v>
      </c>
      <c r="C1155" s="3">
        <f t="shared" ca="1" si="34"/>
        <v>-8.6147219444656711E-3</v>
      </c>
      <c r="D1155">
        <f t="shared" ca="1" si="35"/>
        <v>1552.0367346938779</v>
      </c>
    </row>
    <row r="1156" spans="1:4" x14ac:dyDescent="0.25">
      <c r="A1156" s="2">
        <f ca="1">IFERROR(__xludf.DUMMYFUNCTION("""COMPUTED_VALUE"""),46085.6458333333)</f>
        <v>46085.645833333299</v>
      </c>
      <c r="B1156" s="1">
        <f ca="1">IFERROR(__xludf.DUMMYFUNCTION("""COMPUTED_VALUE"""),1306.1)</f>
        <v>1306.0999999999999</v>
      </c>
      <c r="C1156" s="3">
        <f t="shared" ref="C1156:C1219" ca="1" si="36">(B1156-B1155)/B1155</f>
        <v>1.3344712545581361E-2</v>
      </c>
      <c r="D1156">
        <f t="shared" ca="1" si="35"/>
        <v>1545.1408163265307</v>
      </c>
    </row>
    <row r="1157" spans="1:4" x14ac:dyDescent="0.25">
      <c r="A1157" s="2">
        <f ca="1">IFERROR(__xludf.DUMMYFUNCTION("""COMPUTED_VALUE"""),46086.6458333333)</f>
        <v>46086.645833333299</v>
      </c>
      <c r="B1157" s="1">
        <f ca="1">IFERROR(__xludf.DUMMYFUNCTION("""COMPUTED_VALUE"""),1305.8)</f>
        <v>1305.8</v>
      </c>
      <c r="C1157" s="3">
        <f t="shared" ca="1" si="36"/>
        <v>-2.2969144782172463E-4</v>
      </c>
      <c r="D1157">
        <f t="shared" ca="1" si="35"/>
        <v>1538.3530612244901</v>
      </c>
    </row>
    <row r="1158" spans="1:4" x14ac:dyDescent="0.25">
      <c r="A1158" s="2">
        <f ca="1">IFERROR(__xludf.DUMMYFUNCTION("""COMPUTED_VALUE"""),46087.6458333333)</f>
        <v>46087.645833333299</v>
      </c>
      <c r="B1158" s="1">
        <f ca="1">IFERROR(__xludf.DUMMYFUNCTION("""COMPUTED_VALUE"""),1308.4)</f>
        <v>1308.4000000000001</v>
      </c>
      <c r="C1158" s="3">
        <f t="shared" ca="1" si="36"/>
        <v>1.9911165569000892E-3</v>
      </c>
      <c r="D1158">
        <f t="shared" ca="1" si="35"/>
        <v>1530.5204081632655</v>
      </c>
    </row>
    <row r="1159" spans="1:4" x14ac:dyDescent="0.25">
      <c r="A1159" s="2">
        <f ca="1">IFERROR(__xludf.DUMMYFUNCTION("""COMPUTED_VALUE"""),46090.6458333333)</f>
        <v>46090.645833333299</v>
      </c>
      <c r="B1159" s="1">
        <f ca="1">IFERROR(__xludf.DUMMYFUNCTION("""COMPUTED_VALUE"""),1315)</f>
        <v>1315</v>
      </c>
      <c r="C1159" s="3">
        <f t="shared" ca="1" si="36"/>
        <v>5.0443289513909424E-3</v>
      </c>
      <c r="D1159">
        <f t="shared" ca="1" si="35"/>
        <v>1523.1755102040818</v>
      </c>
    </row>
    <row r="1160" spans="1:4" x14ac:dyDescent="0.25">
      <c r="A1160" s="2">
        <f ca="1">IFERROR(__xludf.DUMMYFUNCTION("""COMPUTED_VALUE"""),46091.6458333333)</f>
        <v>46091.645833333299</v>
      </c>
      <c r="B1160" s="1">
        <f ca="1">IFERROR(__xludf.DUMMYFUNCTION("""COMPUTED_VALUE"""),1295.6)</f>
        <v>1295.5999999999999</v>
      </c>
      <c r="C1160" s="3">
        <f t="shared" ca="1" si="36"/>
        <v>-1.4752851711026685E-2</v>
      </c>
      <c r="D1160">
        <f t="shared" ca="1" si="35"/>
        <v>1516.0653061224489</v>
      </c>
    </row>
    <row r="1161" spans="1:4" x14ac:dyDescent="0.25">
      <c r="A1161" s="2">
        <f ca="1">IFERROR(__xludf.DUMMYFUNCTION("""COMPUTED_VALUE"""),46092.6458333333)</f>
        <v>46092.645833333299</v>
      </c>
      <c r="B1161" s="1">
        <f ca="1">IFERROR(__xludf.DUMMYFUNCTION("""COMPUTED_VALUE"""),1276.3)</f>
        <v>1276.3</v>
      </c>
      <c r="C1161" s="3">
        <f t="shared" ca="1" si="36"/>
        <v>-1.4896573016363041E-2</v>
      </c>
      <c r="D1161">
        <f t="shared" ca="1" si="35"/>
        <v>1508.708163265306</v>
      </c>
    </row>
    <row r="1162" spans="1:4" x14ac:dyDescent="0.25">
      <c r="A1162" s="2">
        <f ca="1">IFERROR(__xludf.DUMMYFUNCTION("""COMPUTED_VALUE"""),46093.6458333333)</f>
        <v>46093.645833333299</v>
      </c>
      <c r="B1162" s="1">
        <f ca="1">IFERROR(__xludf.DUMMYFUNCTION("""COMPUTED_VALUE"""),1265.8)</f>
        <v>1265.8</v>
      </c>
      <c r="C1162" s="3">
        <f t="shared" ca="1" si="36"/>
        <v>-8.2269058998668022E-3</v>
      </c>
      <c r="D1162">
        <f t="shared" ca="1" si="35"/>
        <v>1501.1897959183671</v>
      </c>
    </row>
    <row r="1163" spans="1:4" x14ac:dyDescent="0.25">
      <c r="A1163" s="2">
        <f ca="1">IFERROR(__xludf.DUMMYFUNCTION("""COMPUTED_VALUE"""),46094.6458333333)</f>
        <v>46094.645833333299</v>
      </c>
      <c r="B1163" s="1">
        <f ca="1">IFERROR(__xludf.DUMMYFUNCTION("""COMPUTED_VALUE"""),1248.3)</f>
        <v>1248.3</v>
      </c>
      <c r="C1163" s="3">
        <f t="shared" ca="1" si="36"/>
        <v>-1.3825248854479381E-2</v>
      </c>
      <c r="D1163">
        <f t="shared" ca="1" si="35"/>
        <v>1493.9285714285713</v>
      </c>
    </row>
    <row r="1164" spans="1:4" x14ac:dyDescent="0.25">
      <c r="A1164" s="2">
        <f ca="1">IFERROR(__xludf.DUMMYFUNCTION("""COMPUTED_VALUE"""),46097.6458333333)</f>
        <v>46097.645833333299</v>
      </c>
      <c r="B1164" s="1">
        <f ca="1">IFERROR(__xludf.DUMMYFUNCTION("""COMPUTED_VALUE"""),1249.8)</f>
        <v>1249.8</v>
      </c>
      <c r="C1164" s="3">
        <f t="shared" ca="1" si="36"/>
        <v>1.2016342225426582E-3</v>
      </c>
      <c r="D1164">
        <f t="shared" ca="1" si="35"/>
        <v>1486.4367346938777</v>
      </c>
    </row>
    <row r="1165" spans="1:4" x14ac:dyDescent="0.25">
      <c r="A1165" s="2">
        <f ca="1">IFERROR(__xludf.DUMMYFUNCTION("""COMPUTED_VALUE"""),46098.6458333333)</f>
        <v>46098.645833333299</v>
      </c>
      <c r="B1165" s="1">
        <f ca="1">IFERROR(__xludf.DUMMYFUNCTION("""COMPUTED_VALUE"""),1232.9)</f>
        <v>1232.9000000000001</v>
      </c>
      <c r="C1165" s="3">
        <f t="shared" ca="1" si="36"/>
        <v>-1.3522163546167278E-2</v>
      </c>
      <c r="D1165">
        <f t="shared" ca="1" si="35"/>
        <v>1478.6816326530613</v>
      </c>
    </row>
    <row r="1166" spans="1:4" x14ac:dyDescent="0.25">
      <c r="A1166" s="2">
        <f ca="1">IFERROR(__xludf.DUMMYFUNCTION("""COMPUTED_VALUE"""),46099.6458333333)</f>
        <v>46099.645833333299</v>
      </c>
      <c r="B1166" s="1">
        <f ca="1">IFERROR(__xludf.DUMMYFUNCTION("""COMPUTED_VALUE"""),1267.1)</f>
        <v>1267.0999999999999</v>
      </c>
      <c r="C1166" s="3">
        <f t="shared" ca="1" si="36"/>
        <v>2.7739476032119244E-2</v>
      </c>
      <c r="D1166">
        <f t="shared" ca="1" si="35"/>
        <v>1470.3653061224488</v>
      </c>
    </row>
    <row r="1167" spans="1:4" x14ac:dyDescent="0.25">
      <c r="A1167" s="2">
        <f ca="1">IFERROR(__xludf.DUMMYFUNCTION("""COMPUTED_VALUE"""),46100.6458333333)</f>
        <v>46100.645833333299</v>
      </c>
      <c r="B1167" s="1">
        <f ca="1">IFERROR(__xludf.DUMMYFUNCTION("""COMPUTED_VALUE"""),1220.8)</f>
        <v>1220.8</v>
      </c>
      <c r="C1167" s="3">
        <f t="shared" ca="1" si="36"/>
        <v>-3.654013100781308E-2</v>
      </c>
      <c r="D1167">
        <f t="shared" ca="1" si="35"/>
        <v>1463.4408163265305</v>
      </c>
    </row>
    <row r="1168" spans="1:4" x14ac:dyDescent="0.25">
      <c r="A1168" s="2">
        <f ca="1">IFERROR(__xludf.DUMMYFUNCTION("""COMPUTED_VALUE"""),46101.6458333333)</f>
        <v>46101.645833333299</v>
      </c>
      <c r="B1168" s="1">
        <f ca="1">IFERROR(__xludf.DUMMYFUNCTION("""COMPUTED_VALUE"""),1255.9)</f>
        <v>1255.9000000000001</v>
      </c>
      <c r="C1168" s="3">
        <f t="shared" ca="1" si="36"/>
        <v>2.8751638269987008E-2</v>
      </c>
      <c r="D1168">
        <f t="shared" ca="1" si="35"/>
        <v>1455.4530612244898</v>
      </c>
    </row>
    <row r="1169" spans="1:4" x14ac:dyDescent="0.25">
      <c r="A1169" s="2">
        <f ca="1">IFERROR(__xludf.DUMMYFUNCTION("""COMPUTED_VALUE"""),46104.6458333333)</f>
        <v>46104.645833333299</v>
      </c>
      <c r="B1169" s="1">
        <f ca="1">IFERROR(__xludf.DUMMYFUNCTION("""COMPUTED_VALUE"""),1256.8)</f>
        <v>1256.8</v>
      </c>
      <c r="C1169" s="3">
        <f t="shared" ca="1" si="36"/>
        <v>7.1661756509265346E-4</v>
      </c>
      <c r="D1169">
        <f t="shared" ca="1" si="35"/>
        <v>1447.6346938775509</v>
      </c>
    </row>
    <row r="1170" spans="1:4" x14ac:dyDescent="0.25">
      <c r="A1170" s="2">
        <f ca="1">IFERROR(__xludf.DUMMYFUNCTION("""COMPUTED_VALUE"""),46105.6458333333)</f>
        <v>46105.645833333299</v>
      </c>
      <c r="B1170" s="1">
        <f ca="1">IFERROR(__xludf.DUMMYFUNCTION("""COMPUTED_VALUE"""),1278.3)</f>
        <v>1278.3</v>
      </c>
      <c r="C1170" s="3">
        <f t="shared" ca="1" si="36"/>
        <v>1.7106938255887969E-2</v>
      </c>
      <c r="D1170">
        <f t="shared" ca="1" si="35"/>
        <v>1440.3591836734695</v>
      </c>
    </row>
    <row r="1171" spans="1:4" x14ac:dyDescent="0.25">
      <c r="A1171" s="2">
        <f ca="1">IFERROR(__xludf.DUMMYFUNCTION("""COMPUTED_VALUE"""),46106.6458333333)</f>
        <v>46106.645833333299</v>
      </c>
      <c r="B1171" s="1">
        <f ca="1">IFERROR(__xludf.DUMMYFUNCTION("""COMPUTED_VALUE"""),1279.1)</f>
        <v>1279.0999999999999</v>
      </c>
      <c r="C1171" s="3">
        <f t="shared" ca="1" si="36"/>
        <v>6.2583118203860953E-4</v>
      </c>
      <c r="D1171">
        <f t="shared" ca="1" si="35"/>
        <v>1433.5061224489796</v>
      </c>
    </row>
    <row r="1172" spans="1:4" x14ac:dyDescent="0.25">
      <c r="A1172" s="2">
        <f ca="1">IFERROR(__xludf.DUMMYFUNCTION("""COMPUTED_VALUE"""),46108.6458333333)</f>
        <v>46108.645833333299</v>
      </c>
      <c r="B1172" s="1">
        <f ca="1">IFERROR(__xludf.DUMMYFUNCTION("""COMPUTED_VALUE"""),1269.7)</f>
        <v>1269.7</v>
      </c>
      <c r="C1172" s="3">
        <f t="shared" ca="1" si="36"/>
        <v>-7.3489172074113554E-3</v>
      </c>
      <c r="D1172">
        <f t="shared" ca="1" si="35"/>
        <v>1427.0408163265308</v>
      </c>
    </row>
    <row r="1173" spans="1:4" x14ac:dyDescent="0.25">
      <c r="A1173" s="2">
        <f ca="1">IFERROR(__xludf.DUMMYFUNCTION("""COMPUTED_VALUE"""),46111.6458333333)</f>
        <v>46111.645833333299</v>
      </c>
      <c r="B1173" s="1">
        <f ca="1">IFERROR(__xludf.DUMMYFUNCTION("""COMPUTED_VALUE"""),1250.6)</f>
        <v>1250.5999999999999</v>
      </c>
      <c r="C1173" s="3">
        <f t="shared" ca="1" si="36"/>
        <v>-1.504292352524229E-2</v>
      </c>
      <c r="D1173">
        <f t="shared" ca="1" si="35"/>
        <v>1420.3204081632655</v>
      </c>
    </row>
    <row r="1174" spans="1:4" x14ac:dyDescent="0.25">
      <c r="A1174" s="2">
        <f ca="1">IFERROR(__xludf.DUMMYFUNCTION("""COMPUTED_VALUE"""),46113.6458333333)</f>
        <v>46113.645833333299</v>
      </c>
      <c r="B1174" s="1">
        <f ca="1">IFERROR(__xludf.DUMMYFUNCTION("""COMPUTED_VALUE"""),1275.7)</f>
        <v>1275.7</v>
      </c>
      <c r="C1174" s="3">
        <f t="shared" ca="1" si="36"/>
        <v>2.0070366224212488E-2</v>
      </c>
      <c r="D1174">
        <f t="shared" ca="1" si="35"/>
        <v>1413.1938775510207</v>
      </c>
    </row>
    <row r="1175" spans="1:4" x14ac:dyDescent="0.25">
      <c r="A1175" s="2">
        <f ca="1">IFERROR(__xludf.DUMMYFUNCTION("""COMPUTED_VALUE"""),46114.6458333333)</f>
        <v>46114.645833333299</v>
      </c>
      <c r="B1175" s="1">
        <f ca="1">IFERROR(__xludf.DUMMYFUNCTION("""COMPUTED_VALUE"""),1300.8)</f>
        <v>1300.8</v>
      </c>
      <c r="C1175" s="3">
        <f t="shared" ca="1" si="36"/>
        <v>1.9675472289723217E-2</v>
      </c>
      <c r="D1175">
        <f t="shared" ca="1" si="35"/>
        <v>1404.7428571428572</v>
      </c>
    </row>
    <row r="1176" spans="1:4" x14ac:dyDescent="0.25">
      <c r="A1176" s="2">
        <f ca="1">IFERROR(__xludf.DUMMYFUNCTION("""COMPUTED_VALUE"""),46118.6458333333)</f>
        <v>46118.645833333299</v>
      </c>
      <c r="B1176" s="1">
        <f ca="1">IFERROR(__xludf.DUMMYFUNCTION("""COMPUTED_VALUE"""),1306.2)</f>
        <v>1306.2</v>
      </c>
      <c r="C1176" s="3">
        <f t="shared" ca="1" si="36"/>
        <v>4.1512915129151996E-3</v>
      </c>
      <c r="D1176">
        <f t="shared" ca="1" si="35"/>
        <v>1396.9795918367349</v>
      </c>
    </row>
    <row r="1177" spans="1:4" x14ac:dyDescent="0.25">
      <c r="A1177" s="2">
        <f ca="1">IFERROR(__xludf.DUMMYFUNCTION("""COMPUTED_VALUE"""),46119.6458333333)</f>
        <v>46119.645833333299</v>
      </c>
      <c r="B1177" s="1">
        <f ca="1">IFERROR(__xludf.DUMMYFUNCTION("""COMPUTED_VALUE"""),1339.4)</f>
        <v>1339.4</v>
      </c>
      <c r="C1177" s="3">
        <f t="shared" ca="1" si="36"/>
        <v>2.5417240851324487E-2</v>
      </c>
      <c r="D1177">
        <f t="shared" ca="1" si="35"/>
        <v>1389.7816326530613</v>
      </c>
    </row>
    <row r="1178" spans="1:4" x14ac:dyDescent="0.25">
      <c r="A1178" s="2">
        <f ca="1">IFERROR(__xludf.DUMMYFUNCTION("""COMPUTED_VALUE"""),46120.6458333333)</f>
        <v>46120.645833333299</v>
      </c>
      <c r="B1178" s="1">
        <f ca="1">IFERROR(__xludf.DUMMYFUNCTION("""COMPUTED_VALUE"""),1346.2)</f>
        <v>1346.2</v>
      </c>
      <c r="C1178" s="3">
        <f t="shared" ca="1" si="36"/>
        <v>5.0769001045243792E-3</v>
      </c>
      <c r="D1178">
        <f t="shared" ca="1" si="35"/>
        <v>1383.3530612244899</v>
      </c>
    </row>
    <row r="1179" spans="1:4" x14ac:dyDescent="0.25">
      <c r="A1179" s="2">
        <f ca="1">IFERROR(__xludf.DUMMYFUNCTION("""COMPUTED_VALUE"""),46121.6458333333)</f>
        <v>46121.645833333299</v>
      </c>
      <c r="B1179" s="1">
        <f ca="1">IFERROR(__xludf.DUMMYFUNCTION("""COMPUTED_VALUE"""),1331.6)</f>
        <v>1331.6</v>
      </c>
      <c r="C1179" s="3">
        <f t="shared" ca="1" si="36"/>
        <v>-1.0845342445401973E-2</v>
      </c>
      <c r="D1179">
        <f t="shared" ca="1" si="35"/>
        <v>1376.8775510204082</v>
      </c>
    </row>
    <row r="1180" spans="1:4" x14ac:dyDescent="0.25">
      <c r="A1180" s="2">
        <f ca="1">IFERROR(__xludf.DUMMYFUNCTION("""COMPUTED_VALUE"""),46122.6458333333)</f>
        <v>46122.645833333299</v>
      </c>
      <c r="B1180" s="1">
        <f ca="1">IFERROR(__xludf.DUMMYFUNCTION("""COMPUTED_VALUE"""),1292.5)</f>
        <v>1292.5</v>
      </c>
      <c r="C1180" s="3">
        <f t="shared" ca="1" si="36"/>
        <v>-2.9363172123760824E-2</v>
      </c>
      <c r="D1180">
        <f t="shared" ca="1" si="35"/>
        <v>1369.9551020408167</v>
      </c>
    </row>
    <row r="1181" spans="1:4" x14ac:dyDescent="0.25">
      <c r="A1181" s="2">
        <f ca="1">IFERROR(__xludf.DUMMYFUNCTION("""COMPUTED_VALUE"""),46125.6458333333)</f>
        <v>46125.645833333299</v>
      </c>
      <c r="B1181" s="1">
        <f ca="1">IFERROR(__xludf.DUMMYFUNCTION("""COMPUTED_VALUE"""),1276.8)</f>
        <v>1276.8</v>
      </c>
      <c r="C1181" s="3">
        <f t="shared" ca="1" si="36"/>
        <v>-1.2147001934236012E-2</v>
      </c>
      <c r="D1181">
        <f t="shared" ca="1" si="35"/>
        <v>1361.9918367346941</v>
      </c>
    </row>
    <row r="1182" spans="1:4" x14ac:dyDescent="0.25">
      <c r="A1182" s="2">
        <f ca="1">IFERROR(__xludf.DUMMYFUNCTION("""COMPUTED_VALUE"""),46127.6458333333)</f>
        <v>46127.645833333299</v>
      </c>
      <c r="B1182" s="1">
        <f ca="1">IFERROR(__xludf.DUMMYFUNCTION("""COMPUTED_VALUE"""),1305.3)</f>
        <v>1305.3</v>
      </c>
      <c r="C1182" s="3">
        <f t="shared" ca="1" si="36"/>
        <v>2.2321428571428572E-2</v>
      </c>
      <c r="D1182">
        <f t="shared" ca="1" si="35"/>
        <v>1354.0387755102042</v>
      </c>
    </row>
    <row r="1183" spans="1:4" x14ac:dyDescent="0.25">
      <c r="A1183" s="2">
        <f ca="1">IFERROR(__xludf.DUMMYFUNCTION("""COMPUTED_VALUE"""),46128.6458333333)</f>
        <v>46128.645833333299</v>
      </c>
      <c r="B1183" s="1">
        <f ca="1">IFERROR(__xludf.DUMMYFUNCTION("""COMPUTED_VALUE"""),1319.2)</f>
        <v>1319.2</v>
      </c>
      <c r="C1183" s="3">
        <f t="shared" ca="1" si="36"/>
        <v>1.0648892974795137E-2</v>
      </c>
      <c r="D1183">
        <f t="shared" ca="1" si="35"/>
        <v>1346.8102040816329</v>
      </c>
    </row>
    <row r="1184" spans="1:4" x14ac:dyDescent="0.25">
      <c r="A1184" s="2">
        <f ca="1">IFERROR(__xludf.DUMMYFUNCTION("""COMPUTED_VALUE"""),46129.6458333333)</f>
        <v>46129.645833333299</v>
      </c>
      <c r="B1184" s="1">
        <f ca="1">IFERROR(__xludf.DUMMYFUNCTION("""COMPUTED_VALUE"""),1318.7)</f>
        <v>1318.7</v>
      </c>
      <c r="C1184" s="3">
        <f t="shared" ca="1" si="36"/>
        <v>-3.7901758641600971E-4</v>
      </c>
      <c r="D1184">
        <f t="shared" ca="1" si="35"/>
        <v>1340.2428571428572</v>
      </c>
    </row>
    <row r="1185" spans="1:4" x14ac:dyDescent="0.25">
      <c r="A1185" s="2">
        <f ca="1">IFERROR(__xludf.DUMMYFUNCTION("""COMPUTED_VALUE"""),46132.6458333333)</f>
        <v>46132.645833333299</v>
      </c>
      <c r="B1185" s="1">
        <f ca="1">IFERROR(__xludf.DUMMYFUNCTION("""COMPUTED_VALUE"""),1312.6)</f>
        <v>1312.6</v>
      </c>
      <c r="C1185" s="3">
        <f t="shared" ca="1" si="36"/>
        <v>-4.6257678016229133E-3</v>
      </c>
      <c r="D1185">
        <f t="shared" ca="1" si="35"/>
        <v>1333.9020408163267</v>
      </c>
    </row>
    <row r="1186" spans="1:4" x14ac:dyDescent="0.25">
      <c r="A1186" s="2">
        <f ca="1">IFERROR(__xludf.DUMMYFUNCTION("""COMPUTED_VALUE"""),46133.6458333333)</f>
        <v>46133.645833333299</v>
      </c>
      <c r="B1186" s="1">
        <f ca="1">IFERROR(__xludf.DUMMYFUNCTION("""COMPUTED_VALUE"""),1313.2)</f>
        <v>1313.2</v>
      </c>
      <c r="C1186" s="3">
        <f t="shared" ca="1" si="36"/>
        <v>4.5710802986449522E-4</v>
      </c>
      <c r="D1186">
        <f t="shared" ca="1" si="35"/>
        <v>1326.8938775510205</v>
      </c>
    </row>
    <row r="1187" spans="1:4" x14ac:dyDescent="0.25">
      <c r="A1187" s="2">
        <f ca="1">IFERROR(__xludf.DUMMYFUNCTION("""COMPUTED_VALUE"""),46134.6458333333)</f>
        <v>46134.645833333299</v>
      </c>
      <c r="B1187" s="1">
        <f ca="1">IFERROR(__xludf.DUMMYFUNCTION("""COMPUTED_VALUE"""),1268.6)</f>
        <v>1268.5999999999999</v>
      </c>
      <c r="C1187" s="3">
        <f t="shared" ca="1" si="36"/>
        <v>-3.3962838866890145E-2</v>
      </c>
      <c r="D1187">
        <f t="shared" ca="1" si="35"/>
        <v>1322.3510204081631</v>
      </c>
    </row>
    <row r="1188" spans="1:4" x14ac:dyDescent="0.25">
      <c r="A1188" s="2">
        <f ca="1">IFERROR(__xludf.DUMMYFUNCTION("""COMPUTED_VALUE"""),46135.6458333333)</f>
        <v>46135.645833333299</v>
      </c>
      <c r="B1188" s="1">
        <f ca="1">IFERROR(__xludf.DUMMYFUNCTION("""COMPUTED_VALUE"""),1240.6)</f>
        <v>1240.5999999999999</v>
      </c>
      <c r="C1188" s="3">
        <f t="shared" ca="1" si="36"/>
        <v>-2.2071574964527829E-2</v>
      </c>
      <c r="D1188">
        <f t="shared" ca="1" si="35"/>
        <v>1317.2163265306122</v>
      </c>
    </row>
    <row r="1189" spans="1:4" x14ac:dyDescent="0.25">
      <c r="A1189" s="2">
        <f ca="1">IFERROR(__xludf.DUMMYFUNCTION("""COMPUTED_VALUE"""),46136.6458333333)</f>
        <v>46136.645833333299</v>
      </c>
      <c r="B1189" s="1">
        <f ca="1">IFERROR(__xludf.DUMMYFUNCTION("""COMPUTED_VALUE"""),1154.6)</f>
        <v>1154.5999999999999</v>
      </c>
      <c r="C1189" s="3">
        <f t="shared" ca="1" si="36"/>
        <v>-6.9321296147025632E-2</v>
      </c>
      <c r="D1189">
        <f t="shared" ca="1" si="35"/>
        <v>1311.7775510204081</v>
      </c>
    </row>
    <row r="1190" spans="1:4" x14ac:dyDescent="0.25">
      <c r="A1190" s="2">
        <f ca="1">IFERROR(__xludf.DUMMYFUNCTION("""COMPUTED_VALUE"""),46139.6458333333)</f>
        <v>46139.645833333299</v>
      </c>
      <c r="B1190" s="1">
        <f ca="1">IFERROR(__xludf.DUMMYFUNCTION("""COMPUTED_VALUE"""),1170.3)</f>
        <v>1170.3</v>
      </c>
      <c r="C1190" s="3">
        <f t="shared" ca="1" si="36"/>
        <v>1.3597782781915856E-2</v>
      </c>
      <c r="D1190">
        <f t="shared" ca="1" si="35"/>
        <v>1304.785714285714</v>
      </c>
    </row>
    <row r="1191" spans="1:4" x14ac:dyDescent="0.25">
      <c r="A1191" s="2">
        <f ca="1">IFERROR(__xludf.DUMMYFUNCTION("""COMPUTED_VALUE"""),46140.6458333333)</f>
        <v>46140.645833333299</v>
      </c>
      <c r="B1191" s="1">
        <f ca="1">IFERROR(__xludf.DUMMYFUNCTION("""COMPUTED_VALUE"""),1152.1)</f>
        <v>1152.0999999999999</v>
      </c>
      <c r="C1191" s="3">
        <f t="shared" ca="1" si="36"/>
        <v>-1.5551567974023794E-2</v>
      </c>
      <c r="D1191">
        <f t="shared" ca="1" si="35"/>
        <v>1298.1020408163263</v>
      </c>
    </row>
    <row r="1192" spans="1:4" x14ac:dyDescent="0.25">
      <c r="A1192" s="2">
        <f ca="1">IFERROR(__xludf.DUMMYFUNCTION("""COMPUTED_VALUE"""),46141.6458333333)</f>
        <v>46141.645833333299</v>
      </c>
      <c r="B1192" s="1">
        <f ca="1">IFERROR(__xludf.DUMMYFUNCTION("""COMPUTED_VALUE"""),1167.5)</f>
        <v>1167.5</v>
      </c>
      <c r="C1192" s="3">
        <f t="shared" ca="1" si="36"/>
        <v>1.3366895234788727E-2</v>
      </c>
      <c r="D1192">
        <f t="shared" ca="1" si="35"/>
        <v>1291.5755102040812</v>
      </c>
    </row>
    <row r="1193" spans="1:4" x14ac:dyDescent="0.25">
      <c r="A1193" s="2">
        <f ca="1">IFERROR(__xludf.DUMMYFUNCTION("""COMPUTED_VALUE"""),46142.6458333333)</f>
        <v>46142.645833333299</v>
      </c>
      <c r="B1193" s="1">
        <f ca="1">IFERROR(__xludf.DUMMYFUNCTION("""COMPUTED_VALUE"""),1181.8)</f>
        <v>1181.8</v>
      </c>
      <c r="C1193" s="3">
        <f t="shared" ca="1" si="36"/>
        <v>1.2248394004282617E-2</v>
      </c>
      <c r="D1193">
        <f t="shared" ca="1" si="35"/>
        <v>1287.1163265306118</v>
      </c>
    </row>
    <row r="1194" spans="1:4" x14ac:dyDescent="0.25">
      <c r="A1194" s="2">
        <f ca="1">IFERROR(__xludf.DUMMYFUNCTION("""COMPUTED_VALUE"""),46146.6458333333)</f>
        <v>46146.645833333299</v>
      </c>
      <c r="B1194" s="1">
        <f ca="1">IFERROR(__xludf.DUMMYFUNCTION("""COMPUTED_VALUE"""),1168.4)</f>
        <v>1168.4000000000001</v>
      </c>
      <c r="C1194" s="3">
        <f t="shared" ca="1" si="36"/>
        <v>-1.1338635979014947E-2</v>
      </c>
      <c r="D1194">
        <f t="shared" ca="1" si="35"/>
        <v>1283.2938775510202</v>
      </c>
    </row>
    <row r="1195" spans="1:4" x14ac:dyDescent="0.25">
      <c r="A1195" s="2">
        <f ca="1">IFERROR(__xludf.DUMMYFUNCTION("""COMPUTED_VALUE"""),46147.6458333333)</f>
        <v>46147.645833333299</v>
      </c>
      <c r="B1195" s="1">
        <f ca="1">IFERROR(__xludf.DUMMYFUNCTION("""COMPUTED_VALUE"""),1178.1)</f>
        <v>1178.0999999999999</v>
      </c>
      <c r="C1195" s="3">
        <f t="shared" ca="1" si="36"/>
        <v>8.3019513865113127E-3</v>
      </c>
      <c r="D1195">
        <f t="shared" ca="1" si="35"/>
        <v>1279.2693877551017</v>
      </c>
    </row>
    <row r="1196" spans="1:4" x14ac:dyDescent="0.25">
      <c r="A1196" s="2">
        <f ca="1">IFERROR(__xludf.DUMMYFUNCTION("""COMPUTED_VALUE"""),46148.6458333333)</f>
        <v>46148.645833333299</v>
      </c>
      <c r="B1196" s="1">
        <f ca="1">IFERROR(__xludf.DUMMYFUNCTION("""COMPUTED_VALUE"""),1167.2)</f>
        <v>1167.2</v>
      </c>
      <c r="C1196" s="3">
        <f t="shared" ca="1" si="36"/>
        <v>-9.2521857227738438E-3</v>
      </c>
      <c r="D1196">
        <f t="shared" ca="1" si="35"/>
        <v>1274.9204081632649</v>
      </c>
    </row>
    <row r="1197" spans="1:4" x14ac:dyDescent="0.25">
      <c r="A1197" s="2">
        <f ca="1">IFERROR(__xludf.DUMMYFUNCTION("""COMPUTED_VALUE"""),46149.6458333333)</f>
        <v>46149.645833333299</v>
      </c>
      <c r="B1197" s="1">
        <f ca="1">IFERROR(__xludf.DUMMYFUNCTION("""COMPUTED_VALUE"""),1162.7)</f>
        <v>1162.7</v>
      </c>
      <c r="C1197" s="3">
        <f t="shared" ca="1" si="36"/>
        <v>-3.8553803975325562E-3</v>
      </c>
      <c r="D1197">
        <f t="shared" ca="1" si="35"/>
        <v>1270.7061224489792</v>
      </c>
    </row>
    <row r="1198" spans="1:4" x14ac:dyDescent="0.25">
      <c r="A1198" s="2">
        <f ca="1">IFERROR(__xludf.DUMMYFUNCTION("""COMPUTED_VALUE"""),46150.6458333333)</f>
        <v>46150.645833333299</v>
      </c>
      <c r="B1198" s="1">
        <f ca="1">IFERROR(__xludf.DUMMYFUNCTION("""COMPUTED_VALUE"""),1179.2)</f>
        <v>1179.2</v>
      </c>
      <c r="C1198" s="3">
        <f t="shared" ca="1" si="36"/>
        <v>1.4191106906338694E-2</v>
      </c>
      <c r="D1198">
        <f t="shared" ca="1" si="35"/>
        <v>1266.4653061224485</v>
      </c>
    </row>
    <row r="1199" spans="1:4" x14ac:dyDescent="0.25">
      <c r="A1199" s="2">
        <f ca="1">IFERROR(__xludf.DUMMYFUNCTION("""COMPUTED_VALUE"""),46153.6458333333)</f>
        <v>46153.645833333299</v>
      </c>
      <c r="B1199" s="1">
        <f ca="1">IFERROR(__xludf.DUMMYFUNCTION("""COMPUTED_VALUE"""),1177)</f>
        <v>1177</v>
      </c>
      <c r="C1199" s="3">
        <f t="shared" ca="1" si="36"/>
        <v>-1.8656716417910833E-3</v>
      </c>
      <c r="D1199">
        <f t="shared" ca="1" si="35"/>
        <v>1262.9142857142851</v>
      </c>
    </row>
    <row r="1200" spans="1:4" x14ac:dyDescent="0.25">
      <c r="A1200" s="2">
        <f ca="1">IFERROR(__xludf.DUMMYFUNCTION("""COMPUTED_VALUE"""),46154.6458333333)</f>
        <v>46154.645833333299</v>
      </c>
      <c r="B1200" s="1">
        <f ca="1">IFERROR(__xludf.DUMMYFUNCTION("""COMPUTED_VALUE"""),1140.3)</f>
        <v>1140.3</v>
      </c>
      <c r="C1200" s="3">
        <f t="shared" ca="1" si="36"/>
        <v>-3.1180968564146174E-2</v>
      </c>
      <c r="D1200">
        <f t="shared" ca="1" si="35"/>
        <v>1259.8428571428567</v>
      </c>
    </row>
    <row r="1201" spans="1:4" x14ac:dyDescent="0.25">
      <c r="A1201" s="2">
        <f ca="1">IFERROR(__xludf.DUMMYFUNCTION("""COMPUTED_VALUE"""),46155.6458333333)</f>
        <v>46155.645833333299</v>
      </c>
      <c r="B1201" s="1">
        <f ca="1">IFERROR(__xludf.DUMMYFUNCTION("""COMPUTED_VALUE"""),1123.1)</f>
        <v>1123.0999999999999</v>
      </c>
      <c r="C1201" s="3">
        <f t="shared" ca="1" si="36"/>
        <v>-1.5083749890379765E-2</v>
      </c>
      <c r="D1201">
        <f t="shared" ca="1" si="35"/>
        <v>1257.0836734693873</v>
      </c>
    </row>
    <row r="1202" spans="1:4" x14ac:dyDescent="0.25">
      <c r="A1202" s="2">
        <f ca="1">IFERROR(__xludf.DUMMYFUNCTION("""COMPUTED_VALUE"""),46156.6458333333)</f>
        <v>46156.645833333299</v>
      </c>
      <c r="B1202" s="1">
        <f ca="1">IFERROR(__xludf.DUMMYFUNCTION("""COMPUTED_VALUE"""),1095)</f>
        <v>1095</v>
      </c>
      <c r="C1202" s="3">
        <f t="shared" ca="1" si="36"/>
        <v>-2.5020033834921122E-2</v>
      </c>
      <c r="D1202">
        <f t="shared" ca="1" si="35"/>
        <v>1253.6755102040813</v>
      </c>
    </row>
    <row r="1203" spans="1:4" x14ac:dyDescent="0.25">
      <c r="A1203" s="2">
        <f ca="1">IFERROR(__xludf.DUMMYFUNCTION("""COMPUTED_VALUE"""),46157.6458333333)</f>
        <v>46157.645833333299</v>
      </c>
      <c r="B1203" s="1">
        <f ca="1">IFERROR(__xludf.DUMMYFUNCTION("""COMPUTED_VALUE"""),1119)</f>
        <v>1119</v>
      </c>
      <c r="C1203" s="3">
        <f t="shared" ca="1" si="36"/>
        <v>2.1917808219178082E-2</v>
      </c>
      <c r="D1203">
        <f t="shared" ca="1" si="35"/>
        <v>1249.7142857142853</v>
      </c>
    </row>
    <row r="1204" spans="1:4" x14ac:dyDescent="0.25">
      <c r="A1204" s="2">
        <f ca="1">IFERROR(__xludf.DUMMYFUNCTION("""COMPUTED_VALUE"""),46160.6458333333)</f>
        <v>46160.645833333299</v>
      </c>
      <c r="B1204" s="1">
        <f ca="1">IFERROR(__xludf.DUMMYFUNCTION("""COMPUTED_VALUE"""),1142.5)</f>
        <v>1142.5</v>
      </c>
      <c r="C1204" s="3">
        <f t="shared" ca="1" si="36"/>
        <v>2.100089365504915E-2</v>
      </c>
      <c r="D1204">
        <f t="shared" ref="D1204:D1229" ca="1" si="37">AVERAGE(B1155:B1203)</f>
        <v>1246.0183673469385</v>
      </c>
    </row>
    <row r="1205" spans="1:4" x14ac:dyDescent="0.25">
      <c r="A1205" s="2">
        <f ca="1">IFERROR(__xludf.DUMMYFUNCTION("""COMPUTED_VALUE"""),46161.6458333333)</f>
        <v>46161.645833333299</v>
      </c>
      <c r="B1205" s="1">
        <f ca="1">IFERROR(__xludf.DUMMYFUNCTION("""COMPUTED_VALUE"""),1196.9)</f>
        <v>1196.9000000000001</v>
      </c>
      <c r="C1205" s="3">
        <f t="shared" ca="1" si="36"/>
        <v>4.7614879649890668E-2</v>
      </c>
      <c r="D1205">
        <f t="shared" ca="1" si="37"/>
        <v>1243.0306122448976</v>
      </c>
    </row>
    <row r="1206" spans="1:4" x14ac:dyDescent="0.25">
      <c r="A1206" s="2">
        <f ca="1">IFERROR(__xludf.DUMMYFUNCTION("""COMPUTED_VALUE"""),46162.6458333333)</f>
        <v>46162.645833333299</v>
      </c>
      <c r="B1206" s="1">
        <f ca="1">IFERROR(__xludf.DUMMYFUNCTION("""COMPUTED_VALUE"""),1193.7)</f>
        <v>1193.7</v>
      </c>
      <c r="C1206" s="3">
        <f t="shared" ca="1" si="36"/>
        <v>-2.6735733979447282E-3</v>
      </c>
      <c r="D1206">
        <f t="shared" ca="1" si="37"/>
        <v>1240.8020408163261</v>
      </c>
    </row>
    <row r="1207" spans="1:4" x14ac:dyDescent="0.25">
      <c r="A1207" s="2">
        <f ca="1">IFERROR(__xludf.DUMMYFUNCTION("""COMPUTED_VALUE"""),46163.6458333333)</f>
        <v>46163.645833333299</v>
      </c>
      <c r="B1207" s="1">
        <f ca="1">IFERROR(__xludf.DUMMYFUNCTION("""COMPUTED_VALUE"""),1181.2)</f>
        <v>1181.2</v>
      </c>
      <c r="C1207" s="3">
        <f t="shared" ca="1" si="36"/>
        <v>-1.0471642791321102E-2</v>
      </c>
      <c r="D1207">
        <f t="shared" ca="1" si="37"/>
        <v>1238.5142857142853</v>
      </c>
    </row>
    <row r="1208" spans="1:4" x14ac:dyDescent="0.25">
      <c r="A1208" s="2">
        <f ca="1">IFERROR(__xludf.DUMMYFUNCTION("""COMPUTED_VALUE"""),46164.6458333333)</f>
        <v>46164.645833333299</v>
      </c>
      <c r="B1208" s="1">
        <f ca="1">IFERROR(__xludf.DUMMYFUNCTION("""COMPUTED_VALUE"""),1174.5)</f>
        <v>1174.5</v>
      </c>
      <c r="C1208" s="3">
        <f t="shared" ca="1" si="36"/>
        <v>-5.6721977649847998E-3</v>
      </c>
      <c r="D1208">
        <f t="shared" ca="1" si="37"/>
        <v>1235.9183673469383</v>
      </c>
    </row>
    <row r="1209" spans="1:4" x14ac:dyDescent="0.25">
      <c r="A1209" s="2">
        <f ca="1">IFERROR(__xludf.DUMMYFUNCTION("""COMPUTED_VALUE"""),46167.6458333333)</f>
        <v>46167.645833333299</v>
      </c>
      <c r="B1209" s="1">
        <f ca="1">IFERROR(__xludf.DUMMYFUNCTION("""COMPUTED_VALUE"""),1168.5)</f>
        <v>1168.5</v>
      </c>
      <c r="C1209" s="3">
        <f t="shared" ca="1" si="36"/>
        <v>-5.108556832694764E-3</v>
      </c>
      <c r="D1209">
        <f t="shared" ca="1" si="37"/>
        <v>1233.0510204081629</v>
      </c>
    </row>
    <row r="1210" spans="1:4" x14ac:dyDescent="0.25">
      <c r="A1210" s="2">
        <f ca="1">IFERROR(__xludf.DUMMYFUNCTION("""COMPUTED_VALUE"""),46168.6458333333)</f>
        <v>46168.645833333299</v>
      </c>
      <c r="B1210" s="1">
        <f ca="1">IFERROR(__xludf.DUMMYFUNCTION("""COMPUTED_VALUE"""),1167.7)</f>
        <v>1167.7</v>
      </c>
      <c r="C1210" s="3">
        <f t="shared" ca="1" si="36"/>
        <v>-6.8463842533158278E-4</v>
      </c>
      <c r="D1210">
        <f t="shared" ca="1" si="37"/>
        <v>1230.4571428571426</v>
      </c>
    </row>
    <row r="1211" spans="1:4" x14ac:dyDescent="0.25">
      <c r="A1211" s="2">
        <f ca="1">IFERROR(__xludf.DUMMYFUNCTION("""COMPUTED_VALUE"""),46169.6458333333)</f>
        <v>46169.645833333299</v>
      </c>
      <c r="B1211" s="1">
        <f ca="1">IFERROR(__xludf.DUMMYFUNCTION("""COMPUTED_VALUE"""),1159.9)</f>
        <v>1159.9000000000001</v>
      </c>
      <c r="C1211" s="3">
        <f t="shared" ca="1" si="36"/>
        <v>-6.6797978932944717E-3</v>
      </c>
      <c r="D1211">
        <f t="shared" ca="1" si="37"/>
        <v>1228.2408163265304</v>
      </c>
    </row>
    <row r="1212" spans="1:4" x14ac:dyDescent="0.25">
      <c r="A1212" s="2">
        <f ca="1">IFERROR(__xludf.DUMMYFUNCTION("""COMPUTED_VALUE"""),46171.6458333333)</f>
        <v>46171.645833333299</v>
      </c>
      <c r="B1212" s="1">
        <f ca="1">IFERROR(__xludf.DUMMYFUNCTION("""COMPUTED_VALUE"""),1160.9)</f>
        <v>1160.9000000000001</v>
      </c>
      <c r="C1212" s="3">
        <f t="shared" ca="1" si="36"/>
        <v>8.621432882145012E-4</v>
      </c>
      <c r="D1212">
        <f t="shared" ca="1" si="37"/>
        <v>1226.0795918367346</v>
      </c>
    </row>
    <row r="1213" spans="1:4" x14ac:dyDescent="0.25">
      <c r="A1213" s="2">
        <f ca="1">IFERROR(__xludf.DUMMYFUNCTION("""COMPUTED_VALUE"""),46174.6458333333)</f>
        <v>46174.645833333299</v>
      </c>
      <c r="B1213" s="1">
        <f ca="1">IFERROR(__xludf.DUMMYFUNCTION("""COMPUTED_VALUE"""),1202.5)</f>
        <v>1202.5</v>
      </c>
      <c r="C1213" s="3">
        <f t="shared" ca="1" si="36"/>
        <v>3.583426651735714E-2</v>
      </c>
      <c r="D1213">
        <f t="shared" ca="1" si="37"/>
        <v>1224.2959183673468</v>
      </c>
    </row>
    <row r="1214" spans="1:4" x14ac:dyDescent="0.25">
      <c r="A1214" s="2">
        <f ca="1">IFERROR(__xludf.DUMMYFUNCTION("""COMPUTED_VALUE"""),46175.6458333333)</f>
        <v>46175.645833333299</v>
      </c>
      <c r="B1214" s="1">
        <f ca="1">IFERROR(__xludf.DUMMYFUNCTION("""COMPUTED_VALUE"""),1270.8)</f>
        <v>1270.8</v>
      </c>
      <c r="C1214" s="3">
        <f t="shared" ca="1" si="36"/>
        <v>5.6798336798336763E-2</v>
      </c>
      <c r="D1214">
        <f t="shared" ca="1" si="37"/>
        <v>1223.3306122448978</v>
      </c>
    </row>
    <row r="1215" spans="1:4" x14ac:dyDescent="0.25">
      <c r="A1215" s="2">
        <f ca="1">IFERROR(__xludf.DUMMYFUNCTION("""COMPUTED_VALUE"""),46176.6458333333)</f>
        <v>46176.645833333299</v>
      </c>
      <c r="B1215" s="1">
        <f ca="1">IFERROR(__xludf.DUMMYFUNCTION("""COMPUTED_VALUE"""),1222.6)</f>
        <v>1222.5999999999999</v>
      </c>
      <c r="C1215" s="3">
        <f t="shared" ca="1" si="36"/>
        <v>-3.7928863707900572E-2</v>
      </c>
      <c r="D1215">
        <f t="shared" ca="1" si="37"/>
        <v>1224.1040816326529</v>
      </c>
    </row>
    <row r="1216" spans="1:4" x14ac:dyDescent="0.25">
      <c r="A1216" s="2">
        <f ca="1">IFERROR(__xludf.DUMMYFUNCTION("""COMPUTED_VALUE"""),46177.6458333333)</f>
        <v>46177.645833333299</v>
      </c>
      <c r="B1216" s="1">
        <f ca="1">IFERROR(__xludf.DUMMYFUNCTION("""COMPUTED_VALUE"""),1201.3)</f>
        <v>1201.3</v>
      </c>
      <c r="C1216" s="3">
        <f t="shared" ca="1" si="36"/>
        <v>-1.7421887780140647E-2</v>
      </c>
      <c r="D1216">
        <f t="shared" ca="1" si="37"/>
        <v>1223.1959183673466</v>
      </c>
    </row>
    <row r="1217" spans="1:4" x14ac:dyDescent="0.25">
      <c r="A1217" s="2">
        <f ca="1">IFERROR(__xludf.DUMMYFUNCTION("""COMPUTED_VALUE"""),46178.6458333333)</f>
        <v>46178.645833333299</v>
      </c>
      <c r="B1217" s="1">
        <f ca="1">IFERROR(__xludf.DUMMYFUNCTION("""COMPUTED_VALUE"""),1197.5)</f>
        <v>1197.5</v>
      </c>
      <c r="C1217" s="3">
        <f t="shared" ca="1" si="36"/>
        <v>-3.1632398235244773E-3</v>
      </c>
      <c r="D1217">
        <f t="shared" ca="1" si="37"/>
        <v>1222.7979591836734</v>
      </c>
    </row>
    <row r="1218" spans="1:4" x14ac:dyDescent="0.25">
      <c r="A1218" s="2">
        <f ca="1">IFERROR(__xludf.DUMMYFUNCTION("""COMPUTED_VALUE"""),46181.6458333333)</f>
        <v>46181.645833333299</v>
      </c>
      <c r="B1218" s="1">
        <f ca="1">IFERROR(__xludf.DUMMYFUNCTION("""COMPUTED_VALUE"""),1187.6)</f>
        <v>1187.5999999999999</v>
      </c>
      <c r="C1218" s="3">
        <f t="shared" ca="1" si="36"/>
        <v>-8.2672233820460048E-3</v>
      </c>
      <c r="D1218">
        <f t="shared" ca="1" si="37"/>
        <v>1221.6061224489792</v>
      </c>
    </row>
    <row r="1219" spans="1:4" x14ac:dyDescent="0.25">
      <c r="A1219" s="2">
        <f ca="1">IFERROR(__xludf.DUMMYFUNCTION("""COMPUTED_VALUE"""),46182.6458333333)</f>
        <v>46182.645833333299</v>
      </c>
      <c r="B1219" s="1">
        <f ca="1">IFERROR(__xludf.DUMMYFUNCTION("""COMPUTED_VALUE"""),1180.3)</f>
        <v>1180.3</v>
      </c>
      <c r="C1219" s="3">
        <f t="shared" ca="1" si="36"/>
        <v>-6.1468507915122556E-3</v>
      </c>
      <c r="D1219">
        <f t="shared" ca="1" si="37"/>
        <v>1220.19387755102</v>
      </c>
    </row>
    <row r="1220" spans="1:4" x14ac:dyDescent="0.25">
      <c r="A1220" s="2">
        <f ca="1">IFERROR(__xludf.DUMMYFUNCTION("""COMPUTED_VALUE"""),46183.6458333333)</f>
        <v>46183.645833333299</v>
      </c>
      <c r="B1220" s="1">
        <f ca="1">IFERROR(__xludf.DUMMYFUNCTION("""COMPUTED_VALUE"""),1145.3)</f>
        <v>1145.3</v>
      </c>
      <c r="C1220" s="3">
        <f t="shared" ref="C1220:C1230" ca="1" si="38">(B1220-B1219)/B1219</f>
        <v>-2.9653477929339998E-2</v>
      </c>
      <c r="D1220">
        <f t="shared" ca="1" si="37"/>
        <v>1218.1938775510203</v>
      </c>
    </row>
    <row r="1221" spans="1:4" x14ac:dyDescent="0.25">
      <c r="A1221" s="2">
        <f ca="1">IFERROR(__xludf.DUMMYFUNCTION("""COMPUTED_VALUE"""),46184.6458333333)</f>
        <v>46184.645833333299</v>
      </c>
      <c r="B1221" s="1">
        <f ca="1">IFERROR(__xludf.DUMMYFUNCTION("""COMPUTED_VALUE"""),1114.6)</f>
        <v>1114.5999999999999</v>
      </c>
      <c r="C1221" s="3">
        <f t="shared" ca="1" si="38"/>
        <v>-2.6805203876713566E-2</v>
      </c>
      <c r="D1221">
        <f t="shared" ca="1" si="37"/>
        <v>1215.4632653061224</v>
      </c>
    </row>
    <row r="1222" spans="1:4" x14ac:dyDescent="0.25">
      <c r="A1222" s="2">
        <f ca="1">IFERROR(__xludf.DUMMYFUNCTION("""COMPUTED_VALUE"""),46185.6458333333)</f>
        <v>46185.645833333299</v>
      </c>
      <c r="B1222" s="1">
        <f ca="1">IFERROR(__xludf.DUMMYFUNCTION("""COMPUTED_VALUE"""),1116.4)</f>
        <v>1116.4000000000001</v>
      </c>
      <c r="C1222" s="3">
        <f t="shared" ca="1" si="38"/>
        <v>1.61492912255534E-3</v>
      </c>
      <c r="D1222">
        <f t="shared" ca="1" si="37"/>
        <v>1212.2979591836734</v>
      </c>
    </row>
    <row r="1223" spans="1:4" x14ac:dyDescent="0.25">
      <c r="A1223" s="2">
        <f ca="1">IFERROR(__xludf.DUMMYFUNCTION("""COMPUTED_VALUE"""),46188.6458333333)</f>
        <v>46188.645833333299</v>
      </c>
      <c r="B1223" s="1">
        <f ca="1">IFERROR(__xludf.DUMMYFUNCTION("""COMPUTED_VALUE"""),1134.9)</f>
        <v>1134.9000000000001</v>
      </c>
      <c r="C1223" s="3">
        <f t="shared" ca="1" si="38"/>
        <v>1.6571121461841632E-2</v>
      </c>
      <c r="D1223">
        <f t="shared" ca="1" si="37"/>
        <v>1209.5591836734693</v>
      </c>
    </row>
    <row r="1224" spans="1:4" x14ac:dyDescent="0.25">
      <c r="A1224" s="2">
        <f ca="1">IFERROR(__xludf.DUMMYFUNCTION("""COMPUTED_VALUE"""),46189.6458333333)</f>
        <v>46189.645833333299</v>
      </c>
      <c r="B1224" s="1">
        <f ca="1">IFERROR(__xludf.DUMMYFUNCTION("""COMPUTED_VALUE"""),1143.6)</f>
        <v>1143.5999999999999</v>
      </c>
      <c r="C1224" s="3">
        <f t="shared" ca="1" si="38"/>
        <v>7.6658736452549277E-3</v>
      </c>
      <c r="D1224">
        <f t="shared" ca="1" si="37"/>
        <v>1206.6857142857143</v>
      </c>
    </row>
    <row r="1225" spans="1:4" x14ac:dyDescent="0.25">
      <c r="A1225" s="2">
        <f ca="1">IFERROR(__xludf.DUMMYFUNCTION("""COMPUTED_VALUE"""),46190.6458333333)</f>
        <v>46190.645833333299</v>
      </c>
      <c r="B1225" s="1">
        <f ca="1">IFERROR(__xludf.DUMMYFUNCTION("""COMPUTED_VALUE"""),1157.7)</f>
        <v>1157.7</v>
      </c>
      <c r="C1225" s="3">
        <f t="shared" ca="1" si="38"/>
        <v>1.2329485834207884E-2</v>
      </c>
      <c r="D1225">
        <f t="shared" ca="1" si="37"/>
        <v>1203.4775510204081</v>
      </c>
    </row>
    <row r="1226" spans="1:4" x14ac:dyDescent="0.25">
      <c r="A1226" s="2">
        <f ca="1">IFERROR(__xludf.DUMMYFUNCTION("""COMPUTED_VALUE"""),46191.6458333333)</f>
        <v>46191.645833333299</v>
      </c>
      <c r="B1226" s="1">
        <f ca="1">IFERROR(__xludf.DUMMYFUNCTION("""COMPUTED_VALUE"""),1127.5)</f>
        <v>1127.5</v>
      </c>
      <c r="C1226" s="3">
        <f t="shared" ca="1" si="38"/>
        <v>-2.6086205407273081E-2</v>
      </c>
      <c r="D1226">
        <f t="shared" ca="1" si="37"/>
        <v>1200.4469387755103</v>
      </c>
    </row>
    <row r="1227" spans="1:4" x14ac:dyDescent="0.25">
      <c r="A1227" s="2">
        <f ca="1">IFERROR(__xludf.DUMMYFUNCTION("""COMPUTED_VALUE"""),46192.6458333333)</f>
        <v>46192.645833333299</v>
      </c>
      <c r="B1227" s="1">
        <f ca="1">IFERROR(__xludf.DUMMYFUNCTION("""COMPUTED_VALUE"""),1051.4)</f>
        <v>1051.4000000000001</v>
      </c>
      <c r="C1227" s="3">
        <f t="shared" ca="1" si="38"/>
        <v>-6.7494456762749372E-2</v>
      </c>
      <c r="D1227">
        <f t="shared" ca="1" si="37"/>
        <v>1196.122448979592</v>
      </c>
    </row>
    <row r="1228" spans="1:4" x14ac:dyDescent="0.25">
      <c r="A1228" s="2">
        <f ca="1">IFERROR(__xludf.DUMMYFUNCTION("""COMPUTED_VALUE"""),46195.6458333333)</f>
        <v>46195.645833333299</v>
      </c>
      <c r="B1228" s="1">
        <f ca="1">IFERROR(__xludf.DUMMYFUNCTION("""COMPUTED_VALUE"""),1065.4)</f>
        <v>1065.4000000000001</v>
      </c>
      <c r="C1228" s="3">
        <f t="shared" ca="1" si="38"/>
        <v>1.3315579227696404E-2</v>
      </c>
      <c r="D1228">
        <f t="shared" ca="1" si="37"/>
        <v>1190.1061224489797</v>
      </c>
    </row>
    <row r="1229" spans="1:4" x14ac:dyDescent="0.25">
      <c r="A1229" s="2">
        <f ca="1">IFERROR(__xludf.DUMMYFUNCTION("""COMPUTED_VALUE"""),46196.6458333333)</f>
        <v>46196.645833333299</v>
      </c>
      <c r="B1229" s="1">
        <f ca="1">IFERROR(__xludf.DUMMYFUNCTION("""COMPUTED_VALUE"""),1029.3)</f>
        <v>1029.3</v>
      </c>
      <c r="C1229" s="3">
        <f t="shared" ca="1" si="38"/>
        <v>-3.3883987234841498E-2</v>
      </c>
      <c r="D1229">
        <f t="shared" ca="1" si="37"/>
        <v>1184.6734693877554</v>
      </c>
    </row>
    <row r="1230" spans="1:4" x14ac:dyDescent="0.25">
      <c r="A1230" s="2">
        <f ca="1">IFERROR(__xludf.DUMMYFUNCTION("""COMPUTED_VALUE"""),46197.6458333333)</f>
        <v>46197.645833333299</v>
      </c>
      <c r="B1230" s="1">
        <f ca="1">IFERROR(__xludf.DUMMYFUNCTION("""COMPUTED_VALUE"""),1056.6)</f>
        <v>1056.5999999999999</v>
      </c>
      <c r="C1230" s="3">
        <f t="shared" ca="1" si="38"/>
        <v>2.6522879626930881E-2</v>
      </c>
      <c r="D1230">
        <f ca="1">AVERAGE(B1181:B1229)</f>
        <v>1179.3020408163268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230"/>
  <sheetViews>
    <sheetView workbookViewId="0">
      <selection activeCell="E1" sqref="E1:F2"/>
    </sheetView>
  </sheetViews>
  <sheetFormatPr defaultColWidth="12.6640625" defaultRowHeight="15.75" customHeight="1" x14ac:dyDescent="0.25"/>
  <cols>
    <col min="1" max="1" width="18.5546875" customWidth="1"/>
    <col min="3" max="3" width="17.6640625" style="3"/>
    <col min="4" max="4" width="28" customWidth="1"/>
    <col min="5" max="5" width="23.44140625" customWidth="1"/>
    <col min="6" max="6" width="21.44140625" customWidth="1"/>
  </cols>
  <sheetData>
    <row r="1" spans="1:6" x14ac:dyDescent="0.25">
      <c r="A1" s="1" t="str">
        <f ca="1">IFERROR(__xludf.DUMMYFUNCTION("GOOGLEFINANCE(""NSE:HDFCBANK"", ""price"", TODAY()-1825, TODAY(), ""DAILY"")"),"Date")</f>
        <v>Date</v>
      </c>
      <c r="B1" s="1" t="str">
        <f ca="1">IFERROR(__xludf.DUMMYFUNCTION("""COMPUTED_VALUE"""),"Close")</f>
        <v>Close</v>
      </c>
      <c r="C1" s="3" t="s">
        <v>0</v>
      </c>
      <c r="D1" t="s">
        <v>1</v>
      </c>
      <c r="E1" s="4" t="s">
        <v>2</v>
      </c>
      <c r="F1" s="4" t="s">
        <v>3</v>
      </c>
    </row>
    <row r="2" spans="1:6" x14ac:dyDescent="0.25">
      <c r="A2" s="2">
        <f ca="1">IFERROR(__xludf.DUMMYFUNCTION("""COMPUTED_VALUE"""),44375.6458333333)</f>
        <v>44375.645833333299</v>
      </c>
      <c r="B2" s="1">
        <f ca="1">IFERROR(__xludf.DUMMYFUNCTION("""COMPUTED_VALUE"""),754.18)</f>
        <v>754.18</v>
      </c>
      <c r="E2" s="5">
        <f ca="1">_xlfn.STDEV.S(C:C) * SQRT(252)</f>
        <v>0.20937814823930589</v>
      </c>
      <c r="F2" s="5">
        <f ca="1">AVERAGE(C:C)*252</f>
        <v>3.2279812847089362E-2</v>
      </c>
    </row>
    <row r="3" spans="1:6" x14ac:dyDescent="0.25">
      <c r="A3" s="2">
        <f ca="1">IFERROR(__xludf.DUMMYFUNCTION("""COMPUTED_VALUE"""),44376.6458333333)</f>
        <v>44376.645833333299</v>
      </c>
      <c r="B3" s="1">
        <f ca="1">IFERROR(__xludf.DUMMYFUNCTION("""COMPUTED_VALUE"""),751.03)</f>
        <v>751.03</v>
      </c>
      <c r="C3" s="3">
        <f ca="1">(B3-B2)/B2</f>
        <v>-4.1767217375162126E-3</v>
      </c>
    </row>
    <row r="4" spans="1:6" x14ac:dyDescent="0.25">
      <c r="A4" s="2">
        <f ca="1">IFERROR(__xludf.DUMMYFUNCTION("""COMPUTED_VALUE"""),44377.6458333333)</f>
        <v>44377.645833333299</v>
      </c>
      <c r="B4" s="1">
        <f ca="1">IFERROR(__xludf.DUMMYFUNCTION("""COMPUTED_VALUE"""),748.95)</f>
        <v>748.95</v>
      </c>
      <c r="C4" s="3">
        <f t="shared" ref="C4:C67" ca="1" si="0">(B4-B3)/B3</f>
        <v>-2.7695298456785044E-3</v>
      </c>
    </row>
    <row r="5" spans="1:6" x14ac:dyDescent="0.25">
      <c r="A5" s="2">
        <f ca="1">IFERROR(__xludf.DUMMYFUNCTION("""COMPUTED_VALUE"""),44378.6458333333)</f>
        <v>44378.645833333299</v>
      </c>
      <c r="B5" s="1">
        <f ca="1">IFERROR(__xludf.DUMMYFUNCTION("""COMPUTED_VALUE"""),743.38)</f>
        <v>743.38</v>
      </c>
      <c r="C5" s="3">
        <f t="shared" ca="1" si="0"/>
        <v>-7.4370785766740763E-3</v>
      </c>
    </row>
    <row r="6" spans="1:6" x14ac:dyDescent="0.25">
      <c r="A6" s="2">
        <f ca="1">IFERROR(__xludf.DUMMYFUNCTION("""COMPUTED_VALUE"""),44379.6458333333)</f>
        <v>44379.645833333299</v>
      </c>
      <c r="B6" s="1">
        <f ca="1">IFERROR(__xludf.DUMMYFUNCTION("""COMPUTED_VALUE"""),740.2)</f>
        <v>740.2</v>
      </c>
      <c r="C6" s="3">
        <f t="shared" ca="1" si="0"/>
        <v>-4.2777583470095379E-3</v>
      </c>
    </row>
    <row r="7" spans="1:6" x14ac:dyDescent="0.25">
      <c r="A7" s="2">
        <f ca="1">IFERROR(__xludf.DUMMYFUNCTION("""COMPUTED_VALUE"""),44382.6458333333)</f>
        <v>44382.645833333299</v>
      </c>
      <c r="B7" s="1">
        <f ca="1">IFERROR(__xludf.DUMMYFUNCTION("""COMPUTED_VALUE"""),747.73)</f>
        <v>747.73</v>
      </c>
      <c r="C7" s="3">
        <f t="shared" ca="1" si="0"/>
        <v>1.0172926236152353E-2</v>
      </c>
    </row>
    <row r="8" spans="1:6" x14ac:dyDescent="0.25">
      <c r="A8" s="2">
        <f ca="1">IFERROR(__xludf.DUMMYFUNCTION("""COMPUTED_VALUE"""),44383.6458333333)</f>
        <v>44383.645833333299</v>
      </c>
      <c r="B8" s="1">
        <f ca="1">IFERROR(__xludf.DUMMYFUNCTION("""COMPUTED_VALUE"""),767.35)</f>
        <v>767.35</v>
      </c>
      <c r="C8" s="3">
        <f t="shared" ca="1" si="0"/>
        <v>2.6239417971727769E-2</v>
      </c>
    </row>
    <row r="9" spans="1:6" x14ac:dyDescent="0.25">
      <c r="A9" s="2">
        <f ca="1">IFERROR(__xludf.DUMMYFUNCTION("""COMPUTED_VALUE"""),44384.6458333333)</f>
        <v>44384.645833333299</v>
      </c>
      <c r="B9" s="1">
        <f ca="1">IFERROR(__xludf.DUMMYFUNCTION("""COMPUTED_VALUE"""),769.75)</f>
        <v>769.75</v>
      </c>
      <c r="C9" s="3">
        <f t="shared" ca="1" si="0"/>
        <v>3.1276470971525082E-3</v>
      </c>
    </row>
    <row r="10" spans="1:6" x14ac:dyDescent="0.25">
      <c r="A10" s="2">
        <f ca="1">IFERROR(__xludf.DUMMYFUNCTION("""COMPUTED_VALUE"""),44385.6458333333)</f>
        <v>44385.645833333299</v>
      </c>
      <c r="B10" s="1">
        <f ca="1">IFERROR(__xludf.DUMMYFUNCTION("""COMPUTED_VALUE"""),760.23)</f>
        <v>760.23</v>
      </c>
      <c r="C10" s="3">
        <f t="shared" ca="1" si="0"/>
        <v>-1.2367651835011343E-2</v>
      </c>
    </row>
    <row r="11" spans="1:6" x14ac:dyDescent="0.25">
      <c r="A11" s="2">
        <f ca="1">IFERROR(__xludf.DUMMYFUNCTION("""COMPUTED_VALUE"""),44386.6458333333)</f>
        <v>44386.645833333299</v>
      </c>
      <c r="B11" s="1">
        <f ca="1">IFERROR(__xludf.DUMMYFUNCTION("""COMPUTED_VALUE"""),751)</f>
        <v>751</v>
      </c>
      <c r="C11" s="3">
        <f t="shared" ca="1" si="0"/>
        <v>-1.214106257316867E-2</v>
      </c>
    </row>
    <row r="12" spans="1:6" x14ac:dyDescent="0.25">
      <c r="A12" s="2">
        <f ca="1">IFERROR(__xludf.DUMMYFUNCTION("""COMPUTED_VALUE"""),44389.6458333333)</f>
        <v>44389.645833333299</v>
      </c>
      <c r="B12" s="1">
        <f ca="1">IFERROR(__xludf.DUMMYFUNCTION("""COMPUTED_VALUE"""),743.5)</f>
        <v>743.5</v>
      </c>
      <c r="C12" s="3">
        <f t="shared" ca="1" si="0"/>
        <v>-9.9866844207723033E-3</v>
      </c>
    </row>
    <row r="13" spans="1:6" x14ac:dyDescent="0.25">
      <c r="A13" s="2">
        <f ca="1">IFERROR(__xludf.DUMMYFUNCTION("""COMPUTED_VALUE"""),44390.6458333333)</f>
        <v>44390.645833333299</v>
      </c>
      <c r="B13" s="1">
        <f ca="1">IFERROR(__xludf.DUMMYFUNCTION("""COMPUTED_VALUE"""),750.93)</f>
        <v>750.93</v>
      </c>
      <c r="C13" s="3">
        <f t="shared" ca="1" si="0"/>
        <v>9.993275050437055E-3</v>
      </c>
    </row>
    <row r="14" spans="1:6" x14ac:dyDescent="0.25">
      <c r="A14" s="2">
        <f ca="1">IFERROR(__xludf.DUMMYFUNCTION("""COMPUTED_VALUE"""),44391.6458333333)</f>
        <v>44391.645833333299</v>
      </c>
      <c r="B14" s="1">
        <f ca="1">IFERROR(__xludf.DUMMYFUNCTION("""COMPUTED_VALUE"""),749.58)</f>
        <v>749.58</v>
      </c>
      <c r="C14" s="3">
        <f t="shared" ca="1" si="0"/>
        <v>-1.7977707642522062E-3</v>
      </c>
    </row>
    <row r="15" spans="1:6" x14ac:dyDescent="0.25">
      <c r="A15" s="2">
        <f ca="1">IFERROR(__xludf.DUMMYFUNCTION("""COMPUTED_VALUE"""),44392.6458333333)</f>
        <v>44392.645833333299</v>
      </c>
      <c r="B15" s="1">
        <f ca="1">IFERROR(__xludf.DUMMYFUNCTION("""COMPUTED_VALUE"""),760.35)</f>
        <v>760.35</v>
      </c>
      <c r="C15" s="3">
        <f t="shared" ca="1" si="0"/>
        <v>1.4368046105819234E-2</v>
      </c>
    </row>
    <row r="16" spans="1:6" x14ac:dyDescent="0.25">
      <c r="A16" s="2">
        <f ca="1">IFERROR(__xludf.DUMMYFUNCTION("""COMPUTED_VALUE"""),44393.6458333333)</f>
        <v>44393.645833333299</v>
      </c>
      <c r="B16" s="1">
        <f ca="1">IFERROR(__xludf.DUMMYFUNCTION("""COMPUTED_VALUE"""),761.18)</f>
        <v>761.18</v>
      </c>
      <c r="C16" s="3">
        <f t="shared" ca="1" si="0"/>
        <v>1.0916025514564702E-3</v>
      </c>
    </row>
    <row r="17" spans="1:3" x14ac:dyDescent="0.25">
      <c r="A17" s="2">
        <f ca="1">IFERROR(__xludf.DUMMYFUNCTION("""COMPUTED_VALUE"""),44396.6458333333)</f>
        <v>44396.645833333299</v>
      </c>
      <c r="B17" s="1">
        <f ca="1">IFERROR(__xludf.DUMMYFUNCTION("""COMPUTED_VALUE"""),735.5)</f>
        <v>735.5</v>
      </c>
      <c r="C17" s="3">
        <f t="shared" ca="1" si="0"/>
        <v>-3.3737092409154144E-2</v>
      </c>
    </row>
    <row r="18" spans="1:3" x14ac:dyDescent="0.25">
      <c r="A18" s="2">
        <f ca="1">IFERROR(__xludf.DUMMYFUNCTION("""COMPUTED_VALUE"""),44397.6458333333)</f>
        <v>44397.645833333299</v>
      </c>
      <c r="B18" s="1">
        <f ca="1">IFERROR(__xludf.DUMMYFUNCTION("""COMPUTED_VALUE"""),721.58)</f>
        <v>721.58</v>
      </c>
      <c r="C18" s="3">
        <f t="shared" ca="1" si="0"/>
        <v>-1.8925900747790565E-2</v>
      </c>
    </row>
    <row r="19" spans="1:3" x14ac:dyDescent="0.25">
      <c r="A19" s="2">
        <f ca="1">IFERROR(__xludf.DUMMYFUNCTION("""COMPUTED_VALUE"""),44399.6458333333)</f>
        <v>44399.645833333299</v>
      </c>
      <c r="B19" s="1">
        <f ca="1">IFERROR(__xludf.DUMMYFUNCTION("""COMPUTED_VALUE"""),724.35)</f>
        <v>724.35</v>
      </c>
      <c r="C19" s="3">
        <f t="shared" ca="1" si="0"/>
        <v>3.8387981928545436E-3</v>
      </c>
    </row>
    <row r="20" spans="1:3" x14ac:dyDescent="0.25">
      <c r="A20" s="2">
        <f ca="1">IFERROR(__xludf.DUMMYFUNCTION("""COMPUTED_VALUE"""),44400.6458333333)</f>
        <v>44400.645833333299</v>
      </c>
      <c r="B20" s="1">
        <f ca="1">IFERROR(__xludf.DUMMYFUNCTION("""COMPUTED_VALUE"""),721.38)</f>
        <v>721.38</v>
      </c>
      <c r="C20" s="3">
        <f t="shared" ca="1" si="0"/>
        <v>-4.1002277904328395E-3</v>
      </c>
    </row>
    <row r="21" spans="1:3" x14ac:dyDescent="0.25">
      <c r="A21" s="2">
        <f ca="1">IFERROR(__xludf.DUMMYFUNCTION("""COMPUTED_VALUE"""),44403.6458333333)</f>
        <v>44403.645833333299</v>
      </c>
      <c r="B21" s="1">
        <f ca="1">IFERROR(__xludf.DUMMYFUNCTION("""COMPUTED_VALUE"""),717.28)</f>
        <v>717.28</v>
      </c>
      <c r="C21" s="3">
        <f t="shared" ca="1" si="0"/>
        <v>-5.6835509717486242E-3</v>
      </c>
    </row>
    <row r="22" spans="1:3" x14ac:dyDescent="0.25">
      <c r="A22" s="2">
        <f ca="1">IFERROR(__xludf.DUMMYFUNCTION("""COMPUTED_VALUE"""),44404.6458333333)</f>
        <v>44404.645833333299</v>
      </c>
      <c r="B22" s="1">
        <f ca="1">IFERROR(__xludf.DUMMYFUNCTION("""COMPUTED_VALUE"""),719.88)</f>
        <v>719.88</v>
      </c>
      <c r="C22" s="3">
        <f t="shared" ca="1" si="0"/>
        <v>3.6248048182021286E-3</v>
      </c>
    </row>
    <row r="23" spans="1:3" x14ac:dyDescent="0.25">
      <c r="A23" s="2">
        <f ca="1">IFERROR(__xludf.DUMMYFUNCTION("""COMPUTED_VALUE"""),44405.6458333333)</f>
        <v>44405.645833333299</v>
      </c>
      <c r="B23" s="1">
        <f ca="1">IFERROR(__xludf.DUMMYFUNCTION("""COMPUTED_VALUE"""),708.65)</f>
        <v>708.65</v>
      </c>
      <c r="C23" s="3">
        <f t="shared" ca="1" si="0"/>
        <v>-1.5599822192587679E-2</v>
      </c>
    </row>
    <row r="24" spans="1:3" x14ac:dyDescent="0.25">
      <c r="A24" s="2">
        <f ca="1">IFERROR(__xludf.DUMMYFUNCTION("""COMPUTED_VALUE"""),44406.6458333333)</f>
        <v>44406.645833333299</v>
      </c>
      <c r="B24" s="1">
        <f ca="1">IFERROR(__xludf.DUMMYFUNCTION("""COMPUTED_VALUE"""),709.13)</f>
        <v>709.13</v>
      </c>
      <c r="C24" s="3">
        <f t="shared" ca="1" si="0"/>
        <v>6.7734424610176849E-4</v>
      </c>
    </row>
    <row r="25" spans="1:3" x14ac:dyDescent="0.25">
      <c r="A25" s="2">
        <f ca="1">IFERROR(__xludf.DUMMYFUNCTION("""COMPUTED_VALUE"""),44407.6458333333)</f>
        <v>44407.645833333299</v>
      </c>
      <c r="B25" s="1">
        <f ca="1">IFERROR(__xludf.DUMMYFUNCTION("""COMPUTED_VALUE"""),713.23)</f>
        <v>713.23</v>
      </c>
      <c r="C25" s="3">
        <f t="shared" ca="1" si="0"/>
        <v>5.7817325455135488E-3</v>
      </c>
    </row>
    <row r="26" spans="1:3" x14ac:dyDescent="0.25">
      <c r="A26" s="2">
        <f ca="1">IFERROR(__xludf.DUMMYFUNCTION("""COMPUTED_VALUE"""),44410.6458333333)</f>
        <v>44410.645833333299</v>
      </c>
      <c r="B26" s="1">
        <f ca="1">IFERROR(__xludf.DUMMYFUNCTION("""COMPUTED_VALUE"""),711.33)</f>
        <v>711.33</v>
      </c>
      <c r="C26" s="3">
        <f t="shared" ca="1" si="0"/>
        <v>-2.6639372993283754E-3</v>
      </c>
    </row>
    <row r="27" spans="1:3" x14ac:dyDescent="0.25">
      <c r="A27" s="2">
        <f ca="1">IFERROR(__xludf.DUMMYFUNCTION("""COMPUTED_VALUE"""),44411.6458333333)</f>
        <v>44411.645833333299</v>
      </c>
      <c r="B27" s="1">
        <f ca="1">IFERROR(__xludf.DUMMYFUNCTION("""COMPUTED_VALUE"""),717.35)</f>
        <v>717.35</v>
      </c>
      <c r="C27" s="3">
        <f t="shared" ca="1" si="0"/>
        <v>8.4630199766634068E-3</v>
      </c>
    </row>
    <row r="28" spans="1:3" x14ac:dyDescent="0.25">
      <c r="A28" s="2">
        <f ca="1">IFERROR(__xludf.DUMMYFUNCTION("""COMPUTED_VALUE"""),44412.6458333333)</f>
        <v>44412.645833333299</v>
      </c>
      <c r="B28" s="1">
        <f ca="1">IFERROR(__xludf.DUMMYFUNCTION("""COMPUTED_VALUE"""),732.65)</f>
        <v>732.65</v>
      </c>
      <c r="C28" s="3">
        <f t="shared" ca="1" si="0"/>
        <v>2.1328500731860257E-2</v>
      </c>
    </row>
    <row r="29" spans="1:3" x14ac:dyDescent="0.25">
      <c r="A29" s="2">
        <f ca="1">IFERROR(__xludf.DUMMYFUNCTION("""COMPUTED_VALUE"""),44413.6458333333)</f>
        <v>44413.645833333299</v>
      </c>
      <c r="B29" s="1">
        <f ca="1">IFERROR(__xludf.DUMMYFUNCTION("""COMPUTED_VALUE"""),742.43)</f>
        <v>742.43</v>
      </c>
      <c r="C29" s="3">
        <f t="shared" ca="1" si="0"/>
        <v>1.3348802293045756E-2</v>
      </c>
    </row>
    <row r="30" spans="1:3" x14ac:dyDescent="0.25">
      <c r="A30" s="2">
        <f ca="1">IFERROR(__xludf.DUMMYFUNCTION("""COMPUTED_VALUE"""),44414.6458333333)</f>
        <v>44414.645833333299</v>
      </c>
      <c r="B30" s="1">
        <f ca="1">IFERROR(__xludf.DUMMYFUNCTION("""COMPUTED_VALUE"""),746.33)</f>
        <v>746.33</v>
      </c>
      <c r="C30" s="3">
        <f t="shared" ca="1" si="0"/>
        <v>5.2530204867800214E-3</v>
      </c>
    </row>
    <row r="31" spans="1:3" x14ac:dyDescent="0.25">
      <c r="A31" s="2">
        <f ca="1">IFERROR(__xludf.DUMMYFUNCTION("""COMPUTED_VALUE"""),44417.6458333333)</f>
        <v>44417.645833333299</v>
      </c>
      <c r="B31" s="1">
        <f ca="1">IFERROR(__xludf.DUMMYFUNCTION("""COMPUTED_VALUE"""),751.95)</f>
        <v>751.95</v>
      </c>
      <c r="C31" s="3">
        <f t="shared" ca="1" si="0"/>
        <v>7.5301810191202344E-3</v>
      </c>
    </row>
    <row r="32" spans="1:3" x14ac:dyDescent="0.25">
      <c r="A32" s="2">
        <f ca="1">IFERROR(__xludf.DUMMYFUNCTION("""COMPUTED_VALUE"""),44418.6458333333)</f>
        <v>44418.645833333299</v>
      </c>
      <c r="B32" s="1">
        <f ca="1">IFERROR(__xludf.DUMMYFUNCTION("""COMPUTED_VALUE"""),753.83)</f>
        <v>753.83</v>
      </c>
      <c r="C32" s="3">
        <f t="shared" ca="1" si="0"/>
        <v>2.5001662344570721E-3</v>
      </c>
    </row>
    <row r="33" spans="1:3" x14ac:dyDescent="0.25">
      <c r="A33" s="2">
        <f ca="1">IFERROR(__xludf.DUMMYFUNCTION("""COMPUTED_VALUE"""),44419.6458333333)</f>
        <v>44419.645833333299</v>
      </c>
      <c r="B33" s="1">
        <f ca="1">IFERROR(__xludf.DUMMYFUNCTION("""COMPUTED_VALUE"""),747.48)</f>
        <v>747.48</v>
      </c>
      <c r="C33" s="3">
        <f t="shared" ca="1" si="0"/>
        <v>-8.4236498945385856E-3</v>
      </c>
    </row>
    <row r="34" spans="1:3" x14ac:dyDescent="0.25">
      <c r="A34" s="2">
        <f ca="1">IFERROR(__xludf.DUMMYFUNCTION("""COMPUTED_VALUE"""),44420.6458333333)</f>
        <v>44420.645833333299</v>
      </c>
      <c r="B34" s="1">
        <f ca="1">IFERROR(__xludf.DUMMYFUNCTION("""COMPUTED_VALUE"""),750.7)</f>
        <v>750.7</v>
      </c>
      <c r="C34" s="3">
        <f t="shared" ca="1" si="0"/>
        <v>4.3078075667576758E-3</v>
      </c>
    </row>
    <row r="35" spans="1:3" x14ac:dyDescent="0.25">
      <c r="A35" s="2">
        <f ca="1">IFERROR(__xludf.DUMMYFUNCTION("""COMPUTED_VALUE"""),44421.6458333333)</f>
        <v>44421.645833333299</v>
      </c>
      <c r="B35" s="1">
        <f ca="1">IFERROR(__xludf.DUMMYFUNCTION("""COMPUTED_VALUE"""),763.1)</f>
        <v>763.1</v>
      </c>
      <c r="C35" s="3">
        <f t="shared" ca="1" si="0"/>
        <v>1.6517916611162885E-2</v>
      </c>
    </row>
    <row r="36" spans="1:3" x14ac:dyDescent="0.25">
      <c r="A36" s="2">
        <f ca="1">IFERROR(__xludf.DUMMYFUNCTION("""COMPUTED_VALUE"""),44424.6458333333)</f>
        <v>44424.645833333299</v>
      </c>
      <c r="B36" s="1">
        <f ca="1">IFERROR(__xludf.DUMMYFUNCTION("""COMPUTED_VALUE"""),765.3)</f>
        <v>765.3</v>
      </c>
      <c r="C36" s="3">
        <f t="shared" ca="1" si="0"/>
        <v>2.8829773293145484E-3</v>
      </c>
    </row>
    <row r="37" spans="1:3" x14ac:dyDescent="0.25">
      <c r="A37" s="2">
        <f ca="1">IFERROR(__xludf.DUMMYFUNCTION("""COMPUTED_VALUE"""),44425.6458333333)</f>
        <v>44425.645833333299</v>
      </c>
      <c r="B37" s="1">
        <f ca="1">IFERROR(__xludf.DUMMYFUNCTION("""COMPUTED_VALUE"""),757.33)</f>
        <v>757.33</v>
      </c>
      <c r="C37" s="3">
        <f t="shared" ca="1" si="0"/>
        <v>-1.0414216647066397E-2</v>
      </c>
    </row>
    <row r="38" spans="1:3" x14ac:dyDescent="0.25">
      <c r="A38" s="2">
        <f ca="1">IFERROR(__xludf.DUMMYFUNCTION("""COMPUTED_VALUE"""),44426.6458333333)</f>
        <v>44426.645833333299</v>
      </c>
      <c r="B38" s="1">
        <f ca="1">IFERROR(__xludf.DUMMYFUNCTION("""COMPUTED_VALUE"""),756.5)</f>
        <v>756.5</v>
      </c>
      <c r="C38" s="3">
        <f t="shared" ca="1" si="0"/>
        <v>-1.0959555279733285E-3</v>
      </c>
    </row>
    <row r="39" spans="1:3" x14ac:dyDescent="0.25">
      <c r="A39" s="2">
        <f ca="1">IFERROR(__xludf.DUMMYFUNCTION("""COMPUTED_VALUE"""),44428.6458333333)</f>
        <v>44428.645833333299</v>
      </c>
      <c r="B39" s="1">
        <f ca="1">IFERROR(__xludf.DUMMYFUNCTION("""COMPUTED_VALUE"""),757.38)</f>
        <v>757.38</v>
      </c>
      <c r="C39" s="3">
        <f t="shared" ca="1" si="0"/>
        <v>1.163251817580959E-3</v>
      </c>
    </row>
    <row r="40" spans="1:3" x14ac:dyDescent="0.25">
      <c r="A40" s="2">
        <f ca="1">IFERROR(__xludf.DUMMYFUNCTION("""COMPUTED_VALUE"""),44431.6458333333)</f>
        <v>44431.645833333299</v>
      </c>
      <c r="B40" s="1">
        <f ca="1">IFERROR(__xludf.DUMMYFUNCTION("""COMPUTED_VALUE"""),762.3)</f>
        <v>762.3</v>
      </c>
      <c r="C40" s="3">
        <f t="shared" ca="1" si="0"/>
        <v>6.4960785867067506E-3</v>
      </c>
    </row>
    <row r="41" spans="1:3" x14ac:dyDescent="0.25">
      <c r="A41" s="2">
        <f ca="1">IFERROR(__xludf.DUMMYFUNCTION("""COMPUTED_VALUE"""),44432.6458333333)</f>
        <v>44432.645833333299</v>
      </c>
      <c r="B41" s="1">
        <f ca="1">IFERROR(__xludf.DUMMYFUNCTION("""COMPUTED_VALUE"""),779.43)</f>
        <v>779.43</v>
      </c>
      <c r="C41" s="3">
        <f t="shared" ca="1" si="0"/>
        <v>2.2471467926013376E-2</v>
      </c>
    </row>
    <row r="42" spans="1:3" x14ac:dyDescent="0.25">
      <c r="A42" s="2">
        <f ca="1">IFERROR(__xludf.DUMMYFUNCTION("""COMPUTED_VALUE"""),44433.6458333333)</f>
        <v>44433.645833333299</v>
      </c>
      <c r="B42" s="1">
        <f ca="1">IFERROR(__xludf.DUMMYFUNCTION("""COMPUTED_VALUE"""),778.7)</f>
        <v>778.7</v>
      </c>
      <c r="C42" s="3">
        <f t="shared" ca="1" si="0"/>
        <v>-9.365818611035045E-4</v>
      </c>
    </row>
    <row r="43" spans="1:3" x14ac:dyDescent="0.25">
      <c r="A43" s="2">
        <f ca="1">IFERROR(__xludf.DUMMYFUNCTION("""COMPUTED_VALUE"""),44434.6458333333)</f>
        <v>44434.645833333299</v>
      </c>
      <c r="B43" s="1">
        <f ca="1">IFERROR(__xludf.DUMMYFUNCTION("""COMPUTED_VALUE"""),777.4)</f>
        <v>777.4</v>
      </c>
      <c r="C43" s="3">
        <f t="shared" ca="1" si="0"/>
        <v>-1.6694490818030924E-3</v>
      </c>
    </row>
    <row r="44" spans="1:3" x14ac:dyDescent="0.25">
      <c r="A44" s="2">
        <f ca="1">IFERROR(__xludf.DUMMYFUNCTION("""COMPUTED_VALUE"""),44435.6458333333)</f>
        <v>44435.645833333299</v>
      </c>
      <c r="B44" s="1">
        <f ca="1">IFERROR(__xludf.DUMMYFUNCTION("""COMPUTED_VALUE"""),774.23)</f>
        <v>774.23</v>
      </c>
      <c r="C44" s="3">
        <f t="shared" ca="1" si="0"/>
        <v>-4.0776948803704135E-3</v>
      </c>
    </row>
    <row r="45" spans="1:3" x14ac:dyDescent="0.25">
      <c r="A45" s="2">
        <f ca="1">IFERROR(__xludf.DUMMYFUNCTION("""COMPUTED_VALUE"""),44438.6458333333)</f>
        <v>44438.645833333299</v>
      </c>
      <c r="B45" s="1">
        <f ca="1">IFERROR(__xludf.DUMMYFUNCTION("""COMPUTED_VALUE"""),784.13)</f>
        <v>784.13</v>
      </c>
      <c r="C45" s="3">
        <f t="shared" ca="1" si="0"/>
        <v>1.2786897950221482E-2</v>
      </c>
    </row>
    <row r="46" spans="1:3" x14ac:dyDescent="0.25">
      <c r="A46" s="2">
        <f ca="1">IFERROR(__xludf.DUMMYFUNCTION("""COMPUTED_VALUE"""),44439.6458333333)</f>
        <v>44439.645833333299</v>
      </c>
      <c r="B46" s="1">
        <f ca="1">IFERROR(__xludf.DUMMYFUNCTION("""COMPUTED_VALUE"""),790.7)</f>
        <v>790.7</v>
      </c>
      <c r="C46" s="3">
        <f t="shared" ca="1" si="0"/>
        <v>8.3787127134531906E-3</v>
      </c>
    </row>
    <row r="47" spans="1:3" x14ac:dyDescent="0.25">
      <c r="A47" s="2">
        <f ca="1">IFERROR(__xludf.DUMMYFUNCTION("""COMPUTED_VALUE"""),44440.6458333333)</f>
        <v>44440.645833333299</v>
      </c>
      <c r="B47" s="1">
        <f ca="1">IFERROR(__xludf.DUMMYFUNCTION("""COMPUTED_VALUE"""),789.55)</f>
        <v>789.55</v>
      </c>
      <c r="C47" s="3">
        <f t="shared" ca="1" si="0"/>
        <v>-1.4544074870369177E-3</v>
      </c>
    </row>
    <row r="48" spans="1:3" x14ac:dyDescent="0.25">
      <c r="A48" s="2">
        <f ca="1">IFERROR(__xludf.DUMMYFUNCTION("""COMPUTED_VALUE"""),44441.6458333333)</f>
        <v>44441.645833333299</v>
      </c>
      <c r="B48" s="1">
        <f ca="1">IFERROR(__xludf.DUMMYFUNCTION("""COMPUTED_VALUE"""),794.5)</f>
        <v>794.5</v>
      </c>
      <c r="C48" s="3">
        <f t="shared" ca="1" si="0"/>
        <v>6.2693939585840618E-3</v>
      </c>
    </row>
    <row r="49" spans="1:4" x14ac:dyDescent="0.25">
      <c r="A49" s="2">
        <f ca="1">IFERROR(__xludf.DUMMYFUNCTION("""COMPUTED_VALUE"""),44442.6458333333)</f>
        <v>44442.645833333299</v>
      </c>
      <c r="B49" s="1">
        <f ca="1">IFERROR(__xludf.DUMMYFUNCTION("""COMPUTED_VALUE"""),788.03)</f>
        <v>788.03</v>
      </c>
      <c r="C49" s="3">
        <f t="shared" ca="1" si="0"/>
        <v>-8.143486469477693E-3</v>
      </c>
    </row>
    <row r="50" spans="1:4" x14ac:dyDescent="0.25">
      <c r="A50" s="2">
        <f ca="1">IFERROR(__xludf.DUMMYFUNCTION("""COMPUTED_VALUE"""),44445.6458333333)</f>
        <v>44445.645833333299</v>
      </c>
      <c r="B50" s="1">
        <f ca="1">IFERROR(__xludf.DUMMYFUNCTION("""COMPUTED_VALUE"""),782.85)</f>
        <v>782.85</v>
      </c>
      <c r="C50" s="3">
        <f t="shared" ca="1" si="0"/>
        <v>-6.5733538063271072E-3</v>
      </c>
    </row>
    <row r="51" spans="1:4" x14ac:dyDescent="0.25">
      <c r="A51" s="2">
        <f ca="1">IFERROR(__xludf.DUMMYFUNCTION("""COMPUTED_VALUE"""),44446.6458333333)</f>
        <v>44446.645833333299</v>
      </c>
      <c r="B51" s="1">
        <f ca="1">IFERROR(__xludf.DUMMYFUNCTION("""COMPUTED_VALUE"""),784.63)</f>
        <v>784.63</v>
      </c>
      <c r="C51" s="3">
        <f t="shared" ca="1" si="0"/>
        <v>2.2737433735708916E-3</v>
      </c>
      <c r="D51">
        <f ca="1">AVERAGE(B2:B50)</f>
        <v>751.54693877551028</v>
      </c>
    </row>
    <row r="52" spans="1:4" x14ac:dyDescent="0.25">
      <c r="A52" s="2">
        <f ca="1">IFERROR(__xludf.DUMMYFUNCTION("""COMPUTED_VALUE"""),44447.6458333333)</f>
        <v>44447.645833333299</v>
      </c>
      <c r="B52" s="1">
        <f ca="1">IFERROR(__xludf.DUMMYFUNCTION("""COMPUTED_VALUE"""),788.2)</f>
        <v>788.2</v>
      </c>
      <c r="C52" s="3">
        <f t="shared" ca="1" si="0"/>
        <v>4.5499152466768411E-3</v>
      </c>
      <c r="D52">
        <f t="shared" ref="D52:D115" ca="1" si="1">AVERAGE(B3:B51)</f>
        <v>752.16836734693891</v>
      </c>
    </row>
    <row r="53" spans="1:4" x14ac:dyDescent="0.25">
      <c r="A53" s="2">
        <f ca="1">IFERROR(__xludf.DUMMYFUNCTION("""COMPUTED_VALUE"""),44448.6458333333)</f>
        <v>44448.645833333299</v>
      </c>
      <c r="B53" s="1">
        <f ca="1">IFERROR(__xludf.DUMMYFUNCTION("""COMPUTED_VALUE"""),784.3)</f>
        <v>784.3</v>
      </c>
      <c r="C53" s="3">
        <f t="shared" ca="1" si="0"/>
        <v>-4.9479827454961822E-3</v>
      </c>
      <c r="D53">
        <f t="shared" ca="1" si="1"/>
        <v>752.92693877551017</v>
      </c>
    </row>
    <row r="54" spans="1:4" x14ac:dyDescent="0.25">
      <c r="A54" s="2">
        <f ca="1">IFERROR(__xludf.DUMMYFUNCTION("""COMPUTED_VALUE"""),44452.6458333333)</f>
        <v>44452.645833333299</v>
      </c>
      <c r="B54" s="1">
        <f ca="1">IFERROR(__xludf.DUMMYFUNCTION("""COMPUTED_VALUE"""),777.78)</f>
        <v>777.78</v>
      </c>
      <c r="C54" s="3">
        <f t="shared" ca="1" si="0"/>
        <v>-8.3131454800458773E-3</v>
      </c>
      <c r="D54">
        <f t="shared" ca="1" si="1"/>
        <v>753.64836734693881</v>
      </c>
    </row>
    <row r="55" spans="1:4" x14ac:dyDescent="0.25">
      <c r="A55" s="2">
        <f ca="1">IFERROR(__xludf.DUMMYFUNCTION("""COMPUTED_VALUE"""),44453.6458333333)</f>
        <v>44453.645833333299</v>
      </c>
      <c r="B55" s="1">
        <f ca="1">IFERROR(__xludf.DUMMYFUNCTION("""COMPUTED_VALUE"""),774.28)</f>
        <v>774.28</v>
      </c>
      <c r="C55" s="3">
        <f t="shared" ca="1" si="0"/>
        <v>-4.4999871428938777E-3</v>
      </c>
      <c r="D55">
        <f t="shared" ca="1" si="1"/>
        <v>754.35040816326546</v>
      </c>
    </row>
    <row r="56" spans="1:4" x14ac:dyDescent="0.25">
      <c r="A56" s="2">
        <f ca="1">IFERROR(__xludf.DUMMYFUNCTION("""COMPUTED_VALUE"""),44454.6458333333)</f>
        <v>44454.645833333299</v>
      </c>
      <c r="B56" s="1">
        <f ca="1">IFERROR(__xludf.DUMMYFUNCTION("""COMPUTED_VALUE"""),773.4)</f>
        <v>773.4</v>
      </c>
      <c r="C56" s="3">
        <f t="shared" ca="1" si="0"/>
        <v>-1.1365397530609023E-3</v>
      </c>
      <c r="D56">
        <f t="shared" ca="1" si="1"/>
        <v>755.04591836734699</v>
      </c>
    </row>
    <row r="57" spans="1:4" x14ac:dyDescent="0.25">
      <c r="A57" s="2">
        <f ca="1">IFERROR(__xludf.DUMMYFUNCTION("""COMPUTED_VALUE"""),44455.6458333333)</f>
        <v>44455.645833333299</v>
      </c>
      <c r="B57" s="1">
        <f ca="1">IFERROR(__xludf.DUMMYFUNCTION("""COMPUTED_VALUE"""),779.98)</f>
        <v>779.98</v>
      </c>
      <c r="C57" s="3">
        <f t="shared" ca="1" si="0"/>
        <v>8.5078872510990968E-3</v>
      </c>
      <c r="D57">
        <f t="shared" ca="1" si="1"/>
        <v>755.56979591836728</v>
      </c>
    </row>
    <row r="58" spans="1:4" x14ac:dyDescent="0.25">
      <c r="A58" s="2">
        <f ca="1">IFERROR(__xludf.DUMMYFUNCTION("""COMPUTED_VALUE"""),44456.6458333333)</f>
        <v>44456.645833333299</v>
      </c>
      <c r="B58" s="1">
        <f ca="1">IFERROR(__xludf.DUMMYFUNCTION("""COMPUTED_VALUE"""),791.08)</f>
        <v>791.08</v>
      </c>
      <c r="C58" s="3">
        <f t="shared" ca="1" si="0"/>
        <v>1.4231134131644429E-2</v>
      </c>
      <c r="D58">
        <f t="shared" ca="1" si="1"/>
        <v>755.82755102040824</v>
      </c>
    </row>
    <row r="59" spans="1:4" x14ac:dyDescent="0.25">
      <c r="A59" s="2">
        <f ca="1">IFERROR(__xludf.DUMMYFUNCTION("""COMPUTED_VALUE"""),44459.6458333333)</f>
        <v>44459.645833333299</v>
      </c>
      <c r="B59" s="1">
        <f ca="1">IFERROR(__xludf.DUMMYFUNCTION("""COMPUTED_VALUE"""),779.93)</f>
        <v>779.93</v>
      </c>
      <c r="C59" s="3">
        <f t="shared" ca="1" si="0"/>
        <v>-1.4094655407797051E-2</v>
      </c>
      <c r="D59">
        <f t="shared" ca="1" si="1"/>
        <v>756.26285714285723</v>
      </c>
    </row>
    <row r="60" spans="1:4" x14ac:dyDescent="0.25">
      <c r="A60" s="2">
        <f ca="1">IFERROR(__xludf.DUMMYFUNCTION("""COMPUTED_VALUE"""),44460.6458333333)</f>
        <v>44460.645833333299</v>
      </c>
      <c r="B60" s="1">
        <f ca="1">IFERROR(__xludf.DUMMYFUNCTION("""COMPUTED_VALUE"""),775.98)</f>
        <v>775.98</v>
      </c>
      <c r="C60" s="3">
        <f t="shared" ca="1" si="0"/>
        <v>-5.0645570756349054E-3</v>
      </c>
      <c r="D60">
        <f t="shared" ca="1" si="1"/>
        <v>756.6648979591838</v>
      </c>
    </row>
    <row r="61" spans="1:4" x14ac:dyDescent="0.25">
      <c r="A61" s="2">
        <f ca="1">IFERROR(__xludf.DUMMYFUNCTION("""COMPUTED_VALUE"""),44461.6458333333)</f>
        <v>44461.645833333299</v>
      </c>
      <c r="B61" s="1">
        <f ca="1">IFERROR(__xludf.DUMMYFUNCTION("""COMPUTED_VALUE"""),766.85)</f>
        <v>766.85</v>
      </c>
      <c r="C61" s="3">
        <f t="shared" ca="1" si="0"/>
        <v>-1.176576715894739E-2</v>
      </c>
      <c r="D61">
        <f t="shared" ca="1" si="1"/>
        <v>757.17469387755125</v>
      </c>
    </row>
    <row r="62" spans="1:4" x14ac:dyDescent="0.25">
      <c r="A62" s="2">
        <f ca="1">IFERROR(__xludf.DUMMYFUNCTION("""COMPUTED_VALUE"""),44462.6458333333)</f>
        <v>44462.645833333299</v>
      </c>
      <c r="B62" s="1">
        <f ca="1">IFERROR(__xludf.DUMMYFUNCTION("""COMPUTED_VALUE"""),785)</f>
        <v>785</v>
      </c>
      <c r="C62" s="3">
        <f t="shared" ca="1" si="0"/>
        <v>2.3668253243789499E-2</v>
      </c>
      <c r="D62">
        <f t="shared" ca="1" si="1"/>
        <v>757.65122448979594</v>
      </c>
    </row>
    <row r="63" spans="1:4" x14ac:dyDescent="0.25">
      <c r="A63" s="2">
        <f ca="1">IFERROR(__xludf.DUMMYFUNCTION("""COMPUTED_VALUE"""),44463.6458333333)</f>
        <v>44463.645833333299</v>
      </c>
      <c r="B63" s="1">
        <f ca="1">IFERROR(__xludf.DUMMYFUNCTION("""COMPUTED_VALUE"""),800.78)</f>
        <v>800.78</v>
      </c>
      <c r="C63" s="3">
        <f t="shared" ca="1" si="0"/>
        <v>2.0101910828025444E-2</v>
      </c>
      <c r="D63">
        <f t="shared" ca="1" si="1"/>
        <v>758.34653061224515</v>
      </c>
    </row>
    <row r="64" spans="1:4" x14ac:dyDescent="0.25">
      <c r="A64" s="2">
        <f ca="1">IFERROR(__xludf.DUMMYFUNCTION("""COMPUTED_VALUE"""),44466.6458333333)</f>
        <v>44466.645833333299</v>
      </c>
      <c r="B64" s="1">
        <f ca="1">IFERROR(__xludf.DUMMYFUNCTION("""COMPUTED_VALUE"""),812.55)</f>
        <v>812.55</v>
      </c>
      <c r="C64" s="3">
        <f t="shared" ca="1" si="0"/>
        <v>1.4698169284947155E-2</v>
      </c>
      <c r="D64">
        <f t="shared" ca="1" si="1"/>
        <v>759.39142857142861</v>
      </c>
    </row>
    <row r="65" spans="1:4" x14ac:dyDescent="0.25">
      <c r="A65" s="2">
        <f ca="1">IFERROR(__xludf.DUMMYFUNCTION("""COMPUTED_VALUE"""),44467.6458333333)</f>
        <v>44467.645833333299</v>
      </c>
      <c r="B65" s="1">
        <f ca="1">IFERROR(__xludf.DUMMYFUNCTION("""COMPUTED_VALUE"""),807.53)</f>
        <v>807.53</v>
      </c>
      <c r="C65" s="3">
        <f t="shared" ca="1" si="0"/>
        <v>-6.1780813488400491E-3</v>
      </c>
      <c r="D65">
        <f t="shared" ca="1" si="1"/>
        <v>760.45673469387759</v>
      </c>
    </row>
    <row r="66" spans="1:4" x14ac:dyDescent="0.25">
      <c r="A66" s="2">
        <f ca="1">IFERROR(__xludf.DUMMYFUNCTION("""COMPUTED_VALUE"""),44468.6458333333)</f>
        <v>44468.645833333299</v>
      </c>
      <c r="B66" s="1">
        <f ca="1">IFERROR(__xludf.DUMMYFUNCTION("""COMPUTED_VALUE"""),796.93)</f>
        <v>796.93</v>
      </c>
      <c r="C66" s="3">
        <f t="shared" ca="1" si="0"/>
        <v>-1.3126447314650878E-2</v>
      </c>
      <c r="D66">
        <f t="shared" ca="1" si="1"/>
        <v>761.40265306122456</v>
      </c>
    </row>
    <row r="67" spans="1:4" x14ac:dyDescent="0.25">
      <c r="A67" s="2">
        <f ca="1">IFERROR(__xludf.DUMMYFUNCTION("""COMPUTED_VALUE"""),44469.6458333333)</f>
        <v>44469.645833333299</v>
      </c>
      <c r="B67" s="1">
        <f ca="1">IFERROR(__xludf.DUMMYFUNCTION("""COMPUTED_VALUE"""),797.48)</f>
        <v>797.48</v>
      </c>
      <c r="C67" s="3">
        <f t="shared" ca="1" si="0"/>
        <v>6.9014844465645447E-4</v>
      </c>
      <c r="D67">
        <f t="shared" ca="1" si="1"/>
        <v>762.65632653061232</v>
      </c>
    </row>
    <row r="68" spans="1:4" x14ac:dyDescent="0.25">
      <c r="A68" s="2">
        <f ca="1">IFERROR(__xludf.DUMMYFUNCTION("""COMPUTED_VALUE"""),44470.6458333333)</f>
        <v>44470.645833333299</v>
      </c>
      <c r="B68" s="1">
        <f ca="1">IFERROR(__xludf.DUMMYFUNCTION("""COMPUTED_VALUE"""),791.35)</f>
        <v>791.35</v>
      </c>
      <c r="C68" s="3">
        <f t="shared" ref="C68:C131" ca="1" si="2">(B68-B67)/B67</f>
        <v>-7.6867131464111891E-3</v>
      </c>
      <c r="D68">
        <f t="shared" ca="1" si="1"/>
        <v>764.20530612244897</v>
      </c>
    </row>
    <row r="69" spans="1:4" x14ac:dyDescent="0.25">
      <c r="A69" s="2">
        <f ca="1">IFERROR(__xludf.DUMMYFUNCTION("""COMPUTED_VALUE"""),44473.6458333333)</f>
        <v>44473.645833333299</v>
      </c>
      <c r="B69" s="1">
        <f ca="1">IFERROR(__xludf.DUMMYFUNCTION("""COMPUTED_VALUE"""),792.88)</f>
        <v>792.88</v>
      </c>
      <c r="C69" s="3">
        <f t="shared" ca="1" si="2"/>
        <v>1.9334049409237034E-3</v>
      </c>
      <c r="D69">
        <f t="shared" ca="1" si="1"/>
        <v>765.57265306122463</v>
      </c>
    </row>
    <row r="70" spans="1:4" x14ac:dyDescent="0.25">
      <c r="A70" s="2">
        <f ca="1">IFERROR(__xludf.DUMMYFUNCTION("""COMPUTED_VALUE"""),44474.6458333333)</f>
        <v>44474.645833333299</v>
      </c>
      <c r="B70" s="1">
        <f ca="1">IFERROR(__xludf.DUMMYFUNCTION("""COMPUTED_VALUE"""),797.73)</f>
        <v>797.73</v>
      </c>
      <c r="C70" s="3">
        <f t="shared" ca="1" si="2"/>
        <v>6.1169407728786486E-3</v>
      </c>
      <c r="D70">
        <f t="shared" ca="1" si="1"/>
        <v>767.0318367346938</v>
      </c>
    </row>
    <row r="71" spans="1:4" x14ac:dyDescent="0.25">
      <c r="A71" s="2">
        <f ca="1">IFERROR(__xludf.DUMMYFUNCTION("""COMPUTED_VALUE"""),44475.6458333333)</f>
        <v>44475.645833333299</v>
      </c>
      <c r="B71" s="1">
        <f ca="1">IFERROR(__xludf.DUMMYFUNCTION("""COMPUTED_VALUE"""),807.45)</f>
        <v>807.45</v>
      </c>
      <c r="C71" s="3">
        <f t="shared" ca="1" si="2"/>
        <v>1.2184573727953101E-2</v>
      </c>
      <c r="D71">
        <f t="shared" ca="1" si="1"/>
        <v>768.67367346938784</v>
      </c>
    </row>
    <row r="72" spans="1:4" x14ac:dyDescent="0.25">
      <c r="A72" s="2">
        <f ca="1">IFERROR(__xludf.DUMMYFUNCTION("""COMPUTED_VALUE"""),44476.6458333333)</f>
        <v>44476.645833333299</v>
      </c>
      <c r="B72" s="1">
        <f ca="1">IFERROR(__xludf.DUMMYFUNCTION("""COMPUTED_VALUE"""),805.25)</f>
        <v>805.25</v>
      </c>
      <c r="C72" s="3">
        <f t="shared" ca="1" si="2"/>
        <v>-2.7246269118831449E-3</v>
      </c>
      <c r="D72">
        <f t="shared" ca="1" si="1"/>
        <v>770.46081632653045</v>
      </c>
    </row>
    <row r="73" spans="1:4" x14ac:dyDescent="0.25">
      <c r="A73" s="2">
        <f ca="1">IFERROR(__xludf.DUMMYFUNCTION("""COMPUTED_VALUE"""),44477.6458333333)</f>
        <v>44477.645833333299</v>
      </c>
      <c r="B73" s="1">
        <f ca="1">IFERROR(__xludf.DUMMYFUNCTION("""COMPUTED_VALUE"""),801.33)</f>
        <v>801.33</v>
      </c>
      <c r="C73" s="3">
        <f t="shared" ca="1" si="2"/>
        <v>-4.8680533995653016E-3</v>
      </c>
      <c r="D73">
        <f t="shared" ca="1" si="1"/>
        <v>772.43224489795887</v>
      </c>
    </row>
    <row r="74" spans="1:4" x14ac:dyDescent="0.25">
      <c r="A74" s="2">
        <f ca="1">IFERROR(__xludf.DUMMYFUNCTION("""COMPUTED_VALUE"""),44480.6458333333)</f>
        <v>44480.645833333299</v>
      </c>
      <c r="B74" s="1">
        <f ca="1">IFERROR(__xludf.DUMMYFUNCTION("""COMPUTED_VALUE"""),816.9)</f>
        <v>816.9</v>
      </c>
      <c r="C74" s="3">
        <f t="shared" ca="1" si="2"/>
        <v>1.9430197296993669E-2</v>
      </c>
      <c r="D74">
        <f t="shared" ca="1" si="1"/>
        <v>774.31387755102025</v>
      </c>
    </row>
    <row r="75" spans="1:4" x14ac:dyDescent="0.25">
      <c r="A75" s="2">
        <f ca="1">IFERROR(__xludf.DUMMYFUNCTION("""COMPUTED_VALUE"""),44481.6458333333)</f>
        <v>44481.645833333299</v>
      </c>
      <c r="B75" s="1">
        <f ca="1">IFERROR(__xludf.DUMMYFUNCTION("""COMPUTED_VALUE"""),814.8)</f>
        <v>814.8</v>
      </c>
      <c r="C75" s="3">
        <f t="shared" ca="1" si="2"/>
        <v>-2.570694087403627E-3</v>
      </c>
      <c r="D75">
        <f t="shared" ca="1" si="1"/>
        <v>776.42959183673463</v>
      </c>
    </row>
    <row r="76" spans="1:4" x14ac:dyDescent="0.25">
      <c r="A76" s="2">
        <f ca="1">IFERROR(__xludf.DUMMYFUNCTION("""COMPUTED_VALUE"""),44482.6458333333)</f>
        <v>44482.645833333299</v>
      </c>
      <c r="B76" s="1">
        <f ca="1">IFERROR(__xludf.DUMMYFUNCTION("""COMPUTED_VALUE"""),819.7)</f>
        <v>819.7</v>
      </c>
      <c r="C76" s="3">
        <f t="shared" ca="1" si="2"/>
        <v>6.0137457044674662E-3</v>
      </c>
      <c r="D76">
        <f t="shared" ca="1" si="1"/>
        <v>778.54122448979581</v>
      </c>
    </row>
    <row r="77" spans="1:4" x14ac:dyDescent="0.25">
      <c r="A77" s="2">
        <f ca="1">IFERROR(__xludf.DUMMYFUNCTION("""COMPUTED_VALUE"""),44483.6458333333)</f>
        <v>44483.645833333299</v>
      </c>
      <c r="B77" s="1">
        <f ca="1">IFERROR(__xludf.DUMMYFUNCTION("""COMPUTED_VALUE"""),843.7)</f>
        <v>843.7</v>
      </c>
      <c r="C77" s="3">
        <f t="shared" ca="1" si="2"/>
        <v>2.9279004513846529E-2</v>
      </c>
      <c r="D77">
        <f t="shared" ca="1" si="1"/>
        <v>780.62999999999988</v>
      </c>
    </row>
    <row r="78" spans="1:4" x14ac:dyDescent="0.25">
      <c r="A78" s="2">
        <f ca="1">IFERROR(__xludf.DUMMYFUNCTION("""COMPUTED_VALUE"""),44487.6458333333)</f>
        <v>44487.645833333299</v>
      </c>
      <c r="B78" s="1">
        <f ca="1">IFERROR(__xludf.DUMMYFUNCTION("""COMPUTED_VALUE"""),835.15)</f>
        <v>835.15</v>
      </c>
      <c r="C78" s="3">
        <f t="shared" ca="1" si="2"/>
        <v>-1.0133933862747503E-2</v>
      </c>
      <c r="D78">
        <f t="shared" ca="1" si="1"/>
        <v>782.8963265306121</v>
      </c>
    </row>
    <row r="79" spans="1:4" x14ac:dyDescent="0.25">
      <c r="A79" s="2">
        <f ca="1">IFERROR(__xludf.DUMMYFUNCTION("""COMPUTED_VALUE"""),44488.6458333333)</f>
        <v>44488.645833333299</v>
      </c>
      <c r="B79" s="1">
        <f ca="1">IFERROR(__xludf.DUMMYFUNCTION("""COMPUTED_VALUE"""),844.35)</f>
        <v>844.35</v>
      </c>
      <c r="C79" s="3">
        <f t="shared" ca="1" si="2"/>
        <v>1.1015985152367893E-2</v>
      </c>
      <c r="D79">
        <f t="shared" ca="1" si="1"/>
        <v>784.78857142857146</v>
      </c>
    </row>
    <row r="80" spans="1:4" x14ac:dyDescent="0.25">
      <c r="A80" s="2">
        <f ca="1">IFERROR(__xludf.DUMMYFUNCTION("""COMPUTED_VALUE"""),44489.6458333333)</f>
        <v>44489.645833333299</v>
      </c>
      <c r="B80" s="1">
        <f ca="1">IFERROR(__xludf.DUMMYFUNCTION("""COMPUTED_VALUE"""),836.93)</f>
        <v>836.93</v>
      </c>
      <c r="C80" s="3">
        <f t="shared" ca="1" si="2"/>
        <v>-8.7878249541067949E-3</v>
      </c>
      <c r="D80">
        <f t="shared" ca="1" si="1"/>
        <v>786.78897959183666</v>
      </c>
    </row>
    <row r="81" spans="1:4" x14ac:dyDescent="0.25">
      <c r="A81" s="2">
        <f ca="1">IFERROR(__xludf.DUMMYFUNCTION("""COMPUTED_VALUE"""),44490.6458333333)</f>
        <v>44490.645833333299</v>
      </c>
      <c r="B81" s="1">
        <f ca="1">IFERROR(__xludf.DUMMYFUNCTION("""COMPUTED_VALUE"""),838.15)</f>
        <v>838.15</v>
      </c>
      <c r="C81" s="3">
        <f t="shared" ca="1" si="2"/>
        <v>1.4577085299846192E-3</v>
      </c>
      <c r="D81">
        <f t="shared" ca="1" si="1"/>
        <v>788.52326530612231</v>
      </c>
    </row>
    <row r="82" spans="1:4" x14ac:dyDescent="0.25">
      <c r="A82" s="2">
        <f ca="1">IFERROR(__xludf.DUMMYFUNCTION("""COMPUTED_VALUE"""),44491.6458333333)</f>
        <v>44491.645833333299</v>
      </c>
      <c r="B82" s="1">
        <f ca="1">IFERROR(__xludf.DUMMYFUNCTION("""COMPUTED_VALUE"""),840.38)</f>
        <v>840.38</v>
      </c>
      <c r="C82" s="3">
        <f t="shared" ca="1" si="2"/>
        <v>2.6606216071109207E-3</v>
      </c>
      <c r="D82">
        <f t="shared" ca="1" si="1"/>
        <v>790.24408163265309</v>
      </c>
    </row>
    <row r="83" spans="1:4" x14ac:dyDescent="0.25">
      <c r="A83" s="2">
        <f ca="1">IFERROR(__xludf.DUMMYFUNCTION("""COMPUTED_VALUE"""),44494.6458333333)</f>
        <v>44494.645833333299</v>
      </c>
      <c r="B83" s="1">
        <f ca="1">IFERROR(__xludf.DUMMYFUNCTION("""COMPUTED_VALUE"""),828.5)</f>
        <v>828.5</v>
      </c>
      <c r="C83" s="3">
        <f t="shared" ca="1" si="2"/>
        <v>-1.4136462076679592E-2</v>
      </c>
      <c r="D83">
        <f t="shared" ca="1" si="1"/>
        <v>792.13999999999987</v>
      </c>
    </row>
    <row r="84" spans="1:4" x14ac:dyDescent="0.25">
      <c r="A84" s="2">
        <f ca="1">IFERROR(__xludf.DUMMYFUNCTION("""COMPUTED_VALUE"""),44495.6458333333)</f>
        <v>44495.645833333299</v>
      </c>
      <c r="B84" s="1">
        <f ca="1">IFERROR(__xludf.DUMMYFUNCTION("""COMPUTED_VALUE"""),826.38)</f>
        <v>826.38</v>
      </c>
      <c r="C84" s="3">
        <f t="shared" ca="1" si="2"/>
        <v>-2.5588412794206451E-3</v>
      </c>
      <c r="D84">
        <f t="shared" ca="1" si="1"/>
        <v>793.72775510204076</v>
      </c>
    </row>
    <row r="85" spans="1:4" x14ac:dyDescent="0.25">
      <c r="A85" s="2">
        <f ca="1">IFERROR(__xludf.DUMMYFUNCTION("""COMPUTED_VALUE"""),44496.6458333333)</f>
        <v>44496.645833333299</v>
      </c>
      <c r="B85" s="1">
        <f ca="1">IFERROR(__xludf.DUMMYFUNCTION("""COMPUTED_VALUE"""),821.4)</f>
        <v>821.4</v>
      </c>
      <c r="C85" s="3">
        <f t="shared" ca="1" si="2"/>
        <v>-6.0262833079213173E-3</v>
      </c>
      <c r="D85">
        <f t="shared" ca="1" si="1"/>
        <v>795.01918367346934</v>
      </c>
    </row>
    <row r="86" spans="1:4" x14ac:dyDescent="0.25">
      <c r="A86" s="2">
        <f ca="1">IFERROR(__xludf.DUMMYFUNCTION("""COMPUTED_VALUE"""),44497.6458333333)</f>
        <v>44497.645833333299</v>
      </c>
      <c r="B86" s="1">
        <f ca="1">IFERROR(__xludf.DUMMYFUNCTION("""COMPUTED_VALUE"""),796.8)</f>
        <v>796.8</v>
      </c>
      <c r="C86" s="3">
        <f t="shared" ca="1" si="2"/>
        <v>-2.9948867786705653E-2</v>
      </c>
      <c r="D86">
        <f t="shared" ca="1" si="1"/>
        <v>796.16408163265294</v>
      </c>
    </row>
    <row r="87" spans="1:4" x14ac:dyDescent="0.25">
      <c r="A87" s="2">
        <f ca="1">IFERROR(__xludf.DUMMYFUNCTION("""COMPUTED_VALUE"""),44498.6458333333)</f>
        <v>44498.645833333299</v>
      </c>
      <c r="B87" s="1">
        <f ca="1">IFERROR(__xludf.DUMMYFUNCTION("""COMPUTED_VALUE"""),791.43)</f>
        <v>791.43</v>
      </c>
      <c r="C87" s="3">
        <f t="shared" ca="1" si="2"/>
        <v>-6.7394578313253071E-3</v>
      </c>
      <c r="D87">
        <f t="shared" ca="1" si="1"/>
        <v>796.96959183673471</v>
      </c>
    </row>
    <row r="88" spans="1:4" x14ac:dyDescent="0.25">
      <c r="A88" s="2">
        <f ca="1">IFERROR(__xludf.DUMMYFUNCTION("""COMPUTED_VALUE"""),44501.6458333333)</f>
        <v>44501.645833333299</v>
      </c>
      <c r="B88" s="1">
        <f ca="1">IFERROR(__xludf.DUMMYFUNCTION("""COMPUTED_VALUE"""),802.65)</f>
        <v>802.65</v>
      </c>
      <c r="C88" s="3">
        <f t="shared" ca="1" si="2"/>
        <v>1.4176869716841702E-2</v>
      </c>
      <c r="D88">
        <f t="shared" ca="1" si="1"/>
        <v>797.68244897959175</v>
      </c>
    </row>
    <row r="89" spans="1:4" x14ac:dyDescent="0.25">
      <c r="A89" s="2">
        <f ca="1">IFERROR(__xludf.DUMMYFUNCTION("""COMPUTED_VALUE"""),44502.6458333333)</f>
        <v>44502.645833333299</v>
      </c>
      <c r="B89" s="1">
        <f ca="1">IFERROR(__xludf.DUMMYFUNCTION("""COMPUTED_VALUE"""),803.38)</f>
        <v>803.38</v>
      </c>
      <c r="C89" s="3">
        <f t="shared" ca="1" si="2"/>
        <v>9.0948732324178431E-4</v>
      </c>
      <c r="D89">
        <f t="shared" ca="1" si="1"/>
        <v>798.60632653061225</v>
      </c>
    </row>
    <row r="90" spans="1:4" x14ac:dyDescent="0.25">
      <c r="A90" s="2">
        <f ca="1">IFERROR(__xludf.DUMMYFUNCTION("""COMPUTED_VALUE"""),44503.6458333333)</f>
        <v>44503.645833333299</v>
      </c>
      <c r="B90" s="1">
        <f ca="1">IFERROR(__xludf.DUMMYFUNCTION("""COMPUTED_VALUE"""),790.73)</f>
        <v>790.73</v>
      </c>
      <c r="C90" s="3">
        <f t="shared" ca="1" si="2"/>
        <v>-1.5745973262963949E-2</v>
      </c>
      <c r="D90">
        <f t="shared" ca="1" si="1"/>
        <v>799.444693877551</v>
      </c>
    </row>
    <row r="91" spans="1:4" x14ac:dyDescent="0.25">
      <c r="A91" s="2">
        <f ca="1">IFERROR(__xludf.DUMMYFUNCTION("""COMPUTED_VALUE"""),44504.8020833333)</f>
        <v>44504.802083333299</v>
      </c>
      <c r="B91" s="1">
        <f ca="1">IFERROR(__xludf.DUMMYFUNCTION("""COMPUTED_VALUE"""),796.98)</f>
        <v>796.98</v>
      </c>
      <c r="C91" s="3">
        <f t="shared" ca="1" si="2"/>
        <v>7.9040886269649557E-3</v>
      </c>
      <c r="D91">
        <f t="shared" ca="1" si="1"/>
        <v>799.67530612244923</v>
      </c>
    </row>
    <row r="92" spans="1:4" x14ac:dyDescent="0.25">
      <c r="A92" s="2">
        <f ca="1">IFERROR(__xludf.DUMMYFUNCTION("""COMPUTED_VALUE"""),44508.6458333333)</f>
        <v>44508.645833333299</v>
      </c>
      <c r="B92" s="1">
        <f ca="1">IFERROR(__xludf.DUMMYFUNCTION("""COMPUTED_VALUE"""),800.13)</f>
        <v>800.13</v>
      </c>
      <c r="C92" s="3">
        <f t="shared" ca="1" si="2"/>
        <v>3.9524203869607481E-3</v>
      </c>
      <c r="D92">
        <f t="shared" ca="1" si="1"/>
        <v>800.04836734693913</v>
      </c>
    </row>
    <row r="93" spans="1:4" x14ac:dyDescent="0.25">
      <c r="A93" s="2">
        <f ca="1">IFERROR(__xludf.DUMMYFUNCTION("""COMPUTED_VALUE"""),44509.6458333333)</f>
        <v>44509.645833333299</v>
      </c>
      <c r="B93" s="1">
        <f ca="1">IFERROR(__xludf.DUMMYFUNCTION("""COMPUTED_VALUE"""),786.13)</f>
        <v>786.13</v>
      </c>
      <c r="C93" s="3">
        <f t="shared" ca="1" si="2"/>
        <v>-1.7497156712034296E-2</v>
      </c>
      <c r="D93">
        <f t="shared" ca="1" si="1"/>
        <v>800.51224489795948</v>
      </c>
    </row>
    <row r="94" spans="1:4" x14ac:dyDescent="0.25">
      <c r="A94" s="2">
        <f ca="1">IFERROR(__xludf.DUMMYFUNCTION("""COMPUTED_VALUE"""),44510.6458333333)</f>
        <v>44510.645833333299</v>
      </c>
      <c r="B94" s="1">
        <f ca="1">IFERROR(__xludf.DUMMYFUNCTION("""COMPUTED_VALUE"""),777.63)</f>
        <v>777.63</v>
      </c>
      <c r="C94" s="3">
        <f t="shared" ca="1" si="2"/>
        <v>-1.0812461043338889E-2</v>
      </c>
      <c r="D94">
        <f t="shared" ca="1" si="1"/>
        <v>800.7551020408165</v>
      </c>
    </row>
    <row r="95" spans="1:4" x14ac:dyDescent="0.25">
      <c r="A95" s="2">
        <f ca="1">IFERROR(__xludf.DUMMYFUNCTION("""COMPUTED_VALUE"""),44511.6458333333)</f>
        <v>44511.645833333299</v>
      </c>
      <c r="B95" s="1">
        <f ca="1">IFERROR(__xludf.DUMMYFUNCTION("""COMPUTED_VALUE"""),774.15)</f>
        <v>774.15</v>
      </c>
      <c r="C95" s="3">
        <f t="shared" ca="1" si="2"/>
        <v>-4.4751359901238612E-3</v>
      </c>
      <c r="D95">
        <f t="shared" ca="1" si="1"/>
        <v>800.62244897959204</v>
      </c>
    </row>
    <row r="96" spans="1:4" x14ac:dyDescent="0.25">
      <c r="A96" s="2">
        <f ca="1">IFERROR(__xludf.DUMMYFUNCTION("""COMPUTED_VALUE"""),44512.6458333333)</f>
        <v>44512.645833333299</v>
      </c>
      <c r="B96" s="1">
        <f ca="1">IFERROR(__xludf.DUMMYFUNCTION("""COMPUTED_VALUE"""),776.5)</f>
        <v>776.5</v>
      </c>
      <c r="C96" s="3">
        <f t="shared" ca="1" si="2"/>
        <v>3.0355874184589847E-3</v>
      </c>
      <c r="D96">
        <f t="shared" ca="1" si="1"/>
        <v>800.28469387755115</v>
      </c>
    </row>
    <row r="97" spans="1:4" x14ac:dyDescent="0.25">
      <c r="A97" s="2">
        <f ca="1">IFERROR(__xludf.DUMMYFUNCTION("""COMPUTED_VALUE"""),44515.6458333333)</f>
        <v>44515.645833333299</v>
      </c>
      <c r="B97" s="1">
        <f ca="1">IFERROR(__xludf.DUMMYFUNCTION("""COMPUTED_VALUE"""),778.63)</f>
        <v>778.63</v>
      </c>
      <c r="C97" s="3">
        <f t="shared" ca="1" si="2"/>
        <v>2.7430779137153838E-3</v>
      </c>
      <c r="D97">
        <f t="shared" ca="1" si="1"/>
        <v>800.01836734693893</v>
      </c>
    </row>
    <row r="98" spans="1:4" x14ac:dyDescent="0.25">
      <c r="A98" s="2">
        <f ca="1">IFERROR(__xludf.DUMMYFUNCTION("""COMPUTED_VALUE"""),44516.6458333333)</f>
        <v>44516.645833333299</v>
      </c>
      <c r="B98" s="1">
        <f ca="1">IFERROR(__xludf.DUMMYFUNCTION("""COMPUTED_VALUE"""),774)</f>
        <v>774</v>
      </c>
      <c r="C98" s="3">
        <f t="shared" ca="1" si="2"/>
        <v>-5.9463416513620016E-3</v>
      </c>
      <c r="D98">
        <f t="shared" ca="1" si="1"/>
        <v>799.69448979591846</v>
      </c>
    </row>
    <row r="99" spans="1:4" x14ac:dyDescent="0.25">
      <c r="A99" s="2">
        <f ca="1">IFERROR(__xludf.DUMMYFUNCTION("""COMPUTED_VALUE"""),44517.6458333333)</f>
        <v>44517.645833333299</v>
      </c>
      <c r="B99" s="1">
        <f ca="1">IFERROR(__xludf.DUMMYFUNCTION("""COMPUTED_VALUE"""),765.4)</f>
        <v>765.4</v>
      </c>
      <c r="C99" s="3">
        <f t="shared" ca="1" si="2"/>
        <v>-1.1111111111111141E-2</v>
      </c>
      <c r="D99">
        <f t="shared" ca="1" si="1"/>
        <v>799.40816326530626</v>
      </c>
    </row>
    <row r="100" spans="1:4" x14ac:dyDescent="0.25">
      <c r="A100" s="2">
        <f ca="1">IFERROR(__xludf.DUMMYFUNCTION("""COMPUTED_VALUE"""),44518.6458333333)</f>
        <v>44518.645833333299</v>
      </c>
      <c r="B100" s="1">
        <f ca="1">IFERROR(__xludf.DUMMYFUNCTION("""COMPUTED_VALUE"""),769.7)</f>
        <v>769.7</v>
      </c>
      <c r="C100" s="3">
        <f t="shared" ca="1" si="2"/>
        <v>5.6179775280899768E-3</v>
      </c>
      <c r="D100">
        <f t="shared" ca="1" si="1"/>
        <v>799.05204081632655</v>
      </c>
    </row>
    <row r="101" spans="1:4" x14ac:dyDescent="0.25">
      <c r="A101" s="2">
        <f ca="1">IFERROR(__xludf.DUMMYFUNCTION("""COMPUTED_VALUE"""),44522.6458333333)</f>
        <v>44522.645833333299</v>
      </c>
      <c r="B101" s="1">
        <f ca="1">IFERROR(__xludf.DUMMYFUNCTION("""COMPUTED_VALUE"""),757.68)</f>
        <v>757.68</v>
      </c>
      <c r="C101" s="3">
        <f t="shared" ca="1" si="2"/>
        <v>-1.5616473950890081E-2</v>
      </c>
      <c r="D101">
        <f t="shared" ca="1" si="1"/>
        <v>798.74734693877554</v>
      </c>
    </row>
    <row r="102" spans="1:4" x14ac:dyDescent="0.25">
      <c r="A102" s="2">
        <f ca="1">IFERROR(__xludf.DUMMYFUNCTION("""COMPUTED_VALUE"""),44523.6458333333)</f>
        <v>44523.645833333299</v>
      </c>
      <c r="B102" s="1">
        <f ca="1">IFERROR(__xludf.DUMMYFUNCTION("""COMPUTED_VALUE"""),757.78)</f>
        <v>757.78</v>
      </c>
      <c r="C102" s="3">
        <f t="shared" ca="1" si="2"/>
        <v>1.3198183929894247E-4</v>
      </c>
      <c r="D102">
        <f t="shared" ca="1" si="1"/>
        <v>798.12448979591852</v>
      </c>
    </row>
    <row r="103" spans="1:4" x14ac:dyDescent="0.25">
      <c r="A103" s="2">
        <f ca="1">IFERROR(__xludf.DUMMYFUNCTION("""COMPUTED_VALUE"""),44524.6458333333)</f>
        <v>44524.645833333299</v>
      </c>
      <c r="B103" s="1">
        <f ca="1">IFERROR(__xludf.DUMMYFUNCTION("""COMPUTED_VALUE"""),759.03)</f>
        <v>759.03</v>
      </c>
      <c r="C103" s="3">
        <f t="shared" ca="1" si="2"/>
        <v>1.64955527989654E-3</v>
      </c>
      <c r="D103">
        <f t="shared" ca="1" si="1"/>
        <v>797.5832653061226</v>
      </c>
    </row>
    <row r="104" spans="1:4" x14ac:dyDescent="0.25">
      <c r="A104" s="2">
        <f ca="1">IFERROR(__xludf.DUMMYFUNCTION("""COMPUTED_VALUE"""),44525.6458333333)</f>
        <v>44525.645833333299</v>
      </c>
      <c r="B104" s="1">
        <f ca="1">IFERROR(__xludf.DUMMYFUNCTION("""COMPUTED_VALUE"""),762.98)</f>
        <v>762.98</v>
      </c>
      <c r="C104" s="3">
        <f t="shared" ca="1" si="2"/>
        <v>5.2040103816714039E-3</v>
      </c>
      <c r="D104">
        <f t="shared" ca="1" si="1"/>
        <v>797.20061224489802</v>
      </c>
    </row>
    <row r="105" spans="1:4" x14ac:dyDescent="0.25">
      <c r="A105" s="2">
        <f ca="1">IFERROR(__xludf.DUMMYFUNCTION("""COMPUTED_VALUE"""),44526.6458333333)</f>
        <v>44526.645833333299</v>
      </c>
      <c r="B105" s="1">
        <f ca="1">IFERROR(__xludf.DUMMYFUNCTION("""COMPUTED_VALUE"""),744.95)</f>
        <v>744.95</v>
      </c>
      <c r="C105" s="3">
        <f t="shared" ca="1" si="2"/>
        <v>-2.3631025714959727E-2</v>
      </c>
      <c r="D105">
        <f t="shared" ca="1" si="1"/>
        <v>796.97000000000014</v>
      </c>
    </row>
    <row r="106" spans="1:4" x14ac:dyDescent="0.25">
      <c r="A106" s="2">
        <f ca="1">IFERROR(__xludf.DUMMYFUNCTION("""COMPUTED_VALUE"""),44529.6458333333)</f>
        <v>44529.645833333299</v>
      </c>
      <c r="B106" s="1">
        <f ca="1">IFERROR(__xludf.DUMMYFUNCTION("""COMPUTED_VALUE"""),750.63)</f>
        <v>750.63</v>
      </c>
      <c r="C106" s="3">
        <f t="shared" ca="1" si="2"/>
        <v>7.6246727968319345E-3</v>
      </c>
      <c r="D106">
        <f t="shared" ca="1" si="1"/>
        <v>796.38938775510223</v>
      </c>
    </row>
    <row r="107" spans="1:4" x14ac:dyDescent="0.25">
      <c r="A107" s="2">
        <f ca="1">IFERROR(__xludf.DUMMYFUNCTION("""COMPUTED_VALUE"""),44530.6458333333)</f>
        <v>44530.645833333299</v>
      </c>
      <c r="B107" s="1">
        <f ca="1">IFERROR(__xludf.DUMMYFUNCTION("""COMPUTED_VALUE"""),746.78)</f>
        <v>746.78</v>
      </c>
      <c r="C107" s="3">
        <f t="shared" ca="1" si="2"/>
        <v>-5.1290249523733697E-3</v>
      </c>
      <c r="D107">
        <f t="shared" ca="1" si="1"/>
        <v>795.79040816326551</v>
      </c>
    </row>
    <row r="108" spans="1:4" x14ac:dyDescent="0.25">
      <c r="A108" s="2">
        <f ca="1">IFERROR(__xludf.DUMMYFUNCTION("""COMPUTED_VALUE"""),44531.6458333333)</f>
        <v>44531.645833333299</v>
      </c>
      <c r="B108" s="1">
        <f ca="1">IFERROR(__xludf.DUMMYFUNCTION("""COMPUTED_VALUE"""),752.33)</f>
        <v>752.33</v>
      </c>
      <c r="C108" s="3">
        <f t="shared" ca="1" si="2"/>
        <v>7.4319076568736021E-3</v>
      </c>
      <c r="D108">
        <f t="shared" ca="1" si="1"/>
        <v>794.88632653061222</v>
      </c>
    </row>
    <row r="109" spans="1:4" x14ac:dyDescent="0.25">
      <c r="A109" s="2">
        <f ca="1">IFERROR(__xludf.DUMMYFUNCTION("""COMPUTED_VALUE"""),44532.6458333333)</f>
        <v>44532.645833333299</v>
      </c>
      <c r="B109" s="1">
        <f ca="1">IFERROR(__xludf.DUMMYFUNCTION("""COMPUTED_VALUE"""),762.88)</f>
        <v>762.88</v>
      </c>
      <c r="C109" s="3">
        <f t="shared" ca="1" si="2"/>
        <v>1.4023101564472977E-2</v>
      </c>
      <c r="D109">
        <f t="shared" ca="1" si="1"/>
        <v>794.32306122448995</v>
      </c>
    </row>
    <row r="110" spans="1:4" x14ac:dyDescent="0.25">
      <c r="A110" s="2">
        <f ca="1">IFERROR(__xludf.DUMMYFUNCTION("""COMPUTED_VALUE"""),44533.6458333333)</f>
        <v>44533.645833333299</v>
      </c>
      <c r="B110" s="1">
        <f ca="1">IFERROR(__xludf.DUMMYFUNCTION("""COMPUTED_VALUE"""),756.78)</f>
        <v>756.78</v>
      </c>
      <c r="C110" s="3">
        <f t="shared" ca="1" si="2"/>
        <v>-7.9960151006711715E-3</v>
      </c>
      <c r="D110">
        <f t="shared" ca="1" si="1"/>
        <v>794.05571428571454</v>
      </c>
    </row>
    <row r="111" spans="1:4" x14ac:dyDescent="0.25">
      <c r="A111" s="2">
        <f ca="1">IFERROR(__xludf.DUMMYFUNCTION("""COMPUTED_VALUE"""),44536.6458333333)</f>
        <v>44536.645833333299</v>
      </c>
      <c r="B111" s="1">
        <f ca="1">IFERROR(__xludf.DUMMYFUNCTION("""COMPUTED_VALUE"""),751.9)</f>
        <v>751.9</v>
      </c>
      <c r="C111" s="3">
        <f t="shared" ca="1" si="2"/>
        <v>-6.4483733713893016E-3</v>
      </c>
      <c r="D111">
        <f t="shared" ca="1" si="1"/>
        <v>793.85020408163268</v>
      </c>
    </row>
    <row r="112" spans="1:4" x14ac:dyDescent="0.25">
      <c r="A112" s="2">
        <f ca="1">IFERROR(__xludf.DUMMYFUNCTION("""COMPUTED_VALUE"""),44537.6458333333)</f>
        <v>44537.645833333299</v>
      </c>
      <c r="B112" s="1">
        <f ca="1">IFERROR(__xludf.DUMMYFUNCTION("""COMPUTED_VALUE"""),762.85)</f>
        <v>762.85</v>
      </c>
      <c r="C112" s="3">
        <f t="shared" ca="1" si="2"/>
        <v>1.4563106796116566E-2</v>
      </c>
      <c r="D112">
        <f t="shared" ca="1" si="1"/>
        <v>793.17469387755114</v>
      </c>
    </row>
    <row r="113" spans="1:4" x14ac:dyDescent="0.25">
      <c r="A113" s="2">
        <f ca="1">IFERROR(__xludf.DUMMYFUNCTION("""COMPUTED_VALUE"""),44538.6458333333)</f>
        <v>44538.645833333299</v>
      </c>
      <c r="B113" s="1">
        <f ca="1">IFERROR(__xludf.DUMMYFUNCTION("""COMPUTED_VALUE"""),776.9)</f>
        <v>776.9</v>
      </c>
      <c r="C113" s="3">
        <f t="shared" ca="1" si="2"/>
        <v>1.841777544733559E-2</v>
      </c>
      <c r="D113">
        <f t="shared" ca="1" si="1"/>
        <v>792.40061224489796</v>
      </c>
    </row>
    <row r="114" spans="1:4" x14ac:dyDescent="0.25">
      <c r="A114" s="2">
        <f ca="1">IFERROR(__xludf.DUMMYFUNCTION("""COMPUTED_VALUE"""),44539.6458333333)</f>
        <v>44539.645833333299</v>
      </c>
      <c r="B114" s="1">
        <f ca="1">IFERROR(__xludf.DUMMYFUNCTION("""COMPUTED_VALUE"""),763.43)</f>
        <v>763.43</v>
      </c>
      <c r="C114" s="3">
        <f t="shared" ca="1" si="2"/>
        <v>-1.7338138756596767E-2</v>
      </c>
      <c r="D114">
        <f t="shared" ca="1" si="1"/>
        <v>791.67306122448986</v>
      </c>
    </row>
    <row r="115" spans="1:4" x14ac:dyDescent="0.25">
      <c r="A115" s="2">
        <f ca="1">IFERROR(__xludf.DUMMYFUNCTION("""COMPUTED_VALUE"""),44540.6458333333)</f>
        <v>44540.645833333299</v>
      </c>
      <c r="B115" s="1">
        <f ca="1">IFERROR(__xludf.DUMMYFUNCTION("""COMPUTED_VALUE"""),761.28)</f>
        <v>761.28</v>
      </c>
      <c r="C115" s="3">
        <f t="shared" ca="1" si="2"/>
        <v>-2.8162372450650057E-3</v>
      </c>
      <c r="D115">
        <f t="shared" ca="1" si="1"/>
        <v>790.77306122448988</v>
      </c>
    </row>
    <row r="116" spans="1:4" x14ac:dyDescent="0.25">
      <c r="A116" s="2">
        <f ca="1">IFERROR(__xludf.DUMMYFUNCTION("""COMPUTED_VALUE"""),44543.6458333333)</f>
        <v>44543.645833333299</v>
      </c>
      <c r="B116" s="1">
        <f ca="1">IFERROR(__xludf.DUMMYFUNCTION("""COMPUTED_VALUE"""),755.58)</f>
        <v>755.58</v>
      </c>
      <c r="C116" s="3">
        <f t="shared" ca="1" si="2"/>
        <v>-7.4873896595207181E-3</v>
      </c>
      <c r="D116">
        <f t="shared" ref="D116:D179" ca="1" si="3">AVERAGE(B67:B115)</f>
        <v>790.04551020408167</v>
      </c>
    </row>
    <row r="117" spans="1:4" x14ac:dyDescent="0.25">
      <c r="A117" s="2">
        <f ca="1">IFERROR(__xludf.DUMMYFUNCTION("""COMPUTED_VALUE"""),44544.6458333333)</f>
        <v>44544.645833333299</v>
      </c>
      <c r="B117" s="1">
        <f ca="1">IFERROR(__xludf.DUMMYFUNCTION("""COMPUTED_VALUE"""),751.23)</f>
        <v>751.23</v>
      </c>
      <c r="C117" s="3">
        <f t="shared" ca="1" si="2"/>
        <v>-5.7571666799015623E-3</v>
      </c>
      <c r="D117">
        <f t="shared" ca="1" si="3"/>
        <v>789.19040816326549</v>
      </c>
    </row>
    <row r="118" spans="1:4" x14ac:dyDescent="0.25">
      <c r="A118" s="2">
        <f ca="1">IFERROR(__xludf.DUMMYFUNCTION("""COMPUTED_VALUE"""),44545.6458333333)</f>
        <v>44545.645833333299</v>
      </c>
      <c r="B118" s="1">
        <f ca="1">IFERROR(__xludf.DUMMYFUNCTION("""COMPUTED_VALUE"""),750)</f>
        <v>750</v>
      </c>
      <c r="C118" s="3">
        <f t="shared" ca="1" si="2"/>
        <v>-1.6373148037219204E-3</v>
      </c>
      <c r="D118">
        <f t="shared" ca="1" si="3"/>
        <v>788.37163265306151</v>
      </c>
    </row>
    <row r="119" spans="1:4" x14ac:dyDescent="0.25">
      <c r="A119" s="2">
        <f ca="1">IFERROR(__xludf.DUMMYFUNCTION("""COMPUTED_VALUE"""),44546.6458333333)</f>
        <v>44546.645833333299</v>
      </c>
      <c r="B119" s="1">
        <f ca="1">IFERROR(__xludf.DUMMYFUNCTION("""COMPUTED_VALUE"""),750.05)</f>
        <v>750.05</v>
      </c>
      <c r="C119" s="3">
        <f t="shared" ca="1" si="2"/>
        <v>6.6666666666606036E-5</v>
      </c>
      <c r="D119">
        <f t="shared" ca="1" si="3"/>
        <v>787.49653061224512</v>
      </c>
    </row>
    <row r="120" spans="1:4" x14ac:dyDescent="0.25">
      <c r="A120" s="2">
        <f ca="1">IFERROR(__xludf.DUMMYFUNCTION("""COMPUTED_VALUE"""),44547.6458333333)</f>
        <v>44547.645833333299</v>
      </c>
      <c r="B120" s="1">
        <f ca="1">IFERROR(__xludf.DUMMYFUNCTION("""COMPUTED_VALUE"""),736.53)</f>
        <v>736.53</v>
      </c>
      <c r="C120" s="3">
        <f t="shared" ca="1" si="2"/>
        <v>-1.8025464969002043E-2</v>
      </c>
      <c r="D120">
        <f t="shared" ca="1" si="3"/>
        <v>786.52346938775543</v>
      </c>
    </row>
    <row r="121" spans="1:4" x14ac:dyDescent="0.25">
      <c r="A121" s="2">
        <f ca="1">IFERROR(__xludf.DUMMYFUNCTION("""COMPUTED_VALUE"""),44550.6458333333)</f>
        <v>44550.645833333299</v>
      </c>
      <c r="B121" s="1">
        <f ca="1">IFERROR(__xludf.DUMMYFUNCTION("""COMPUTED_VALUE"""),712.83)</f>
        <v>712.83</v>
      </c>
      <c r="C121" s="3">
        <f t="shared" ca="1" si="2"/>
        <v>-3.217791535986305E-2</v>
      </c>
      <c r="D121">
        <f t="shared" ca="1" si="3"/>
        <v>785.07612244897985</v>
      </c>
    </row>
    <row r="122" spans="1:4" x14ac:dyDescent="0.25">
      <c r="A122" s="2">
        <f ca="1">IFERROR(__xludf.DUMMYFUNCTION("""COMPUTED_VALUE"""),44551.6458333333)</f>
        <v>44551.645833333299</v>
      </c>
      <c r="B122" s="1">
        <f ca="1">IFERROR(__xludf.DUMMYFUNCTION("""COMPUTED_VALUE"""),720.9)</f>
        <v>720.9</v>
      </c>
      <c r="C122" s="3">
        <f t="shared" ca="1" si="2"/>
        <v>1.1321072345439916E-2</v>
      </c>
      <c r="D122">
        <f t="shared" ca="1" si="3"/>
        <v>783.19</v>
      </c>
    </row>
    <row r="123" spans="1:4" x14ac:dyDescent="0.25">
      <c r="A123" s="2">
        <f ca="1">IFERROR(__xludf.DUMMYFUNCTION("""COMPUTED_VALUE"""),44552.6458333333)</f>
        <v>44552.645833333299</v>
      </c>
      <c r="B123" s="1">
        <f ca="1">IFERROR(__xludf.DUMMYFUNCTION("""COMPUTED_VALUE"""),722.6)</f>
        <v>722.6</v>
      </c>
      <c r="C123" s="3">
        <f t="shared" ca="1" si="2"/>
        <v>2.3581634068526084E-3</v>
      </c>
      <c r="D123">
        <f t="shared" ca="1" si="3"/>
        <v>781.54857142857168</v>
      </c>
    </row>
    <row r="124" spans="1:4" x14ac:dyDescent="0.25">
      <c r="A124" s="2">
        <f ca="1">IFERROR(__xludf.DUMMYFUNCTION("""COMPUTED_VALUE"""),44553.6458333333)</f>
        <v>44553.645833333299</v>
      </c>
      <c r="B124" s="1">
        <f ca="1">IFERROR(__xludf.DUMMYFUNCTION("""COMPUTED_VALUE"""),722.05)</f>
        <v>722.05</v>
      </c>
      <c r="C124" s="3">
        <f t="shared" ca="1" si="2"/>
        <v>-7.6114032659848902E-4</v>
      </c>
      <c r="D124">
        <f t="shared" ca="1" si="3"/>
        <v>779.62408163265309</v>
      </c>
    </row>
    <row r="125" spans="1:4" x14ac:dyDescent="0.25">
      <c r="A125" s="2">
        <f ca="1">IFERROR(__xludf.DUMMYFUNCTION("""COMPUTED_VALUE"""),44554.6458333333)</f>
        <v>44554.645833333299</v>
      </c>
      <c r="B125" s="1">
        <f ca="1">IFERROR(__xludf.DUMMYFUNCTION("""COMPUTED_VALUE"""),719.45)</f>
        <v>719.45</v>
      </c>
      <c r="C125" s="3">
        <f t="shared" ca="1" si="2"/>
        <v>-3.600858666297222E-3</v>
      </c>
      <c r="D125">
        <f t="shared" ca="1" si="3"/>
        <v>777.73122448979609</v>
      </c>
    </row>
    <row r="126" spans="1:4" x14ac:dyDescent="0.25">
      <c r="A126" s="2">
        <f ca="1">IFERROR(__xludf.DUMMYFUNCTION("""COMPUTED_VALUE"""),44557.6458333333)</f>
        <v>44557.645833333299</v>
      </c>
      <c r="B126" s="1">
        <f ca="1">IFERROR(__xludf.DUMMYFUNCTION("""COMPUTED_VALUE"""),725.4)</f>
        <v>725.4</v>
      </c>
      <c r="C126" s="3">
        <f t="shared" ca="1" si="2"/>
        <v>8.2702064076724327E-3</v>
      </c>
      <c r="D126">
        <f t="shared" ca="1" si="3"/>
        <v>775.68530612244899</v>
      </c>
    </row>
    <row r="127" spans="1:4" x14ac:dyDescent="0.25">
      <c r="A127" s="2">
        <f ca="1">IFERROR(__xludf.DUMMYFUNCTION("""COMPUTED_VALUE"""),44558.6458333333)</f>
        <v>44558.645833333299</v>
      </c>
      <c r="B127" s="1">
        <f ca="1">IFERROR(__xludf.DUMMYFUNCTION("""COMPUTED_VALUE"""),730.4)</f>
        <v>730.4</v>
      </c>
      <c r="C127" s="3">
        <f t="shared" ca="1" si="2"/>
        <v>6.8927488282326992E-3</v>
      </c>
      <c r="D127">
        <f t="shared" ca="1" si="3"/>
        <v>773.27102040816328</v>
      </c>
    </row>
    <row r="128" spans="1:4" x14ac:dyDescent="0.25">
      <c r="A128" s="2">
        <f ca="1">IFERROR(__xludf.DUMMYFUNCTION("""COMPUTED_VALUE"""),44559.6458333333)</f>
        <v>44559.645833333299</v>
      </c>
      <c r="B128" s="1">
        <f ca="1">IFERROR(__xludf.DUMMYFUNCTION("""COMPUTED_VALUE"""),726.93)</f>
        <v>726.93</v>
      </c>
      <c r="C128" s="3">
        <f t="shared" ca="1" si="2"/>
        <v>-4.7508214676889749E-3</v>
      </c>
      <c r="D128">
        <f t="shared" ca="1" si="3"/>
        <v>771.13326530612244</v>
      </c>
    </row>
    <row r="129" spans="1:4" x14ac:dyDescent="0.25">
      <c r="A129" s="2">
        <f ca="1">IFERROR(__xludf.DUMMYFUNCTION("""COMPUTED_VALUE"""),44560.6458333333)</f>
        <v>44560.645833333299</v>
      </c>
      <c r="B129" s="1">
        <f ca="1">IFERROR(__xludf.DUMMYFUNCTION("""COMPUTED_VALUE"""),730.75)</f>
        <v>730.75</v>
      </c>
      <c r="C129" s="3">
        <f t="shared" ca="1" si="2"/>
        <v>5.2549764076321656E-3</v>
      </c>
      <c r="D129">
        <f t="shared" ca="1" si="3"/>
        <v>768.73693877551023</v>
      </c>
    </row>
    <row r="130" spans="1:4" x14ac:dyDescent="0.25">
      <c r="A130" s="2">
        <f ca="1">IFERROR(__xludf.DUMMYFUNCTION("""COMPUTED_VALUE"""),44561.6458333333)</f>
        <v>44561.645833333299</v>
      </c>
      <c r="B130" s="1">
        <f ca="1">IFERROR(__xludf.DUMMYFUNCTION("""COMPUTED_VALUE"""),739.7)</f>
        <v>739.7</v>
      </c>
      <c r="C130" s="3">
        <f t="shared" ca="1" si="2"/>
        <v>1.2247690728703449E-2</v>
      </c>
      <c r="D130">
        <f t="shared" ca="1" si="3"/>
        <v>766.57</v>
      </c>
    </row>
    <row r="131" spans="1:4" x14ac:dyDescent="0.25">
      <c r="A131" s="2">
        <f ca="1">IFERROR(__xludf.DUMMYFUNCTION("""COMPUTED_VALUE"""),44564.6458333333)</f>
        <v>44564.645833333299</v>
      </c>
      <c r="B131" s="1">
        <f ca="1">IFERROR(__xludf.DUMMYFUNCTION("""COMPUTED_VALUE"""),759.83)</f>
        <v>759.83</v>
      </c>
      <c r="C131" s="3">
        <f t="shared" ca="1" si="2"/>
        <v>2.7213735298093813E-2</v>
      </c>
      <c r="D131">
        <f t="shared" ca="1" si="3"/>
        <v>764.56081632653058</v>
      </c>
    </row>
    <row r="132" spans="1:4" x14ac:dyDescent="0.25">
      <c r="A132" s="2">
        <f ca="1">IFERROR(__xludf.DUMMYFUNCTION("""COMPUTED_VALUE"""),44565.6458333333)</f>
        <v>44565.645833333299</v>
      </c>
      <c r="B132" s="1">
        <f ca="1">IFERROR(__xludf.DUMMYFUNCTION("""COMPUTED_VALUE"""),764.28)</f>
        <v>764.28</v>
      </c>
      <c r="C132" s="3">
        <f t="shared" ref="C132:C195" ca="1" si="4">(B132-B131)/B131</f>
        <v>5.8565731808429928E-3</v>
      </c>
      <c r="D132">
        <f t="shared" ca="1" si="3"/>
        <v>762.91693877551018</v>
      </c>
    </row>
    <row r="133" spans="1:4" x14ac:dyDescent="0.25">
      <c r="A133" s="2">
        <f ca="1">IFERROR(__xludf.DUMMYFUNCTION("""COMPUTED_VALUE"""),44566.6458333333)</f>
        <v>44566.645833333299</v>
      </c>
      <c r="B133" s="1">
        <f ca="1">IFERROR(__xludf.DUMMYFUNCTION("""COMPUTED_VALUE"""),782.43)</f>
        <v>782.43</v>
      </c>
      <c r="C133" s="3">
        <f t="shared" ca="1" si="4"/>
        <v>2.374784110535403E-2</v>
      </c>
      <c r="D133">
        <f t="shared" ca="1" si="3"/>
        <v>761.60632653061236</v>
      </c>
    </row>
    <row r="134" spans="1:4" x14ac:dyDescent="0.25">
      <c r="A134" s="2">
        <f ca="1">IFERROR(__xludf.DUMMYFUNCTION("""COMPUTED_VALUE"""),44567.6458333333)</f>
        <v>44567.645833333299</v>
      </c>
      <c r="B134" s="1">
        <f ca="1">IFERROR(__xludf.DUMMYFUNCTION("""COMPUTED_VALUE"""),769.88)</f>
        <v>769.88</v>
      </c>
      <c r="C134" s="3">
        <f t="shared" ca="1" si="4"/>
        <v>-1.6039773526066173E-2</v>
      </c>
      <c r="D134">
        <f t="shared" ca="1" si="3"/>
        <v>760.70938775510206</v>
      </c>
    </row>
    <row r="135" spans="1:4" x14ac:dyDescent="0.25">
      <c r="A135" s="2">
        <f ca="1">IFERROR(__xludf.DUMMYFUNCTION("""COMPUTED_VALUE"""),44568.6458333333)</f>
        <v>44568.645833333299</v>
      </c>
      <c r="B135" s="1">
        <f ca="1">IFERROR(__xludf.DUMMYFUNCTION("""COMPUTED_VALUE"""),775.28)</f>
        <v>775.28</v>
      </c>
      <c r="C135" s="3">
        <f t="shared" ca="1" si="4"/>
        <v>7.0140801163817443E-3</v>
      </c>
      <c r="D135">
        <f t="shared" ca="1" si="3"/>
        <v>759.6579591836736</v>
      </c>
    </row>
    <row r="136" spans="1:4" x14ac:dyDescent="0.25">
      <c r="A136" s="2">
        <f ca="1">IFERROR(__xludf.DUMMYFUNCTION("""COMPUTED_VALUE"""),44571.6458333333)</f>
        <v>44571.645833333299</v>
      </c>
      <c r="B136" s="1">
        <f ca="1">IFERROR(__xludf.DUMMYFUNCTION("""COMPUTED_VALUE"""),779.58)</f>
        <v>779.58</v>
      </c>
      <c r="C136" s="3">
        <f t="shared" ca="1" si="4"/>
        <v>5.5463832421835573E-3</v>
      </c>
      <c r="D136">
        <f t="shared" ca="1" si="3"/>
        <v>759.21877551020407</v>
      </c>
    </row>
    <row r="137" spans="1:4" x14ac:dyDescent="0.25">
      <c r="A137" s="2">
        <f ca="1">IFERROR(__xludf.DUMMYFUNCTION("""COMPUTED_VALUE"""),44572.6458333333)</f>
        <v>44572.645833333299</v>
      </c>
      <c r="B137" s="1">
        <f ca="1">IFERROR(__xludf.DUMMYFUNCTION("""COMPUTED_VALUE"""),782.95)</f>
        <v>782.95</v>
      </c>
      <c r="C137" s="3">
        <f t="shared" ca="1" si="4"/>
        <v>4.3228405038610593E-3</v>
      </c>
      <c r="D137">
        <f t="shared" ca="1" si="3"/>
        <v>758.97693877551023</v>
      </c>
    </row>
    <row r="138" spans="1:4" x14ac:dyDescent="0.25">
      <c r="A138" s="2">
        <f ca="1">IFERROR(__xludf.DUMMYFUNCTION("""COMPUTED_VALUE"""),44573.6458333333)</f>
        <v>44573.645833333299</v>
      </c>
      <c r="B138" s="1">
        <f ca="1">IFERROR(__xludf.DUMMYFUNCTION("""COMPUTED_VALUE"""),778.33)</f>
        <v>778.33</v>
      </c>
      <c r="C138" s="3">
        <f t="shared" ca="1" si="4"/>
        <v>-5.9007599463567336E-3</v>
      </c>
      <c r="D138">
        <f t="shared" ca="1" si="3"/>
        <v>758.57489795918377</v>
      </c>
    </row>
    <row r="139" spans="1:4" x14ac:dyDescent="0.25">
      <c r="A139" s="2">
        <f ca="1">IFERROR(__xludf.DUMMYFUNCTION("""COMPUTED_VALUE"""),44574.6458333333)</f>
        <v>44574.645833333299</v>
      </c>
      <c r="B139" s="1">
        <f ca="1">IFERROR(__xludf.DUMMYFUNCTION("""COMPUTED_VALUE"""),764)</f>
        <v>764</v>
      </c>
      <c r="C139" s="3">
        <f t="shared" ca="1" si="4"/>
        <v>-1.8411213752521475E-2</v>
      </c>
      <c r="D139">
        <f t="shared" ca="1" si="3"/>
        <v>758.06367346938782</v>
      </c>
    </row>
    <row r="140" spans="1:4" x14ac:dyDescent="0.25">
      <c r="A140" s="2">
        <f ca="1">IFERROR(__xludf.DUMMYFUNCTION("""COMPUTED_VALUE"""),44575.6458333333)</f>
        <v>44575.645833333299</v>
      </c>
      <c r="B140" s="1">
        <f ca="1">IFERROR(__xludf.DUMMYFUNCTION("""COMPUTED_VALUE"""),772.58)</f>
        <v>772.58</v>
      </c>
      <c r="C140" s="3">
        <f t="shared" ca="1" si="4"/>
        <v>1.123036649214665E-2</v>
      </c>
      <c r="D140">
        <f t="shared" ca="1" si="3"/>
        <v>757.51816326530627</v>
      </c>
    </row>
    <row r="141" spans="1:4" x14ac:dyDescent="0.25">
      <c r="A141" s="2">
        <f ca="1">IFERROR(__xludf.DUMMYFUNCTION("""COMPUTED_VALUE"""),44578.6458333333)</f>
        <v>44578.645833333299</v>
      </c>
      <c r="B141" s="1">
        <f ca="1">IFERROR(__xludf.DUMMYFUNCTION("""COMPUTED_VALUE"""),760.75)</f>
        <v>760.75</v>
      </c>
      <c r="C141" s="3">
        <f t="shared" ca="1" si="4"/>
        <v>-1.5312330114680733E-2</v>
      </c>
      <c r="D141">
        <f t="shared" ca="1" si="3"/>
        <v>757.02020408163287</v>
      </c>
    </row>
    <row r="142" spans="1:4" x14ac:dyDescent="0.25">
      <c r="A142" s="2">
        <f ca="1">IFERROR(__xludf.DUMMYFUNCTION("""COMPUTED_VALUE"""),44579.6458333333)</f>
        <v>44579.645833333299</v>
      </c>
      <c r="B142" s="1">
        <f ca="1">IFERROR(__xludf.DUMMYFUNCTION("""COMPUTED_VALUE"""),764.63)</f>
        <v>764.63</v>
      </c>
      <c r="C142" s="3">
        <f t="shared" ca="1" si="4"/>
        <v>5.100230036148532E-3</v>
      </c>
      <c r="D142">
        <f t="shared" ca="1" si="3"/>
        <v>756.21653061224492</v>
      </c>
    </row>
    <row r="143" spans="1:4" x14ac:dyDescent="0.25">
      <c r="A143" s="2">
        <f ca="1">IFERROR(__xludf.DUMMYFUNCTION("""COMPUTED_VALUE"""),44580.6458333333)</f>
        <v>44580.645833333299</v>
      </c>
      <c r="B143" s="1">
        <f ca="1">IFERROR(__xludf.DUMMYFUNCTION("""COMPUTED_VALUE"""),759.23)</f>
        <v>759.23</v>
      </c>
      <c r="C143" s="3">
        <f t="shared" ca="1" si="4"/>
        <v>-7.0622392529719963E-3</v>
      </c>
      <c r="D143">
        <f t="shared" ca="1" si="3"/>
        <v>755.77775510204094</v>
      </c>
    </row>
    <row r="144" spans="1:4" x14ac:dyDescent="0.25">
      <c r="A144" s="2">
        <f ca="1">IFERROR(__xludf.DUMMYFUNCTION("""COMPUTED_VALUE"""),44581.6458333333)</f>
        <v>44581.645833333299</v>
      </c>
      <c r="B144" s="1">
        <f ca="1">IFERROR(__xludf.DUMMYFUNCTION("""COMPUTED_VALUE"""),754.5)</f>
        <v>754.5</v>
      </c>
      <c r="C144" s="3">
        <f t="shared" ca="1" si="4"/>
        <v>-6.229996180340632E-3</v>
      </c>
      <c r="D144">
        <f t="shared" ca="1" si="3"/>
        <v>755.40224489795946</v>
      </c>
    </row>
    <row r="145" spans="1:4" x14ac:dyDescent="0.25">
      <c r="A145" s="2">
        <f ca="1">IFERROR(__xludf.DUMMYFUNCTION("""COMPUTED_VALUE"""),44582.6458333333)</f>
        <v>44582.645833333299</v>
      </c>
      <c r="B145" s="1">
        <f ca="1">IFERROR(__xludf.DUMMYFUNCTION("""COMPUTED_VALUE"""),760.8)</f>
        <v>760.8</v>
      </c>
      <c r="C145" s="3">
        <f t="shared" ca="1" si="4"/>
        <v>8.3499005964214109E-3</v>
      </c>
      <c r="D145">
        <f t="shared" ca="1" si="3"/>
        <v>755.00122448979619</v>
      </c>
    </row>
    <row r="146" spans="1:4" x14ac:dyDescent="0.25">
      <c r="A146" s="2">
        <f ca="1">IFERROR(__xludf.DUMMYFUNCTION("""COMPUTED_VALUE"""),44585.6458333333)</f>
        <v>44585.645833333299</v>
      </c>
      <c r="B146" s="1">
        <f ca="1">IFERROR(__xludf.DUMMYFUNCTION("""COMPUTED_VALUE"""),743.33)</f>
        <v>743.33</v>
      </c>
      <c r="C146" s="3">
        <f t="shared" ca="1" si="4"/>
        <v>-2.2962670872765399E-2</v>
      </c>
      <c r="D146">
        <f t="shared" ca="1" si="3"/>
        <v>754.68081632653093</v>
      </c>
    </row>
    <row r="147" spans="1:4" x14ac:dyDescent="0.25">
      <c r="A147" s="2">
        <f ca="1">IFERROR(__xludf.DUMMYFUNCTION("""COMPUTED_VALUE"""),44586.6458333333)</f>
        <v>44586.645833333299</v>
      </c>
      <c r="B147" s="1">
        <f ca="1">IFERROR(__xludf.DUMMYFUNCTION("""COMPUTED_VALUE"""),744.03)</f>
        <v>744.03</v>
      </c>
      <c r="C147" s="3">
        <f t="shared" ca="1" si="4"/>
        <v>9.417082587813377E-4</v>
      </c>
      <c r="D147">
        <f t="shared" ca="1" si="3"/>
        <v>753.96040816326558</v>
      </c>
    </row>
    <row r="148" spans="1:4" x14ac:dyDescent="0.25">
      <c r="A148" s="2">
        <f ca="1">IFERROR(__xludf.DUMMYFUNCTION("""COMPUTED_VALUE"""),44588.6458333333)</f>
        <v>44588.645833333299</v>
      </c>
      <c r="B148" s="1">
        <f ca="1">IFERROR(__xludf.DUMMYFUNCTION("""COMPUTED_VALUE"""),737.48)</f>
        <v>737.48</v>
      </c>
      <c r="C148" s="3">
        <f t="shared" ca="1" si="4"/>
        <v>-8.8034084647123836E-3</v>
      </c>
      <c r="D148">
        <f t="shared" ca="1" si="3"/>
        <v>753.3487755102044</v>
      </c>
    </row>
    <row r="149" spans="1:4" x14ac:dyDescent="0.25">
      <c r="A149" s="2">
        <f ca="1">IFERROR(__xludf.DUMMYFUNCTION("""COMPUTED_VALUE"""),44589.6458333333)</f>
        <v>44589.645833333299</v>
      </c>
      <c r="B149" s="1">
        <f ca="1">IFERROR(__xludf.DUMMYFUNCTION("""COMPUTED_VALUE"""),731.63)</f>
        <v>731.63</v>
      </c>
      <c r="C149" s="3">
        <f t="shared" ca="1" si="4"/>
        <v>-7.9324185062646067E-3</v>
      </c>
      <c r="D149">
        <f t="shared" ca="1" si="3"/>
        <v>752.77897959183713</v>
      </c>
    </row>
    <row r="150" spans="1:4" x14ac:dyDescent="0.25">
      <c r="A150" s="2">
        <f ca="1">IFERROR(__xludf.DUMMYFUNCTION("""COMPUTED_VALUE"""),44592.6458333333)</f>
        <v>44592.645833333299</v>
      </c>
      <c r="B150" s="1">
        <f ca="1">IFERROR(__xludf.DUMMYFUNCTION("""COMPUTED_VALUE"""),742.85)</f>
        <v>742.85</v>
      </c>
      <c r="C150" s="3">
        <f t="shared" ca="1" si="4"/>
        <v>1.5335620463895722E-2</v>
      </c>
      <c r="D150">
        <f t="shared" ca="1" si="3"/>
        <v>752.00204081632683</v>
      </c>
    </row>
    <row r="151" spans="1:4" x14ac:dyDescent="0.25">
      <c r="A151" s="2">
        <f ca="1">IFERROR(__xludf.DUMMYFUNCTION("""COMPUTED_VALUE"""),44593.6458333333)</f>
        <v>44593.645833333299</v>
      </c>
      <c r="B151" s="1">
        <f ca="1">IFERROR(__xludf.DUMMYFUNCTION("""COMPUTED_VALUE"""),748.5)</f>
        <v>748.5</v>
      </c>
      <c r="C151" s="3">
        <f t="shared" ca="1" si="4"/>
        <v>7.6058423638688524E-3</v>
      </c>
      <c r="D151">
        <f t="shared" ca="1" si="3"/>
        <v>751.69938775510229</v>
      </c>
    </row>
    <row r="152" spans="1:4" x14ac:dyDescent="0.25">
      <c r="A152" s="2">
        <f ca="1">IFERROR(__xludf.DUMMYFUNCTION("""COMPUTED_VALUE"""),44594.6458333333)</f>
        <v>44594.645833333299</v>
      </c>
      <c r="B152" s="1">
        <f ca="1">IFERROR(__xludf.DUMMYFUNCTION("""COMPUTED_VALUE"""),765.6)</f>
        <v>765.6</v>
      </c>
      <c r="C152" s="3">
        <f t="shared" ca="1" si="4"/>
        <v>2.284569138276556E-2</v>
      </c>
      <c r="D152">
        <f t="shared" ca="1" si="3"/>
        <v>751.51000000000022</v>
      </c>
    </row>
    <row r="153" spans="1:4" x14ac:dyDescent="0.25">
      <c r="A153" s="2">
        <f ca="1">IFERROR(__xludf.DUMMYFUNCTION("""COMPUTED_VALUE"""),44595.6458333333)</f>
        <v>44595.645833333299</v>
      </c>
      <c r="B153" s="1">
        <f ca="1">IFERROR(__xludf.DUMMYFUNCTION("""COMPUTED_VALUE"""),757.68)</f>
        <v>757.68</v>
      </c>
      <c r="C153" s="3">
        <f t="shared" ca="1" si="4"/>
        <v>-1.0344827586206992E-2</v>
      </c>
      <c r="D153">
        <f t="shared" ca="1" si="3"/>
        <v>751.6440816326533</v>
      </c>
    </row>
    <row r="154" spans="1:4" x14ac:dyDescent="0.25">
      <c r="A154" s="2">
        <f ca="1">IFERROR(__xludf.DUMMYFUNCTION("""COMPUTED_VALUE"""),44596.6458333333)</f>
        <v>44596.645833333299</v>
      </c>
      <c r="B154" s="1">
        <f ca="1">IFERROR(__xludf.DUMMYFUNCTION("""COMPUTED_VALUE"""),762)</f>
        <v>762</v>
      </c>
      <c r="C154" s="3">
        <f t="shared" ca="1" si="4"/>
        <v>5.7016154577130855E-3</v>
      </c>
      <c r="D154">
        <f t="shared" ca="1" si="3"/>
        <v>751.53591836734699</v>
      </c>
    </row>
    <row r="155" spans="1:4" x14ac:dyDescent="0.25">
      <c r="A155" s="2">
        <f ca="1">IFERROR(__xludf.DUMMYFUNCTION("""COMPUTED_VALUE"""),44599.6458333333)</f>
        <v>44599.645833333299</v>
      </c>
      <c r="B155" s="1">
        <f ca="1">IFERROR(__xludf.DUMMYFUNCTION("""COMPUTED_VALUE"""),734.08)</f>
        <v>734.08</v>
      </c>
      <c r="C155" s="3">
        <f t="shared" ca="1" si="4"/>
        <v>-3.6640419947506511E-2</v>
      </c>
      <c r="D155">
        <f t="shared" ca="1" si="3"/>
        <v>751.88387755102053</v>
      </c>
    </row>
    <row r="156" spans="1:4" x14ac:dyDescent="0.25">
      <c r="A156" s="2">
        <f ca="1">IFERROR(__xludf.DUMMYFUNCTION("""COMPUTED_VALUE"""),44600.6458333333)</f>
        <v>44600.645833333299</v>
      </c>
      <c r="B156" s="1">
        <f ca="1">IFERROR(__xludf.DUMMYFUNCTION("""COMPUTED_VALUE"""),730.93)</f>
        <v>730.93</v>
      </c>
      <c r="C156" s="3">
        <f t="shared" ca="1" si="4"/>
        <v>-4.2910854402791127E-3</v>
      </c>
      <c r="D156">
        <f t="shared" ca="1" si="3"/>
        <v>751.54612244897976</v>
      </c>
    </row>
    <row r="157" spans="1:4" x14ac:dyDescent="0.25">
      <c r="A157" s="2">
        <f ca="1">IFERROR(__xludf.DUMMYFUNCTION("""COMPUTED_VALUE"""),44601.6458333333)</f>
        <v>44601.645833333299</v>
      </c>
      <c r="B157" s="1">
        <f ca="1">IFERROR(__xludf.DUMMYFUNCTION("""COMPUTED_VALUE"""),748.8)</f>
        <v>748.8</v>
      </c>
      <c r="C157" s="3">
        <f t="shared" ca="1" si="4"/>
        <v>2.4448305583297997E-2</v>
      </c>
      <c r="D157">
        <f t="shared" ca="1" si="3"/>
        <v>751.22265306122472</v>
      </c>
    </row>
    <row r="158" spans="1:4" x14ac:dyDescent="0.25">
      <c r="A158" s="2">
        <f ca="1">IFERROR(__xludf.DUMMYFUNCTION("""COMPUTED_VALUE"""),44602.6458333333)</f>
        <v>44602.645833333299</v>
      </c>
      <c r="B158" s="1">
        <f ca="1">IFERROR(__xludf.DUMMYFUNCTION("""COMPUTED_VALUE"""),762.55)</f>
        <v>762.55</v>
      </c>
      <c r="C158" s="3">
        <f t="shared" ca="1" si="4"/>
        <v>1.8362713675213676E-2</v>
      </c>
      <c r="D158">
        <f t="shared" ca="1" si="3"/>
        <v>751.15061224489818</v>
      </c>
    </row>
    <row r="159" spans="1:4" x14ac:dyDescent="0.25">
      <c r="A159" s="2">
        <f ca="1">IFERROR(__xludf.DUMMYFUNCTION("""COMPUTED_VALUE"""),44603.6458333333)</f>
        <v>44603.645833333299</v>
      </c>
      <c r="B159" s="1">
        <f ca="1">IFERROR(__xludf.DUMMYFUNCTION("""COMPUTED_VALUE"""),759.43)</f>
        <v>759.43</v>
      </c>
      <c r="C159" s="3">
        <f t="shared" ca="1" si="4"/>
        <v>-4.0915349813127073E-3</v>
      </c>
      <c r="D159">
        <f t="shared" ca="1" si="3"/>
        <v>751.14387755102064</v>
      </c>
    </row>
    <row r="160" spans="1:4" x14ac:dyDescent="0.25">
      <c r="A160" s="2">
        <f ca="1">IFERROR(__xludf.DUMMYFUNCTION("""COMPUTED_VALUE"""),44606.6458333333)</f>
        <v>44606.645833333299</v>
      </c>
      <c r="B160" s="1">
        <f ca="1">IFERROR(__xludf.DUMMYFUNCTION("""COMPUTED_VALUE"""),736.85)</f>
        <v>736.85</v>
      </c>
      <c r="C160" s="3">
        <f t="shared" ca="1" si="4"/>
        <v>-2.9732825935240809E-2</v>
      </c>
      <c r="D160">
        <f t="shared" ca="1" si="3"/>
        <v>751.19795918367367</v>
      </c>
    </row>
    <row r="161" spans="1:4" x14ac:dyDescent="0.25">
      <c r="A161" s="2">
        <f ca="1">IFERROR(__xludf.DUMMYFUNCTION("""COMPUTED_VALUE"""),44607.6458333333)</f>
        <v>44607.645833333299</v>
      </c>
      <c r="B161" s="1">
        <f ca="1">IFERROR(__xludf.DUMMYFUNCTION("""COMPUTED_VALUE"""),758.9)</f>
        <v>758.9</v>
      </c>
      <c r="C161" s="3">
        <f t="shared" ca="1" si="4"/>
        <v>2.9924679378435168E-2</v>
      </c>
      <c r="D161">
        <f t="shared" ca="1" si="3"/>
        <v>750.89081632653074</v>
      </c>
    </row>
    <row r="162" spans="1:4" x14ac:dyDescent="0.25">
      <c r="A162" s="2">
        <f ca="1">IFERROR(__xludf.DUMMYFUNCTION("""COMPUTED_VALUE"""),44608.6458333333)</f>
        <v>44608.645833333299</v>
      </c>
      <c r="B162" s="1">
        <f ca="1">IFERROR(__xludf.DUMMYFUNCTION("""COMPUTED_VALUE"""),757.88)</f>
        <v>757.88</v>
      </c>
      <c r="C162" s="3">
        <f t="shared" ca="1" si="4"/>
        <v>-1.3440505995519591E-3</v>
      </c>
      <c r="D162">
        <f t="shared" ca="1" si="3"/>
        <v>750.81020408163295</v>
      </c>
    </row>
    <row r="163" spans="1:4" x14ac:dyDescent="0.25">
      <c r="A163" s="2">
        <f ca="1">IFERROR(__xludf.DUMMYFUNCTION("""COMPUTED_VALUE"""),44609.6458333333)</f>
        <v>44609.645833333299</v>
      </c>
      <c r="B163" s="1">
        <f ca="1">IFERROR(__xludf.DUMMYFUNCTION("""COMPUTED_VALUE"""),753.25)</f>
        <v>753.25</v>
      </c>
      <c r="C163" s="3">
        <f t="shared" ca="1" si="4"/>
        <v>-6.1091465667387915E-3</v>
      </c>
      <c r="D163">
        <f t="shared" ca="1" si="3"/>
        <v>750.42204081632667</v>
      </c>
    </row>
    <row r="164" spans="1:4" x14ac:dyDescent="0.25">
      <c r="A164" s="2">
        <f ca="1">IFERROR(__xludf.DUMMYFUNCTION("""COMPUTED_VALUE"""),44610.6458333333)</f>
        <v>44610.645833333299</v>
      </c>
      <c r="B164" s="1">
        <f ca="1">IFERROR(__xludf.DUMMYFUNCTION("""COMPUTED_VALUE"""),756.18)</f>
        <v>756.18</v>
      </c>
      <c r="C164" s="3">
        <f t="shared" ca="1" si="4"/>
        <v>3.889810819780883E-3</v>
      </c>
      <c r="D164">
        <f t="shared" ca="1" si="3"/>
        <v>750.21428571428589</v>
      </c>
    </row>
    <row r="165" spans="1:4" x14ac:dyDescent="0.25">
      <c r="A165" s="2">
        <f ca="1">IFERROR(__xludf.DUMMYFUNCTION("""COMPUTED_VALUE"""),44613.6458333333)</f>
        <v>44613.645833333299</v>
      </c>
      <c r="B165" s="1">
        <f ca="1">IFERROR(__xludf.DUMMYFUNCTION("""COMPUTED_VALUE"""),761.05)</f>
        <v>761.05</v>
      </c>
      <c r="C165" s="3">
        <f t="shared" ca="1" si="4"/>
        <v>6.4402655452405573E-3</v>
      </c>
      <c r="D165">
        <f t="shared" ca="1" si="3"/>
        <v>750.11020408163267</v>
      </c>
    </row>
    <row r="166" spans="1:4" x14ac:dyDescent="0.25">
      <c r="A166" s="2">
        <f ca="1">IFERROR(__xludf.DUMMYFUNCTION("""COMPUTED_VALUE"""),44614.6458333333)</f>
        <v>44614.645833333299</v>
      </c>
      <c r="B166" s="1">
        <f ca="1">IFERROR(__xludf.DUMMYFUNCTION("""COMPUTED_VALUE"""),755.35)</f>
        <v>755.35</v>
      </c>
      <c r="C166" s="3">
        <f t="shared" ca="1" si="4"/>
        <v>-7.48965245384657E-3</v>
      </c>
      <c r="D166">
        <f t="shared" ca="1" si="3"/>
        <v>750.22183673469397</v>
      </c>
    </row>
    <row r="167" spans="1:4" x14ac:dyDescent="0.25">
      <c r="A167" s="2">
        <f ca="1">IFERROR(__xludf.DUMMYFUNCTION("""COMPUTED_VALUE"""),44615.6458333333)</f>
        <v>44615.645833333299</v>
      </c>
      <c r="B167" s="1">
        <f ca="1">IFERROR(__xludf.DUMMYFUNCTION("""COMPUTED_VALUE"""),750.45)</f>
        <v>750.45</v>
      </c>
      <c r="C167" s="3">
        <f t="shared" ca="1" si="4"/>
        <v>-6.4870589792810976E-3</v>
      </c>
      <c r="D167">
        <f t="shared" ca="1" si="3"/>
        <v>750.30591836734686</v>
      </c>
    </row>
    <row r="168" spans="1:4" x14ac:dyDescent="0.25">
      <c r="A168" s="2">
        <f ca="1">IFERROR(__xludf.DUMMYFUNCTION("""COMPUTED_VALUE"""),44616.6458333333)</f>
        <v>44616.645833333299</v>
      </c>
      <c r="B168" s="1">
        <f ca="1">IFERROR(__xludf.DUMMYFUNCTION("""COMPUTED_VALUE"""),709.7)</f>
        <v>709.7</v>
      </c>
      <c r="C168" s="3">
        <f t="shared" ca="1" si="4"/>
        <v>-5.4300752881604367E-2</v>
      </c>
      <c r="D168">
        <f t="shared" ca="1" si="3"/>
        <v>750.31510204081633</v>
      </c>
    </row>
    <row r="169" spans="1:4" x14ac:dyDescent="0.25">
      <c r="A169" s="2">
        <f ca="1">IFERROR(__xludf.DUMMYFUNCTION("""COMPUTED_VALUE"""),44617.6458333333)</f>
        <v>44617.645833333299</v>
      </c>
      <c r="B169" s="1">
        <f ca="1">IFERROR(__xludf.DUMMYFUNCTION("""COMPUTED_VALUE"""),728.05)</f>
        <v>728.05</v>
      </c>
      <c r="C169" s="3">
        <f t="shared" ca="1" si="4"/>
        <v>2.5855995491052428E-2</v>
      </c>
      <c r="D169">
        <f t="shared" ca="1" si="3"/>
        <v>749.49163265306117</v>
      </c>
    </row>
    <row r="170" spans="1:4" x14ac:dyDescent="0.25">
      <c r="A170" s="2">
        <f ca="1">IFERROR(__xludf.DUMMYFUNCTION("""COMPUTED_VALUE"""),44620.6458333333)</f>
        <v>44620.645833333299</v>
      </c>
      <c r="B170" s="1">
        <f ca="1">IFERROR(__xludf.DUMMYFUNCTION("""COMPUTED_VALUE"""),713.13)</f>
        <v>713.13</v>
      </c>
      <c r="C170" s="3">
        <f t="shared" ca="1" si="4"/>
        <v>-2.0493098001510831E-2</v>
      </c>
      <c r="D170">
        <f t="shared" ca="1" si="3"/>
        <v>749.31857142857132</v>
      </c>
    </row>
    <row r="171" spans="1:4" x14ac:dyDescent="0.25">
      <c r="A171" s="2">
        <f ca="1">IFERROR(__xludf.DUMMYFUNCTION("""COMPUTED_VALUE"""),44622.6458333333)</f>
        <v>44622.645833333299</v>
      </c>
      <c r="B171" s="1">
        <f ca="1">IFERROR(__xludf.DUMMYFUNCTION("""COMPUTED_VALUE"""),687.13)</f>
        <v>687.13</v>
      </c>
      <c r="C171" s="3">
        <f t="shared" ca="1" si="4"/>
        <v>-3.6458990646866633E-2</v>
      </c>
      <c r="D171">
        <f t="shared" ca="1" si="3"/>
        <v>749.324693877551</v>
      </c>
    </row>
    <row r="172" spans="1:4" x14ac:dyDescent="0.25">
      <c r="A172" s="2">
        <f ca="1">IFERROR(__xludf.DUMMYFUNCTION("""COMPUTED_VALUE"""),44623.6458333333)</f>
        <v>44623.645833333299</v>
      </c>
      <c r="B172" s="1">
        <f ca="1">IFERROR(__xludf.DUMMYFUNCTION("""COMPUTED_VALUE"""),685.5)</f>
        <v>685.5</v>
      </c>
      <c r="C172" s="3">
        <f t="shared" ca="1" si="4"/>
        <v>-2.3721857581534725E-3</v>
      </c>
      <c r="D172">
        <f t="shared" ca="1" si="3"/>
        <v>748.63551020408147</v>
      </c>
    </row>
    <row r="173" spans="1:4" x14ac:dyDescent="0.25">
      <c r="A173" s="2">
        <f ca="1">IFERROR(__xludf.DUMMYFUNCTION("""COMPUTED_VALUE"""),44624.6458333333)</f>
        <v>44624.645833333299</v>
      </c>
      <c r="B173" s="1">
        <f ca="1">IFERROR(__xludf.DUMMYFUNCTION("""COMPUTED_VALUE"""),683.25)</f>
        <v>683.25</v>
      </c>
      <c r="C173" s="3">
        <f t="shared" ca="1" si="4"/>
        <v>-3.2822757111597373E-3</v>
      </c>
      <c r="D173">
        <f t="shared" ca="1" si="3"/>
        <v>747.8783673469386</v>
      </c>
    </row>
    <row r="174" spans="1:4" x14ac:dyDescent="0.25">
      <c r="A174" s="2">
        <f ca="1">IFERROR(__xludf.DUMMYFUNCTION("""COMPUTED_VALUE"""),44627.6458333333)</f>
        <v>44627.645833333299</v>
      </c>
      <c r="B174" s="1">
        <f ca="1">IFERROR(__xludf.DUMMYFUNCTION("""COMPUTED_VALUE"""),662.4)</f>
        <v>662.4</v>
      </c>
      <c r="C174" s="3">
        <f t="shared" ca="1" si="4"/>
        <v>-3.0515916575192131E-2</v>
      </c>
      <c r="D174">
        <f t="shared" ca="1" si="3"/>
        <v>747.0865306122447</v>
      </c>
    </row>
    <row r="175" spans="1:4" x14ac:dyDescent="0.25">
      <c r="A175" s="2">
        <f ca="1">IFERROR(__xludf.DUMMYFUNCTION("""COMPUTED_VALUE"""),44628.6458333333)</f>
        <v>44628.645833333299</v>
      </c>
      <c r="B175" s="1">
        <f ca="1">IFERROR(__xludf.DUMMYFUNCTION("""COMPUTED_VALUE"""),663.9)</f>
        <v>663.9</v>
      </c>
      <c r="C175" s="3">
        <f t="shared" ca="1" si="4"/>
        <v>2.2644927536231885E-3</v>
      </c>
      <c r="D175">
        <f t="shared" ca="1" si="3"/>
        <v>745.9222448979591</v>
      </c>
    </row>
    <row r="176" spans="1:4" x14ac:dyDescent="0.25">
      <c r="A176" s="2">
        <f ca="1">IFERROR(__xludf.DUMMYFUNCTION("""COMPUTED_VALUE"""),44629.6458333333)</f>
        <v>44629.645833333299</v>
      </c>
      <c r="B176" s="1">
        <f ca="1">IFERROR(__xludf.DUMMYFUNCTION("""COMPUTED_VALUE"""),685.58)</f>
        <v>685.58</v>
      </c>
      <c r="C176" s="3">
        <f t="shared" ca="1" si="4"/>
        <v>3.265552040970035E-2</v>
      </c>
      <c r="D176">
        <f t="shared" ca="1" si="3"/>
        <v>744.66714285714272</v>
      </c>
    </row>
    <row r="177" spans="1:4" x14ac:dyDescent="0.25">
      <c r="A177" s="2">
        <f ca="1">IFERROR(__xludf.DUMMYFUNCTION("""COMPUTED_VALUE"""),44630.6458333333)</f>
        <v>44630.645833333299</v>
      </c>
      <c r="B177" s="1">
        <f ca="1">IFERROR(__xludf.DUMMYFUNCTION("""COMPUTED_VALUE"""),696.35)</f>
        <v>696.35</v>
      </c>
      <c r="C177" s="3">
        <f t="shared" ca="1" si="4"/>
        <v>1.5709326409755215E-2</v>
      </c>
      <c r="D177">
        <f t="shared" ca="1" si="3"/>
        <v>743.75244897959192</v>
      </c>
    </row>
    <row r="178" spans="1:4" x14ac:dyDescent="0.25">
      <c r="A178" s="2">
        <f ca="1">IFERROR(__xludf.DUMMYFUNCTION("""COMPUTED_VALUE"""),44631.6458333333)</f>
        <v>44631.645833333299</v>
      </c>
      <c r="B178" s="1">
        <f ca="1">IFERROR(__xludf.DUMMYFUNCTION("""COMPUTED_VALUE"""),698.4)</f>
        <v>698.4</v>
      </c>
      <c r="C178" s="3">
        <f t="shared" ca="1" si="4"/>
        <v>2.9439218783656991E-3</v>
      </c>
      <c r="D178">
        <f t="shared" ca="1" si="3"/>
        <v>743.12836734693883</v>
      </c>
    </row>
    <row r="179" spans="1:4" x14ac:dyDescent="0.25">
      <c r="A179" s="2">
        <f ca="1">IFERROR(__xludf.DUMMYFUNCTION("""COMPUTED_VALUE"""),44634.6458333333)</f>
        <v>44634.645833333299</v>
      </c>
      <c r="B179" s="1">
        <f ca="1">IFERROR(__xludf.DUMMYFUNCTION("""COMPUTED_VALUE"""),721.28)</f>
        <v>721.28</v>
      </c>
      <c r="C179" s="3">
        <f t="shared" ca="1" si="4"/>
        <v>3.276059564719358E-2</v>
      </c>
      <c r="D179">
        <f t="shared" ca="1" si="3"/>
        <v>742.4681632653062</v>
      </c>
    </row>
    <row r="180" spans="1:4" x14ac:dyDescent="0.25">
      <c r="A180" s="2">
        <f ca="1">IFERROR(__xludf.DUMMYFUNCTION("""COMPUTED_VALUE"""),44635.6458333333)</f>
        <v>44635.645833333299</v>
      </c>
      <c r="B180" s="1">
        <f ca="1">IFERROR(__xludf.DUMMYFUNCTION("""COMPUTED_VALUE"""),712)</f>
        <v>712</v>
      </c>
      <c r="C180" s="3">
        <f t="shared" ca="1" si="4"/>
        <v>-1.2866015971605997E-2</v>
      </c>
      <c r="D180">
        <f t="shared" ref="D180:D243" ca="1" si="5">AVERAGE(B131:B179)</f>
        <v>742.09224489795929</v>
      </c>
    </row>
    <row r="181" spans="1:4" x14ac:dyDescent="0.25">
      <c r="A181" s="2">
        <f ca="1">IFERROR(__xludf.DUMMYFUNCTION("""COMPUTED_VALUE"""),44636.6458333333)</f>
        <v>44636.645833333299</v>
      </c>
      <c r="B181" s="1">
        <f ca="1">IFERROR(__xludf.DUMMYFUNCTION("""COMPUTED_VALUE"""),724.08)</f>
        <v>724.08</v>
      </c>
      <c r="C181" s="3">
        <f t="shared" ca="1" si="4"/>
        <v>1.6966292134831518E-2</v>
      </c>
      <c r="D181">
        <f t="shared" ca="1" si="5"/>
        <v>741.1161224489797</v>
      </c>
    </row>
    <row r="182" spans="1:4" x14ac:dyDescent="0.25">
      <c r="A182" s="2">
        <f ca="1">IFERROR(__xludf.DUMMYFUNCTION("""COMPUTED_VALUE"""),44637.6458333333)</f>
        <v>44637.645833333299</v>
      </c>
      <c r="B182" s="1">
        <f ca="1">IFERROR(__xludf.DUMMYFUNCTION("""COMPUTED_VALUE"""),740.03)</f>
        <v>740.03</v>
      </c>
      <c r="C182" s="3">
        <f t="shared" ca="1" si="4"/>
        <v>2.2027952712407373E-2</v>
      </c>
      <c r="D182">
        <f t="shared" ca="1" si="5"/>
        <v>740.29571428571455</v>
      </c>
    </row>
    <row r="183" spans="1:4" x14ac:dyDescent="0.25">
      <c r="A183" s="2">
        <f ca="1">IFERROR(__xludf.DUMMYFUNCTION("""COMPUTED_VALUE"""),44641.6458333333)</f>
        <v>44641.645833333299</v>
      </c>
      <c r="B183" s="1">
        <f ca="1">IFERROR(__xludf.DUMMYFUNCTION("""COMPUTED_VALUE"""),743.25)</f>
        <v>743.25</v>
      </c>
      <c r="C183" s="3">
        <f t="shared" ca="1" si="4"/>
        <v>4.3511749523668332E-3</v>
      </c>
      <c r="D183">
        <f t="shared" ca="1" si="5"/>
        <v>739.43040816326538</v>
      </c>
    </row>
    <row r="184" spans="1:4" x14ac:dyDescent="0.25">
      <c r="A184" s="2">
        <f ca="1">IFERROR(__xludf.DUMMYFUNCTION("""COMPUTED_VALUE"""),44642.6458333333)</f>
        <v>44642.645833333299</v>
      </c>
      <c r="B184" s="1">
        <f ca="1">IFERROR(__xludf.DUMMYFUNCTION("""COMPUTED_VALUE"""),747.08)</f>
        <v>747.08</v>
      </c>
      <c r="C184" s="3">
        <f t="shared" ca="1" si="4"/>
        <v>5.1530440632358435E-3</v>
      </c>
      <c r="D184">
        <f t="shared" ca="1" si="5"/>
        <v>738.88693877551032</v>
      </c>
    </row>
    <row r="185" spans="1:4" x14ac:dyDescent="0.25">
      <c r="A185" s="2">
        <f ca="1">IFERROR(__xludf.DUMMYFUNCTION("""COMPUTED_VALUE"""),44643.6458333333)</f>
        <v>44643.645833333299</v>
      </c>
      <c r="B185" s="1">
        <f ca="1">IFERROR(__xludf.DUMMYFUNCTION("""COMPUTED_VALUE"""),739.63)</f>
        <v>739.63</v>
      </c>
      <c r="C185" s="3">
        <f t="shared" ca="1" si="4"/>
        <v>-9.9721582695294284E-3</v>
      </c>
      <c r="D185">
        <f t="shared" ca="1" si="5"/>
        <v>738.31142857142879</v>
      </c>
    </row>
    <row r="186" spans="1:4" x14ac:dyDescent="0.25">
      <c r="A186" s="2">
        <f ca="1">IFERROR(__xludf.DUMMYFUNCTION("""COMPUTED_VALUE"""),44644.6458333333)</f>
        <v>44644.645833333299</v>
      </c>
      <c r="B186" s="1">
        <f ca="1">IFERROR(__xludf.DUMMYFUNCTION("""COMPUTED_VALUE"""),721.33)</f>
        <v>721.33</v>
      </c>
      <c r="C186" s="3">
        <f t="shared" ca="1" si="4"/>
        <v>-2.4742100780119729E-2</v>
      </c>
      <c r="D186">
        <f t="shared" ca="1" si="5"/>
        <v>737.49612244897969</v>
      </c>
    </row>
    <row r="187" spans="1:4" x14ac:dyDescent="0.25">
      <c r="A187" s="2">
        <f ca="1">IFERROR(__xludf.DUMMYFUNCTION("""COMPUTED_VALUE"""),44645.6458333333)</f>
        <v>44645.645833333299</v>
      </c>
      <c r="B187" s="1">
        <f ca="1">IFERROR(__xludf.DUMMYFUNCTION("""COMPUTED_VALUE"""),715.45)</f>
        <v>715.45</v>
      </c>
      <c r="C187" s="3">
        <f t="shared" ca="1" si="4"/>
        <v>-8.1516088336822199E-3</v>
      </c>
      <c r="D187">
        <f t="shared" ca="1" si="5"/>
        <v>736.23857142857162</v>
      </c>
    </row>
    <row r="188" spans="1:4" x14ac:dyDescent="0.25">
      <c r="A188" s="2">
        <f ca="1">IFERROR(__xludf.DUMMYFUNCTION("""COMPUTED_VALUE"""),44648.6458333333)</f>
        <v>44648.645833333299</v>
      </c>
      <c r="B188" s="1">
        <f ca="1">IFERROR(__xludf.DUMMYFUNCTION("""COMPUTED_VALUE"""),716.4)</f>
        <v>716.4</v>
      </c>
      <c r="C188" s="3">
        <f t="shared" ca="1" si="4"/>
        <v>1.3278356279263844E-3</v>
      </c>
      <c r="D188">
        <f t="shared" ca="1" si="5"/>
        <v>734.95530612244909</v>
      </c>
    </row>
    <row r="189" spans="1:4" x14ac:dyDescent="0.25">
      <c r="A189" s="2">
        <f ca="1">IFERROR(__xludf.DUMMYFUNCTION("""COMPUTED_VALUE"""),44649.6458333333)</f>
        <v>44649.645833333299</v>
      </c>
      <c r="B189" s="1">
        <f ca="1">IFERROR(__xludf.DUMMYFUNCTION("""COMPUTED_VALUE"""),725.9)</f>
        <v>725.9</v>
      </c>
      <c r="C189" s="3">
        <f t="shared" ca="1" si="4"/>
        <v>1.3260748185371301E-2</v>
      </c>
      <c r="D189">
        <f t="shared" ca="1" si="5"/>
        <v>733.98387755102056</v>
      </c>
    </row>
    <row r="190" spans="1:4" x14ac:dyDescent="0.25">
      <c r="A190" s="2">
        <f ca="1">IFERROR(__xludf.DUMMYFUNCTION("""COMPUTED_VALUE"""),44650.6458333333)</f>
        <v>44650.645833333299</v>
      </c>
      <c r="B190" s="1">
        <f ca="1">IFERROR(__xludf.DUMMYFUNCTION("""COMPUTED_VALUE"""),738.48)</f>
        <v>738.48</v>
      </c>
      <c r="C190" s="3">
        <f t="shared" ca="1" si="4"/>
        <v>1.7330210772833782E-2</v>
      </c>
      <c r="D190">
        <f t="shared" ca="1" si="5"/>
        <v>733.03122448979605</v>
      </c>
    </row>
    <row r="191" spans="1:4" x14ac:dyDescent="0.25">
      <c r="A191" s="2">
        <f ca="1">IFERROR(__xludf.DUMMYFUNCTION("""COMPUTED_VALUE"""),44651.6458333333)</f>
        <v>44651.645833333299</v>
      </c>
      <c r="B191" s="1">
        <f ca="1">IFERROR(__xludf.DUMMYFUNCTION("""COMPUTED_VALUE"""),735.18)</f>
        <v>735.18</v>
      </c>
      <c r="C191" s="3">
        <f t="shared" ca="1" si="4"/>
        <v>-4.468638284042991E-3</v>
      </c>
      <c r="D191">
        <f t="shared" ca="1" si="5"/>
        <v>732.57673469387771</v>
      </c>
    </row>
    <row r="192" spans="1:4" x14ac:dyDescent="0.25">
      <c r="A192" s="2">
        <f ca="1">IFERROR(__xludf.DUMMYFUNCTION("""COMPUTED_VALUE"""),44652.6458333333)</f>
        <v>44652.645833333299</v>
      </c>
      <c r="B192" s="1">
        <f ca="1">IFERROR(__xludf.DUMMYFUNCTION("""COMPUTED_VALUE"""),753)</f>
        <v>753</v>
      </c>
      <c r="C192" s="3">
        <f t="shared" ca="1" si="4"/>
        <v>2.4238961886884913E-2</v>
      </c>
      <c r="D192">
        <f t="shared" ca="1" si="5"/>
        <v>731.9757142857145</v>
      </c>
    </row>
    <row r="193" spans="1:4" x14ac:dyDescent="0.25">
      <c r="A193" s="2">
        <f ca="1">IFERROR(__xludf.DUMMYFUNCTION("""COMPUTED_VALUE"""),44655.6458333333)</f>
        <v>44655.645833333299</v>
      </c>
      <c r="B193" s="1">
        <f ca="1">IFERROR(__xludf.DUMMYFUNCTION("""COMPUTED_VALUE"""),828.4)</f>
        <v>828.4</v>
      </c>
      <c r="C193" s="3">
        <f t="shared" ca="1" si="4"/>
        <v>0.10013280212483397</v>
      </c>
      <c r="D193">
        <f t="shared" ca="1" si="5"/>
        <v>731.84857142857174</v>
      </c>
    </row>
    <row r="194" spans="1:4" x14ac:dyDescent="0.25">
      <c r="A194" s="2">
        <f ca="1">IFERROR(__xludf.DUMMYFUNCTION("""COMPUTED_VALUE"""),44656.6458333333)</f>
        <v>44656.645833333299</v>
      </c>
      <c r="B194" s="1">
        <f ca="1">IFERROR(__xludf.DUMMYFUNCTION("""COMPUTED_VALUE"""),804.13)</f>
        <v>804.13</v>
      </c>
      <c r="C194" s="3">
        <f t="shared" ca="1" si="4"/>
        <v>-2.9297440849830977E-2</v>
      </c>
      <c r="D194">
        <f t="shared" ca="1" si="5"/>
        <v>733.35673469387791</v>
      </c>
    </row>
    <row r="195" spans="1:4" x14ac:dyDescent="0.25">
      <c r="A195" s="2">
        <f ca="1">IFERROR(__xludf.DUMMYFUNCTION("""COMPUTED_VALUE"""),44657.6458333333)</f>
        <v>44657.645833333299</v>
      </c>
      <c r="B195" s="1">
        <f ca="1">IFERROR(__xludf.DUMMYFUNCTION("""COMPUTED_VALUE"""),775.43)</f>
        <v>775.43</v>
      </c>
      <c r="C195" s="3">
        <f t="shared" ca="1" si="4"/>
        <v>-3.5690746521084955E-2</v>
      </c>
      <c r="D195">
        <f t="shared" ca="1" si="5"/>
        <v>734.24102040816354</v>
      </c>
    </row>
    <row r="196" spans="1:4" x14ac:dyDescent="0.25">
      <c r="A196" s="2">
        <f ca="1">IFERROR(__xludf.DUMMYFUNCTION("""COMPUTED_VALUE"""),44658.6458333333)</f>
        <v>44658.645833333299</v>
      </c>
      <c r="B196" s="1">
        <f ca="1">IFERROR(__xludf.DUMMYFUNCTION("""COMPUTED_VALUE"""),758.38)</f>
        <v>758.38</v>
      </c>
      <c r="C196" s="3">
        <f t="shared" ref="C196:C259" ca="1" si="6">(B196-B195)/B195</f>
        <v>-2.1987800317243279E-2</v>
      </c>
      <c r="D196">
        <f t="shared" ca="1" si="5"/>
        <v>734.89612244897978</v>
      </c>
    </row>
    <row r="197" spans="1:4" x14ac:dyDescent="0.25">
      <c r="A197" s="2">
        <f ca="1">IFERROR(__xludf.DUMMYFUNCTION("""COMPUTED_VALUE"""),44659.6458333333)</f>
        <v>44659.645833333299</v>
      </c>
      <c r="B197" s="1">
        <f ca="1">IFERROR(__xludf.DUMMYFUNCTION("""COMPUTED_VALUE"""),757.33)</f>
        <v>757.33</v>
      </c>
      <c r="C197" s="3">
        <f t="shared" ca="1" si="6"/>
        <v>-1.3845301827579242E-3</v>
      </c>
      <c r="D197">
        <f t="shared" ca="1" si="5"/>
        <v>735.18897959183687</v>
      </c>
    </row>
    <row r="198" spans="1:4" x14ac:dyDescent="0.25">
      <c r="A198" s="2">
        <f ca="1">IFERROR(__xludf.DUMMYFUNCTION("""COMPUTED_VALUE"""),44662.6458333333)</f>
        <v>44662.645833333299</v>
      </c>
      <c r="B198" s="1">
        <f ca="1">IFERROR(__xludf.DUMMYFUNCTION("""COMPUTED_VALUE"""),748.08)</f>
        <v>748.08</v>
      </c>
      <c r="C198" s="3">
        <f t="shared" ca="1" si="6"/>
        <v>-1.221396220934071E-2</v>
      </c>
      <c r="D198">
        <f t="shared" ca="1" si="5"/>
        <v>735.59408163265323</v>
      </c>
    </row>
    <row r="199" spans="1:4" x14ac:dyDescent="0.25">
      <c r="A199" s="2">
        <f ca="1">IFERROR(__xludf.DUMMYFUNCTION("""COMPUTED_VALUE"""),44663.6458333333)</f>
        <v>44663.645833333299</v>
      </c>
      <c r="B199" s="1">
        <f ca="1">IFERROR(__xludf.DUMMYFUNCTION("""COMPUTED_VALUE"""),746.75)</f>
        <v>746.75</v>
      </c>
      <c r="C199" s="3">
        <f t="shared" ca="1" si="6"/>
        <v>-1.7778847182120105E-3</v>
      </c>
      <c r="D199">
        <f t="shared" ca="1" si="5"/>
        <v>735.92979591836763</v>
      </c>
    </row>
    <row r="200" spans="1:4" x14ac:dyDescent="0.25">
      <c r="A200" s="2">
        <f ca="1">IFERROR(__xludf.DUMMYFUNCTION("""COMPUTED_VALUE"""),44664.6458333333)</f>
        <v>44664.645833333299</v>
      </c>
      <c r="B200" s="1">
        <f ca="1">IFERROR(__xludf.DUMMYFUNCTION("""COMPUTED_VALUE"""),732.48)</f>
        <v>732.48</v>
      </c>
      <c r="C200" s="3">
        <f t="shared" ca="1" si="6"/>
        <v>-1.9109474389019058E-2</v>
      </c>
      <c r="D200">
        <f t="shared" ca="1" si="5"/>
        <v>736.00938775510235</v>
      </c>
    </row>
    <row r="201" spans="1:4" x14ac:dyDescent="0.25">
      <c r="A201" s="2">
        <f ca="1">IFERROR(__xludf.DUMMYFUNCTION("""COMPUTED_VALUE"""),44669.6458333333)</f>
        <v>44669.645833333299</v>
      </c>
      <c r="B201" s="1">
        <f ca="1">IFERROR(__xludf.DUMMYFUNCTION("""COMPUTED_VALUE"""),697.73)</f>
        <v>697.73</v>
      </c>
      <c r="C201" s="3">
        <f t="shared" ca="1" si="6"/>
        <v>-4.7441568370467452E-2</v>
      </c>
      <c r="D201">
        <f t="shared" ca="1" si="5"/>
        <v>735.68244897959221</v>
      </c>
    </row>
    <row r="202" spans="1:4" x14ac:dyDescent="0.25">
      <c r="A202" s="2">
        <f ca="1">IFERROR(__xludf.DUMMYFUNCTION("""COMPUTED_VALUE"""),44670.6458333333)</f>
        <v>44670.645833333299</v>
      </c>
      <c r="B202" s="1">
        <f ca="1">IFERROR(__xludf.DUMMYFUNCTION("""COMPUTED_VALUE"""),671.1)</f>
        <v>671.1</v>
      </c>
      <c r="C202" s="3">
        <f t="shared" ca="1" si="6"/>
        <v>-3.8166626058790641E-2</v>
      </c>
      <c r="D202">
        <f t="shared" ca="1" si="5"/>
        <v>734.29734693877595</v>
      </c>
    </row>
    <row r="203" spans="1:4" x14ac:dyDescent="0.25">
      <c r="A203" s="2">
        <f ca="1">IFERROR(__xludf.DUMMYFUNCTION("""COMPUTED_VALUE"""),44671.6458333333)</f>
        <v>44671.645833333299</v>
      </c>
      <c r="B203" s="1">
        <f ca="1">IFERROR(__xludf.DUMMYFUNCTION("""COMPUTED_VALUE"""),677.15)</f>
        <v>677.15</v>
      </c>
      <c r="C203" s="3">
        <f t="shared" ca="1" si="6"/>
        <v>9.0150499180449324E-3</v>
      </c>
      <c r="D203">
        <f t="shared" ca="1" si="5"/>
        <v>732.53040816326575</v>
      </c>
    </row>
    <row r="204" spans="1:4" x14ac:dyDescent="0.25">
      <c r="A204" s="2">
        <f ca="1">IFERROR(__xludf.DUMMYFUNCTION("""COMPUTED_VALUE"""),44672.6458333333)</f>
        <v>44672.645833333299</v>
      </c>
      <c r="B204" s="1">
        <f ca="1">IFERROR(__xludf.DUMMYFUNCTION("""COMPUTED_VALUE"""),687.18)</f>
        <v>687.18</v>
      </c>
      <c r="C204" s="3">
        <f t="shared" ca="1" si="6"/>
        <v>1.4812080041349734E-2</v>
      </c>
      <c r="D204">
        <f t="shared" ca="1" si="5"/>
        <v>730.79877551020456</v>
      </c>
    </row>
    <row r="205" spans="1:4" x14ac:dyDescent="0.25">
      <c r="A205" s="2">
        <f ca="1">IFERROR(__xludf.DUMMYFUNCTION("""COMPUTED_VALUE"""),44673.6458333333)</f>
        <v>44673.645833333299</v>
      </c>
      <c r="B205" s="1">
        <f ca="1">IFERROR(__xludf.DUMMYFUNCTION("""COMPUTED_VALUE"""),677.8)</f>
        <v>677.8</v>
      </c>
      <c r="C205" s="3">
        <f t="shared" ca="1" si="6"/>
        <v>-1.3649989813440433E-2</v>
      </c>
      <c r="D205">
        <f t="shared" ca="1" si="5"/>
        <v>729.84163265306165</v>
      </c>
    </row>
    <row r="206" spans="1:4" x14ac:dyDescent="0.25">
      <c r="A206" s="2">
        <f ca="1">IFERROR(__xludf.DUMMYFUNCTION("""COMPUTED_VALUE"""),44676.6458333333)</f>
        <v>44676.645833333299</v>
      </c>
      <c r="B206" s="1">
        <f ca="1">IFERROR(__xludf.DUMMYFUNCTION("""COMPUTED_VALUE"""),682.88)</f>
        <v>682.88</v>
      </c>
      <c r="C206" s="3">
        <f t="shared" ca="1" si="6"/>
        <v>7.4948362348776056E-3</v>
      </c>
      <c r="D206">
        <f t="shared" ca="1" si="5"/>
        <v>728.75734693877587</v>
      </c>
    </row>
    <row r="207" spans="1:4" x14ac:dyDescent="0.25">
      <c r="A207" s="2">
        <f ca="1">IFERROR(__xludf.DUMMYFUNCTION("""COMPUTED_VALUE"""),44677.6458333333)</f>
        <v>44677.645833333299</v>
      </c>
      <c r="B207" s="1">
        <f ca="1">IFERROR(__xludf.DUMMYFUNCTION("""COMPUTED_VALUE"""),686.03)</f>
        <v>686.03</v>
      </c>
      <c r="C207" s="3">
        <f t="shared" ca="1" si="6"/>
        <v>4.6128163074039032E-3</v>
      </c>
      <c r="D207">
        <f t="shared" ca="1" si="5"/>
        <v>727.41204081632691</v>
      </c>
    </row>
    <row r="208" spans="1:4" x14ac:dyDescent="0.25">
      <c r="A208" s="2">
        <f ca="1">IFERROR(__xludf.DUMMYFUNCTION("""COMPUTED_VALUE"""),44678.6458333333)</f>
        <v>44678.645833333299</v>
      </c>
      <c r="B208" s="1">
        <f ca="1">IFERROR(__xludf.DUMMYFUNCTION("""COMPUTED_VALUE"""),686.28)</f>
        <v>686.28</v>
      </c>
      <c r="C208" s="3">
        <f t="shared" ca="1" si="6"/>
        <v>3.6441555034036414E-4</v>
      </c>
      <c r="D208">
        <f t="shared" ca="1" si="5"/>
        <v>725.85040816326557</v>
      </c>
    </row>
    <row r="209" spans="1:4" x14ac:dyDescent="0.25">
      <c r="A209" s="2">
        <f ca="1">IFERROR(__xludf.DUMMYFUNCTION("""COMPUTED_VALUE"""),44679.6458333333)</f>
        <v>44679.645833333299</v>
      </c>
      <c r="B209" s="1">
        <f ca="1">IFERROR(__xludf.DUMMYFUNCTION("""COMPUTED_VALUE"""),685.68)</f>
        <v>685.68</v>
      </c>
      <c r="C209" s="3">
        <f t="shared" ca="1" si="6"/>
        <v>-8.7427872005598698E-4</v>
      </c>
      <c r="D209">
        <f t="shared" ca="1" si="5"/>
        <v>724.35755102040844</v>
      </c>
    </row>
    <row r="210" spans="1:4" x14ac:dyDescent="0.25">
      <c r="A210" s="2">
        <f ca="1">IFERROR(__xludf.DUMMYFUNCTION("""COMPUTED_VALUE"""),44680.6458333333)</f>
        <v>44680.645833333299</v>
      </c>
      <c r="B210" s="1">
        <f ca="1">IFERROR(__xludf.DUMMYFUNCTION("""COMPUTED_VALUE"""),692.3)</f>
        <v>692.3</v>
      </c>
      <c r="C210" s="3">
        <f t="shared" ca="1" si="6"/>
        <v>9.6546493991366313E-3</v>
      </c>
      <c r="D210">
        <f t="shared" ca="1" si="5"/>
        <v>723.31326530612273</v>
      </c>
    </row>
    <row r="211" spans="1:4" x14ac:dyDescent="0.25">
      <c r="A211" s="2">
        <f ca="1">IFERROR(__xludf.DUMMYFUNCTION("""COMPUTED_VALUE"""),44683.6458333333)</f>
        <v>44683.645833333299</v>
      </c>
      <c r="B211" s="1">
        <f ca="1">IFERROR(__xludf.DUMMYFUNCTION("""COMPUTED_VALUE"""),701.85)</f>
        <v>701.85</v>
      </c>
      <c r="C211" s="3">
        <f t="shared" ca="1" si="6"/>
        <v>1.3794597717752519E-2</v>
      </c>
      <c r="D211">
        <f t="shared" ca="1" si="5"/>
        <v>721.95408163265336</v>
      </c>
    </row>
    <row r="212" spans="1:4" x14ac:dyDescent="0.25">
      <c r="A212" s="2">
        <f ca="1">IFERROR(__xludf.DUMMYFUNCTION("""COMPUTED_VALUE"""),44685.6458333333)</f>
        <v>44685.645833333299</v>
      </c>
      <c r="B212" s="1">
        <f ca="1">IFERROR(__xludf.DUMMYFUNCTION("""COMPUTED_VALUE"""),678)</f>
        <v>678</v>
      </c>
      <c r="C212" s="3">
        <f t="shared" ca="1" si="6"/>
        <v>-3.3981620004274446E-2</v>
      </c>
      <c r="D212">
        <f t="shared" ca="1" si="5"/>
        <v>720.81061224489827</v>
      </c>
    </row>
    <row r="213" spans="1:4" x14ac:dyDescent="0.25">
      <c r="A213" s="2">
        <f ca="1">IFERROR(__xludf.DUMMYFUNCTION("""COMPUTED_VALUE"""),44686.6458333333)</f>
        <v>44686.645833333299</v>
      </c>
      <c r="B213" s="1">
        <f ca="1">IFERROR(__xludf.DUMMYFUNCTION("""COMPUTED_VALUE"""),676.48)</f>
        <v>676.48</v>
      </c>
      <c r="C213" s="3">
        <f t="shared" ca="1" si="6"/>
        <v>-2.2418879056046929E-3</v>
      </c>
      <c r="D213">
        <f t="shared" ca="1" si="5"/>
        <v>719.27489795918382</v>
      </c>
    </row>
    <row r="214" spans="1:4" x14ac:dyDescent="0.25">
      <c r="A214" s="2">
        <f ca="1">IFERROR(__xludf.DUMMYFUNCTION("""COMPUTED_VALUE"""),44687.6458333333)</f>
        <v>44687.645833333299</v>
      </c>
      <c r="B214" s="1">
        <f ca="1">IFERROR(__xludf.DUMMYFUNCTION("""COMPUTED_VALUE"""),658.8)</f>
        <v>658.8</v>
      </c>
      <c r="C214" s="3">
        <f t="shared" ca="1" si="6"/>
        <v>-2.6135288552507189E-2</v>
      </c>
      <c r="D214">
        <f t="shared" ca="1" si="5"/>
        <v>717.64836734693904</v>
      </c>
    </row>
    <row r="215" spans="1:4" x14ac:dyDescent="0.25">
      <c r="A215" s="2">
        <f ca="1">IFERROR(__xludf.DUMMYFUNCTION("""COMPUTED_VALUE"""),44690.6458333333)</f>
        <v>44690.645833333299</v>
      </c>
      <c r="B215" s="1">
        <f ca="1">IFERROR(__xludf.DUMMYFUNCTION("""COMPUTED_VALUE"""),659.93)</f>
        <v>659.93</v>
      </c>
      <c r="C215" s="3">
        <f t="shared" ca="1" si="6"/>
        <v>1.7152398299939216E-3</v>
      </c>
      <c r="D215">
        <f t="shared" ca="1" si="5"/>
        <v>715.56163265306145</v>
      </c>
    </row>
    <row r="216" spans="1:4" x14ac:dyDescent="0.25">
      <c r="A216" s="2">
        <f ca="1">IFERROR(__xludf.DUMMYFUNCTION("""COMPUTED_VALUE"""),44691.6458333333)</f>
        <v>44691.645833333299</v>
      </c>
      <c r="B216" s="1">
        <f ca="1">IFERROR(__xludf.DUMMYFUNCTION("""COMPUTED_VALUE"""),670.53)</f>
        <v>670.53</v>
      </c>
      <c r="C216" s="3">
        <f t="shared" ca="1" si="6"/>
        <v>1.606230963890113E-2</v>
      </c>
      <c r="D216">
        <f t="shared" ca="1" si="5"/>
        <v>713.61428571428587</v>
      </c>
    </row>
    <row r="217" spans="1:4" x14ac:dyDescent="0.25">
      <c r="A217" s="2">
        <f ca="1">IFERROR(__xludf.DUMMYFUNCTION("""COMPUTED_VALUE"""),44692.6458333333)</f>
        <v>44692.645833333299</v>
      </c>
      <c r="B217" s="1">
        <f ca="1">IFERROR(__xludf.DUMMYFUNCTION("""COMPUTED_VALUE"""),674.3)</f>
        <v>674.3</v>
      </c>
      <c r="C217" s="3">
        <f t="shared" ca="1" si="6"/>
        <v>5.6224180871847374E-3</v>
      </c>
      <c r="D217">
        <f t="shared" ca="1" si="5"/>
        <v>711.98326530612258</v>
      </c>
    </row>
    <row r="218" spans="1:4" x14ac:dyDescent="0.25">
      <c r="A218" s="2">
        <f ca="1">IFERROR(__xludf.DUMMYFUNCTION("""COMPUTED_VALUE"""),44693.6458333333)</f>
        <v>44693.645833333299</v>
      </c>
      <c r="B218" s="1">
        <f ca="1">IFERROR(__xludf.DUMMYFUNCTION("""COMPUTED_VALUE"""),651.53)</f>
        <v>651.53</v>
      </c>
      <c r="C218" s="3">
        <f t="shared" ca="1" si="6"/>
        <v>-3.3768352365415963E-2</v>
      </c>
      <c r="D218">
        <f t="shared" ca="1" si="5"/>
        <v>711.26081632653074</v>
      </c>
    </row>
    <row r="219" spans="1:4" x14ac:dyDescent="0.25">
      <c r="A219" s="2">
        <f ca="1">IFERROR(__xludf.DUMMYFUNCTION("""COMPUTED_VALUE"""),44694.6458333333)</f>
        <v>44694.645833333299</v>
      </c>
      <c r="B219" s="1">
        <f ca="1">IFERROR(__xludf.DUMMYFUNCTION("""COMPUTED_VALUE"""),645.67)</f>
        <v>645.66999999999996</v>
      </c>
      <c r="C219" s="3">
        <f t="shared" ca="1" si="6"/>
        <v>-8.9942136202477464E-3</v>
      </c>
      <c r="D219">
        <f t="shared" ca="1" si="5"/>
        <v>709.69918367346941</v>
      </c>
    </row>
    <row r="220" spans="1:4" x14ac:dyDescent="0.25">
      <c r="A220" s="2">
        <f ca="1">IFERROR(__xludf.DUMMYFUNCTION("""COMPUTED_VALUE"""),44697.6458333333)</f>
        <v>44697.645833333299</v>
      </c>
      <c r="B220" s="1">
        <f ca="1">IFERROR(__xludf.DUMMYFUNCTION("""COMPUTED_VALUE"""),652.55)</f>
        <v>652.54999999999995</v>
      </c>
      <c r="C220" s="3">
        <f t="shared" ca="1" si="6"/>
        <v>1.0655598060928952E-2</v>
      </c>
      <c r="D220">
        <f t="shared" ca="1" si="5"/>
        <v>708.32244897959174</v>
      </c>
    </row>
    <row r="221" spans="1:4" x14ac:dyDescent="0.25">
      <c r="A221" s="2">
        <f ca="1">IFERROR(__xludf.DUMMYFUNCTION("""COMPUTED_VALUE"""),44698.6458333333)</f>
        <v>44698.645833333299</v>
      </c>
      <c r="B221" s="1">
        <f ca="1">IFERROR(__xludf.DUMMYFUNCTION("""COMPUTED_VALUE"""),657)</f>
        <v>657</v>
      </c>
      <c r="C221" s="3">
        <f t="shared" ca="1" si="6"/>
        <v>6.8194008121983691E-3</v>
      </c>
      <c r="D221">
        <f t="shared" ca="1" si="5"/>
        <v>707.61673469387756</v>
      </c>
    </row>
    <row r="222" spans="1:4" x14ac:dyDescent="0.25">
      <c r="A222" s="2">
        <f ca="1">IFERROR(__xludf.DUMMYFUNCTION("""COMPUTED_VALUE"""),44699.6458333333)</f>
        <v>44699.645833333299</v>
      </c>
      <c r="B222" s="1">
        <f ca="1">IFERROR(__xludf.DUMMYFUNCTION("""COMPUTED_VALUE"""),656.95)</f>
        <v>656.95</v>
      </c>
      <c r="C222" s="3">
        <f t="shared" ca="1" si="6"/>
        <v>-7.6103500760965788E-5</v>
      </c>
      <c r="D222">
        <f t="shared" ca="1" si="5"/>
        <v>707.03510204081624</v>
      </c>
    </row>
    <row r="223" spans="1:4" x14ac:dyDescent="0.25">
      <c r="A223" s="2">
        <f ca="1">IFERROR(__xludf.DUMMYFUNCTION("""COMPUTED_VALUE"""),44700.6458333333)</f>
        <v>44700.645833333299</v>
      </c>
      <c r="B223" s="1">
        <f ca="1">IFERROR(__xludf.DUMMYFUNCTION("""COMPUTED_VALUE"""),643.53)</f>
        <v>643.53</v>
      </c>
      <c r="C223" s="3">
        <f t="shared" ca="1" si="6"/>
        <v>-2.0427734226349147E-2</v>
      </c>
      <c r="D223">
        <f t="shared" ca="1" si="5"/>
        <v>706.49836734693861</v>
      </c>
    </row>
    <row r="224" spans="1:4" x14ac:dyDescent="0.25">
      <c r="A224" s="2">
        <f ca="1">IFERROR(__xludf.DUMMYFUNCTION("""COMPUTED_VALUE"""),44701.6458333333)</f>
        <v>44701.645833333299</v>
      </c>
      <c r="B224" s="1">
        <f ca="1">IFERROR(__xludf.DUMMYFUNCTION("""COMPUTED_VALUE"""),660.48)</f>
        <v>660.48</v>
      </c>
      <c r="C224" s="3">
        <f t="shared" ca="1" si="6"/>
        <v>2.6339098410330594E-2</v>
      </c>
      <c r="D224">
        <f t="shared" ca="1" si="5"/>
        <v>706.11326530612223</v>
      </c>
    </row>
    <row r="225" spans="1:4" x14ac:dyDescent="0.25">
      <c r="A225" s="2">
        <f ca="1">IFERROR(__xludf.DUMMYFUNCTION("""COMPUTED_VALUE"""),44704.6458333333)</f>
        <v>44704.645833333299</v>
      </c>
      <c r="B225" s="1">
        <f ca="1">IFERROR(__xludf.DUMMYFUNCTION("""COMPUTED_VALUE"""),652)</f>
        <v>652</v>
      </c>
      <c r="C225" s="3">
        <f t="shared" ca="1" si="6"/>
        <v>-1.2839147286821733E-2</v>
      </c>
      <c r="D225">
        <f t="shared" ca="1" si="5"/>
        <v>706.04346938775495</v>
      </c>
    </row>
    <row r="226" spans="1:4" x14ac:dyDescent="0.25">
      <c r="A226" s="2">
        <f ca="1">IFERROR(__xludf.DUMMYFUNCTION("""COMPUTED_VALUE"""),44705.6458333333)</f>
        <v>44705.645833333299</v>
      </c>
      <c r="B226" s="1">
        <f ca="1">IFERROR(__xludf.DUMMYFUNCTION("""COMPUTED_VALUE"""),659.48)</f>
        <v>659.48</v>
      </c>
      <c r="C226" s="3">
        <f t="shared" ca="1" si="6"/>
        <v>1.1472392638036838E-2</v>
      </c>
      <c r="D226">
        <f t="shared" ca="1" si="5"/>
        <v>705.35816326530585</v>
      </c>
    </row>
    <row r="227" spans="1:4" x14ac:dyDescent="0.25">
      <c r="A227" s="2">
        <f ca="1">IFERROR(__xludf.DUMMYFUNCTION("""COMPUTED_VALUE"""),44706.6458333333)</f>
        <v>44706.645833333299</v>
      </c>
      <c r="B227" s="1">
        <f ca="1">IFERROR(__xludf.DUMMYFUNCTION("""COMPUTED_VALUE"""),664.4)</f>
        <v>664.4</v>
      </c>
      <c r="C227" s="3">
        <f t="shared" ca="1" si="6"/>
        <v>7.460423363862375E-3</v>
      </c>
      <c r="D227">
        <f t="shared" ca="1" si="5"/>
        <v>704.60571428571416</v>
      </c>
    </row>
    <row r="228" spans="1:4" x14ac:dyDescent="0.25">
      <c r="A228" s="2">
        <f ca="1">IFERROR(__xludf.DUMMYFUNCTION("""COMPUTED_VALUE"""),44707.6458333333)</f>
        <v>44707.645833333299</v>
      </c>
      <c r="B228" s="1">
        <f ca="1">IFERROR(__xludf.DUMMYFUNCTION("""COMPUTED_VALUE"""),683.35)</f>
        <v>683.35</v>
      </c>
      <c r="C228" s="3">
        <f t="shared" ca="1" si="6"/>
        <v>2.8521974714027763E-2</v>
      </c>
      <c r="D228">
        <f t="shared" ca="1" si="5"/>
        <v>703.91183673469368</v>
      </c>
    </row>
    <row r="229" spans="1:4" x14ac:dyDescent="0.25">
      <c r="A229" s="2">
        <f ca="1">IFERROR(__xludf.DUMMYFUNCTION("""COMPUTED_VALUE"""),44708.6458333333)</f>
        <v>44708.645833333299</v>
      </c>
      <c r="B229" s="1">
        <f ca="1">IFERROR(__xludf.DUMMYFUNCTION("""COMPUTED_VALUE"""),696.03)</f>
        <v>696.03</v>
      </c>
      <c r="C229" s="3">
        <f t="shared" ca="1" si="6"/>
        <v>1.8555644984268604E-2</v>
      </c>
      <c r="D229">
        <f t="shared" ca="1" si="5"/>
        <v>703.1377551020405</v>
      </c>
    </row>
    <row r="230" spans="1:4" x14ac:dyDescent="0.25">
      <c r="A230" s="2">
        <f ca="1">IFERROR(__xludf.DUMMYFUNCTION("""COMPUTED_VALUE"""),44711.6458333333)</f>
        <v>44711.645833333299</v>
      </c>
      <c r="B230" s="1">
        <f ca="1">IFERROR(__xludf.DUMMYFUNCTION("""COMPUTED_VALUE"""),700.78)</f>
        <v>700.78</v>
      </c>
      <c r="C230" s="3">
        <f t="shared" ca="1" si="6"/>
        <v>6.8244184877088634E-3</v>
      </c>
      <c r="D230">
        <f t="shared" ca="1" si="5"/>
        <v>702.81183673469354</v>
      </c>
    </row>
    <row r="231" spans="1:4" x14ac:dyDescent="0.25">
      <c r="A231" s="2">
        <f ca="1">IFERROR(__xludf.DUMMYFUNCTION("""COMPUTED_VALUE"""),44712.6458333333)</f>
        <v>44712.645833333299</v>
      </c>
      <c r="B231" s="1">
        <f ca="1">IFERROR(__xludf.DUMMYFUNCTION("""COMPUTED_VALUE"""),694.48)</f>
        <v>694.48</v>
      </c>
      <c r="C231" s="3">
        <f t="shared" ca="1" si="6"/>
        <v>-8.9899825908272991E-3</v>
      </c>
      <c r="D231">
        <f t="shared" ca="1" si="5"/>
        <v>702.33632653061181</v>
      </c>
    </row>
    <row r="232" spans="1:4" x14ac:dyDescent="0.25">
      <c r="A232" s="2">
        <f ca="1">IFERROR(__xludf.DUMMYFUNCTION("""COMPUTED_VALUE"""),44713.6458333333)</f>
        <v>44713.645833333299</v>
      </c>
      <c r="B232" s="1">
        <f ca="1">IFERROR(__xludf.DUMMYFUNCTION("""COMPUTED_VALUE"""),697.43)</f>
        <v>697.43</v>
      </c>
      <c r="C232" s="3">
        <f t="shared" ca="1" si="6"/>
        <v>4.2477825135352086E-3</v>
      </c>
      <c r="D232">
        <f t="shared" ca="1" si="5"/>
        <v>701.4067346938773</v>
      </c>
    </row>
    <row r="233" spans="1:4" x14ac:dyDescent="0.25">
      <c r="A233" s="2">
        <f ca="1">IFERROR(__xludf.DUMMYFUNCTION("""COMPUTED_VALUE"""),44714.6458333333)</f>
        <v>44714.645833333299</v>
      </c>
      <c r="B233" s="1">
        <f ca="1">IFERROR(__xludf.DUMMYFUNCTION("""COMPUTED_VALUE"""),692.55)</f>
        <v>692.55</v>
      </c>
      <c r="C233" s="3">
        <f t="shared" ca="1" si="6"/>
        <v>-6.9971179903359415E-3</v>
      </c>
      <c r="D233">
        <f t="shared" ca="1" si="5"/>
        <v>700.47163265306096</v>
      </c>
    </row>
    <row r="234" spans="1:4" x14ac:dyDescent="0.25">
      <c r="A234" s="2">
        <f ca="1">IFERROR(__xludf.DUMMYFUNCTION("""COMPUTED_VALUE"""),44715.6458333333)</f>
        <v>44715.645833333299</v>
      </c>
      <c r="B234" s="1">
        <f ca="1">IFERROR(__xludf.DUMMYFUNCTION("""COMPUTED_VALUE"""),690.15)</f>
        <v>690.15</v>
      </c>
      <c r="C234" s="3">
        <f t="shared" ca="1" si="6"/>
        <v>-3.4654537578513861E-3</v>
      </c>
      <c r="D234">
        <f t="shared" ca="1" si="5"/>
        <v>699.35877551020383</v>
      </c>
    </row>
    <row r="235" spans="1:4" x14ac:dyDescent="0.25">
      <c r="A235" s="2">
        <f ca="1">IFERROR(__xludf.DUMMYFUNCTION("""COMPUTED_VALUE"""),44718.6458333333)</f>
        <v>44718.645833333299</v>
      </c>
      <c r="B235" s="1">
        <f ca="1">IFERROR(__xludf.DUMMYFUNCTION("""COMPUTED_VALUE"""),689.23)</f>
        <v>689.23</v>
      </c>
      <c r="C235" s="3">
        <f t="shared" ca="1" si="6"/>
        <v>-1.3330435412590874E-3</v>
      </c>
      <c r="D235">
        <f t="shared" ca="1" si="5"/>
        <v>698.34897959183661</v>
      </c>
    </row>
    <row r="236" spans="1:4" x14ac:dyDescent="0.25">
      <c r="A236" s="2">
        <f ca="1">IFERROR(__xludf.DUMMYFUNCTION("""COMPUTED_VALUE"""),44719.6458333333)</f>
        <v>44719.645833333299</v>
      </c>
      <c r="B236" s="1">
        <f ca="1">IFERROR(__xludf.DUMMYFUNCTION("""COMPUTED_VALUE"""),681.3)</f>
        <v>681.3</v>
      </c>
      <c r="C236" s="3">
        <f t="shared" ca="1" si="6"/>
        <v>-1.1505593198206786E-2</v>
      </c>
      <c r="D236">
        <f t="shared" ca="1" si="5"/>
        <v>697.69387755102025</v>
      </c>
    </row>
    <row r="237" spans="1:4" x14ac:dyDescent="0.25">
      <c r="A237" s="2">
        <f ca="1">IFERROR(__xludf.DUMMYFUNCTION("""COMPUTED_VALUE"""),44720.6458333333)</f>
        <v>44720.645833333299</v>
      </c>
      <c r="B237" s="1">
        <f ca="1">IFERROR(__xludf.DUMMYFUNCTION("""COMPUTED_VALUE"""),683.7)</f>
        <v>683.7</v>
      </c>
      <c r="C237" s="3">
        <f t="shared" ca="1" si="6"/>
        <v>3.5226772346985047E-3</v>
      </c>
      <c r="D237">
        <f t="shared" ca="1" si="5"/>
        <v>696.99693877550999</v>
      </c>
    </row>
    <row r="238" spans="1:4" x14ac:dyDescent="0.25">
      <c r="A238" s="2">
        <f ca="1">IFERROR(__xludf.DUMMYFUNCTION("""COMPUTED_VALUE"""),44721.6458333333)</f>
        <v>44721.645833333299</v>
      </c>
      <c r="B238" s="1">
        <f ca="1">IFERROR(__xludf.DUMMYFUNCTION("""COMPUTED_VALUE"""),688.85)</f>
        <v>688.85</v>
      </c>
      <c r="C238" s="3">
        <f t="shared" ca="1" si="6"/>
        <v>7.5325435132367656E-3</v>
      </c>
      <c r="D238">
        <f t="shared" ca="1" si="5"/>
        <v>696.32959183673438</v>
      </c>
    </row>
    <row r="239" spans="1:4" x14ac:dyDescent="0.25">
      <c r="A239" s="2">
        <f ca="1">IFERROR(__xludf.DUMMYFUNCTION("""COMPUTED_VALUE"""),44722.6458333333)</f>
        <v>44722.645833333299</v>
      </c>
      <c r="B239" s="1">
        <f ca="1">IFERROR(__xludf.DUMMYFUNCTION("""COMPUTED_VALUE"""),675.55)</f>
        <v>675.55</v>
      </c>
      <c r="C239" s="3">
        <f t="shared" ca="1" si="6"/>
        <v>-1.9307541554765287E-2</v>
      </c>
      <c r="D239">
        <f t="shared" ca="1" si="5"/>
        <v>695.57346938775481</v>
      </c>
    </row>
    <row r="240" spans="1:4" x14ac:dyDescent="0.25">
      <c r="A240" s="2">
        <f ca="1">IFERROR(__xludf.DUMMYFUNCTION("""COMPUTED_VALUE"""),44725.6458333333)</f>
        <v>44725.645833333299</v>
      </c>
      <c r="B240" s="1">
        <f ca="1">IFERROR(__xludf.DUMMYFUNCTION("""COMPUTED_VALUE"""),663.3)</f>
        <v>663.3</v>
      </c>
      <c r="C240" s="3">
        <f t="shared" ca="1" si="6"/>
        <v>-1.8133372807342167E-2</v>
      </c>
      <c r="D240">
        <f t="shared" ca="1" si="5"/>
        <v>694.28918367346921</v>
      </c>
    </row>
    <row r="241" spans="1:4" x14ac:dyDescent="0.25">
      <c r="A241" s="2">
        <f ca="1">IFERROR(__xludf.DUMMYFUNCTION("""COMPUTED_VALUE"""),44726.6458333333)</f>
        <v>44726.645833333299</v>
      </c>
      <c r="B241" s="1">
        <f ca="1">IFERROR(__xludf.DUMMYFUNCTION("""COMPUTED_VALUE"""),656)</f>
        <v>656</v>
      </c>
      <c r="C241" s="3">
        <f t="shared" ca="1" si="6"/>
        <v>-1.1005578169757207E-2</v>
      </c>
      <c r="D241">
        <f t="shared" ca="1" si="5"/>
        <v>692.82224489795908</v>
      </c>
    </row>
    <row r="242" spans="1:4" x14ac:dyDescent="0.25">
      <c r="A242" s="2">
        <f ca="1">IFERROR(__xludf.DUMMYFUNCTION("""COMPUTED_VALUE"""),44727.6458333333)</f>
        <v>44727.645833333299</v>
      </c>
      <c r="B242" s="1">
        <f ca="1">IFERROR(__xludf.DUMMYFUNCTION("""COMPUTED_VALUE"""),653.73)</f>
        <v>653.73</v>
      </c>
      <c r="C242" s="3">
        <f t="shared" ca="1" si="6"/>
        <v>-3.4603658536585089E-3</v>
      </c>
      <c r="D242">
        <f t="shared" ca="1" si="5"/>
        <v>690.84265306122415</v>
      </c>
    </row>
    <row r="243" spans="1:4" x14ac:dyDescent="0.25">
      <c r="A243" s="2">
        <f ca="1">IFERROR(__xludf.DUMMYFUNCTION("""COMPUTED_VALUE"""),44728.6458333333)</f>
        <v>44728.645833333299</v>
      </c>
      <c r="B243" s="1">
        <f ca="1">IFERROR(__xludf.DUMMYFUNCTION("""COMPUTED_VALUE"""),640.65)</f>
        <v>640.65</v>
      </c>
      <c r="C243" s="3">
        <f t="shared" ca="1" si="6"/>
        <v>-2.0008260290945865E-2</v>
      </c>
      <c r="D243">
        <f t="shared" ca="1" si="5"/>
        <v>687.27795918367326</v>
      </c>
    </row>
    <row r="244" spans="1:4" x14ac:dyDescent="0.25">
      <c r="A244" s="2">
        <f ca="1">IFERROR(__xludf.DUMMYFUNCTION("""COMPUTED_VALUE"""),44729.6458333333)</f>
        <v>44729.645833333299</v>
      </c>
      <c r="B244" s="1">
        <f ca="1">IFERROR(__xludf.DUMMYFUNCTION("""COMPUTED_VALUE"""),644.88)</f>
        <v>644.88</v>
      </c>
      <c r="C244" s="3">
        <f t="shared" ca="1" si="6"/>
        <v>6.6026691641302088E-3</v>
      </c>
      <c r="D244">
        <f t="shared" ref="D244:D307" ca="1" si="7">AVERAGE(B195:B243)</f>
        <v>683.94163265306111</v>
      </c>
    </row>
    <row r="245" spans="1:4" x14ac:dyDescent="0.25">
      <c r="A245" s="2">
        <f ca="1">IFERROR(__xludf.DUMMYFUNCTION("""COMPUTED_VALUE"""),44732.6458333333)</f>
        <v>44732.645833333299</v>
      </c>
      <c r="B245" s="1">
        <f ca="1">IFERROR(__xludf.DUMMYFUNCTION("""COMPUTED_VALUE"""),661.08)</f>
        <v>661.08</v>
      </c>
      <c r="C245" s="3">
        <f t="shared" ca="1" si="6"/>
        <v>2.5120952735392704E-2</v>
      </c>
      <c r="D245">
        <f t="shared" ca="1" si="7"/>
        <v>681.27734693877539</v>
      </c>
    </row>
    <row r="246" spans="1:4" x14ac:dyDescent="0.25">
      <c r="A246" s="2">
        <f ca="1">IFERROR(__xludf.DUMMYFUNCTION("""COMPUTED_VALUE"""),44733.6458333333)</f>
        <v>44733.645833333299</v>
      </c>
      <c r="B246" s="1">
        <f ca="1">IFERROR(__xludf.DUMMYFUNCTION("""COMPUTED_VALUE"""),668.28)</f>
        <v>668.28</v>
      </c>
      <c r="C246" s="3">
        <f t="shared" ca="1" si="6"/>
        <v>1.0891268832818919E-2</v>
      </c>
      <c r="D246">
        <f t="shared" ca="1" si="7"/>
        <v>679.29163265306113</v>
      </c>
    </row>
    <row r="247" spans="1:4" x14ac:dyDescent="0.25">
      <c r="A247" s="2">
        <f ca="1">IFERROR(__xludf.DUMMYFUNCTION("""COMPUTED_VALUE"""),44734.6458333333)</f>
        <v>44734.645833333299</v>
      </c>
      <c r="B247" s="1">
        <f ca="1">IFERROR(__xludf.DUMMYFUNCTION("""COMPUTED_VALUE"""),665.13)</f>
        <v>665.13</v>
      </c>
      <c r="C247" s="3">
        <f t="shared" ca="1" si="6"/>
        <v>-4.7135931046866242E-3</v>
      </c>
      <c r="D247">
        <f t="shared" ca="1" si="7"/>
        <v>677.47428571428566</v>
      </c>
    </row>
    <row r="248" spans="1:4" x14ac:dyDescent="0.25">
      <c r="A248" s="2">
        <f ca="1">IFERROR(__xludf.DUMMYFUNCTION("""COMPUTED_VALUE"""),44735.6458333333)</f>
        <v>44735.645833333299</v>
      </c>
      <c r="B248" s="1">
        <f ca="1">IFERROR(__xludf.DUMMYFUNCTION("""COMPUTED_VALUE"""),667.58)</f>
        <v>667.58</v>
      </c>
      <c r="C248" s="3">
        <f t="shared" ca="1" si="6"/>
        <v>3.6834904454768926E-3</v>
      </c>
      <c r="D248">
        <f t="shared" ca="1" si="7"/>
        <v>675.78142857142848</v>
      </c>
    </row>
    <row r="249" spans="1:4" x14ac:dyDescent="0.25">
      <c r="A249" s="2">
        <f ca="1">IFERROR(__xludf.DUMMYFUNCTION("""COMPUTED_VALUE"""),44736.6458333333)</f>
        <v>44736.645833333299</v>
      </c>
      <c r="B249" s="1">
        <f ca="1">IFERROR(__xludf.DUMMYFUNCTION("""COMPUTED_VALUE"""),676.9)</f>
        <v>676.9</v>
      </c>
      <c r="C249" s="3">
        <f t="shared" ca="1" si="6"/>
        <v>1.396087360316357E-2</v>
      </c>
      <c r="D249">
        <f t="shared" ca="1" si="7"/>
        <v>674.16571428571422</v>
      </c>
    </row>
    <row r="250" spans="1:4" x14ac:dyDescent="0.25">
      <c r="A250" s="2">
        <f ca="1">IFERROR(__xludf.DUMMYFUNCTION("""COMPUTED_VALUE"""),44739.6458333333)</f>
        <v>44739.645833333299</v>
      </c>
      <c r="B250" s="1">
        <f ca="1">IFERROR(__xludf.DUMMYFUNCTION("""COMPUTED_VALUE"""),678.13)</f>
        <v>678.13</v>
      </c>
      <c r="C250" s="3">
        <f t="shared" ca="1" si="6"/>
        <v>1.8171074013887106E-3</v>
      </c>
      <c r="D250">
        <f t="shared" ca="1" si="7"/>
        <v>673.03142857142859</v>
      </c>
    </row>
    <row r="251" spans="1:4" x14ac:dyDescent="0.25">
      <c r="A251" s="2">
        <f ca="1">IFERROR(__xludf.DUMMYFUNCTION("""COMPUTED_VALUE"""),44740.6458333333)</f>
        <v>44740.645833333299</v>
      </c>
      <c r="B251" s="1">
        <f ca="1">IFERROR(__xludf.DUMMYFUNCTION("""COMPUTED_VALUE"""),672.95)</f>
        <v>672.95</v>
      </c>
      <c r="C251" s="3">
        <f t="shared" ca="1" si="6"/>
        <v>-7.6386533555512217E-3</v>
      </c>
      <c r="D251">
        <f t="shared" ca="1" si="7"/>
        <v>672.63142857142861</v>
      </c>
    </row>
    <row r="252" spans="1:4" x14ac:dyDescent="0.25">
      <c r="A252" s="2">
        <f ca="1">IFERROR(__xludf.DUMMYFUNCTION("""COMPUTED_VALUE"""),44741.6458333333)</f>
        <v>44741.645833333299</v>
      </c>
      <c r="B252" s="1">
        <f ca="1">IFERROR(__xludf.DUMMYFUNCTION("""COMPUTED_VALUE"""),671.98)</f>
        <v>671.98</v>
      </c>
      <c r="C252" s="3">
        <f t="shared" ca="1" si="6"/>
        <v>-1.4414146667657735E-3</v>
      </c>
      <c r="D252">
        <f t="shared" ca="1" si="7"/>
        <v>672.66918367346943</v>
      </c>
    </row>
    <row r="253" spans="1:4" x14ac:dyDescent="0.25">
      <c r="A253" s="2">
        <f ca="1">IFERROR(__xludf.DUMMYFUNCTION("""COMPUTED_VALUE"""),44742.6458333333)</f>
        <v>44742.645833333299</v>
      </c>
      <c r="B253" s="1">
        <f ca="1">IFERROR(__xludf.DUMMYFUNCTION("""COMPUTED_VALUE"""),674)</f>
        <v>674</v>
      </c>
      <c r="C253" s="3">
        <f t="shared" ca="1" si="6"/>
        <v>3.0060418464834993E-3</v>
      </c>
      <c r="D253">
        <f t="shared" ca="1" si="7"/>
        <v>672.56367346938782</v>
      </c>
    </row>
    <row r="254" spans="1:4" x14ac:dyDescent="0.25">
      <c r="A254" s="2">
        <f ca="1">IFERROR(__xludf.DUMMYFUNCTION("""COMPUTED_VALUE"""),44743.6458333333)</f>
        <v>44743.645833333299</v>
      </c>
      <c r="B254" s="1">
        <f ca="1">IFERROR(__xludf.DUMMYFUNCTION("""COMPUTED_VALUE"""),676.88)</f>
        <v>676.88</v>
      </c>
      <c r="C254" s="3">
        <f t="shared" ca="1" si="6"/>
        <v>4.2729970326409426E-3</v>
      </c>
      <c r="D254">
        <f t="shared" ca="1" si="7"/>
        <v>672.29469387755103</v>
      </c>
    </row>
    <row r="255" spans="1:4" x14ac:dyDescent="0.25">
      <c r="A255" s="2">
        <f ca="1">IFERROR(__xludf.DUMMYFUNCTION("""COMPUTED_VALUE"""),44746.6458333333)</f>
        <v>44746.645833333299</v>
      </c>
      <c r="B255" s="1">
        <f ca="1">IFERROR(__xludf.DUMMYFUNCTION("""COMPUTED_VALUE"""),677.83)</f>
        <v>677.83</v>
      </c>
      <c r="C255" s="3">
        <f t="shared" ca="1" si="6"/>
        <v>1.4034984044439863E-3</v>
      </c>
      <c r="D255">
        <f t="shared" ca="1" si="7"/>
        <v>672.275918367347</v>
      </c>
    </row>
    <row r="256" spans="1:4" x14ac:dyDescent="0.25">
      <c r="A256" s="2">
        <f ca="1">IFERROR(__xludf.DUMMYFUNCTION("""COMPUTED_VALUE"""),44747.6458333333)</f>
        <v>44747.645833333299</v>
      </c>
      <c r="B256" s="1">
        <f ca="1">IFERROR(__xludf.DUMMYFUNCTION("""COMPUTED_VALUE"""),676.3)</f>
        <v>676.3</v>
      </c>
      <c r="C256" s="3">
        <f t="shared" ca="1" si="6"/>
        <v>-2.2572031335291831E-3</v>
      </c>
      <c r="D256">
        <f t="shared" ca="1" si="7"/>
        <v>672.17285714285731</v>
      </c>
    </row>
    <row r="257" spans="1:4" x14ac:dyDescent="0.25">
      <c r="A257" s="2">
        <f ca="1">IFERROR(__xludf.DUMMYFUNCTION("""COMPUTED_VALUE"""),44748.6458333333)</f>
        <v>44748.645833333299</v>
      </c>
      <c r="B257" s="1">
        <f ca="1">IFERROR(__xludf.DUMMYFUNCTION("""COMPUTED_VALUE"""),685.63)</f>
        <v>685.63</v>
      </c>
      <c r="C257" s="3">
        <f t="shared" ca="1" si="6"/>
        <v>1.379565281679734E-2</v>
      </c>
      <c r="D257">
        <f t="shared" ca="1" si="7"/>
        <v>671.974285714286</v>
      </c>
    </row>
    <row r="258" spans="1:4" x14ac:dyDescent="0.25">
      <c r="A258" s="2">
        <f ca="1">IFERROR(__xludf.DUMMYFUNCTION("""COMPUTED_VALUE"""),44749.6458333333)</f>
        <v>44749.645833333299</v>
      </c>
      <c r="B258" s="1">
        <f ca="1">IFERROR(__xludf.DUMMYFUNCTION("""COMPUTED_VALUE"""),697.9)</f>
        <v>697.9</v>
      </c>
      <c r="C258" s="3">
        <f t="shared" ca="1" si="6"/>
        <v>1.7895949710485221E-2</v>
      </c>
      <c r="D258">
        <f t="shared" ca="1" si="7"/>
        <v>671.96102040816345</v>
      </c>
    </row>
    <row r="259" spans="1:4" x14ac:dyDescent="0.25">
      <c r="A259" s="2">
        <f ca="1">IFERROR(__xludf.DUMMYFUNCTION("""COMPUTED_VALUE"""),44750.6458333333)</f>
        <v>44750.645833333299</v>
      </c>
      <c r="B259" s="1">
        <f ca="1">IFERROR(__xludf.DUMMYFUNCTION("""COMPUTED_VALUE"""),698.55)</f>
        <v>698.55</v>
      </c>
      <c r="C259" s="3">
        <f t="shared" ca="1" si="6"/>
        <v>9.3136552514683658E-4</v>
      </c>
      <c r="D259">
        <f t="shared" ca="1" si="7"/>
        <v>672.21040816326558</v>
      </c>
    </row>
    <row r="260" spans="1:4" x14ac:dyDescent="0.25">
      <c r="A260" s="2">
        <f ca="1">IFERROR(__xludf.DUMMYFUNCTION("""COMPUTED_VALUE"""),44753.6458333333)</f>
        <v>44753.645833333299</v>
      </c>
      <c r="B260" s="1">
        <f ca="1">IFERROR(__xludf.DUMMYFUNCTION("""COMPUTED_VALUE"""),703.08)</f>
        <v>703.08</v>
      </c>
      <c r="C260" s="3">
        <f t="shared" ref="C260:C323" ca="1" si="8">(B260-B259)/B259</f>
        <v>6.4848614988191064E-3</v>
      </c>
      <c r="D260">
        <f t="shared" ca="1" si="7"/>
        <v>672.33795918367377</v>
      </c>
    </row>
    <row r="261" spans="1:4" x14ac:dyDescent="0.25">
      <c r="A261" s="2">
        <f ca="1">IFERROR(__xludf.DUMMYFUNCTION("""COMPUTED_VALUE"""),44754.6458333333)</f>
        <v>44754.645833333299</v>
      </c>
      <c r="B261" s="1">
        <f ca="1">IFERROR(__xludf.DUMMYFUNCTION("""COMPUTED_VALUE"""),695.9)</f>
        <v>695.9</v>
      </c>
      <c r="C261" s="3">
        <f t="shared" ca="1" si="8"/>
        <v>-1.021220913694041E-2</v>
      </c>
      <c r="D261">
        <f t="shared" ca="1" si="7"/>
        <v>672.36306122448991</v>
      </c>
    </row>
    <row r="262" spans="1:4" x14ac:dyDescent="0.25">
      <c r="A262" s="2">
        <f ca="1">IFERROR(__xludf.DUMMYFUNCTION("""COMPUTED_VALUE"""),44755.6458333333)</f>
        <v>44755.645833333299</v>
      </c>
      <c r="B262" s="1">
        <f ca="1">IFERROR(__xludf.DUMMYFUNCTION("""COMPUTED_VALUE"""),678.93)</f>
        <v>678.93</v>
      </c>
      <c r="C262" s="3">
        <f t="shared" ca="1" si="8"/>
        <v>-2.438568759879297E-2</v>
      </c>
      <c r="D262">
        <f t="shared" ca="1" si="7"/>
        <v>672.72836734693897</v>
      </c>
    </row>
    <row r="263" spans="1:4" x14ac:dyDescent="0.25">
      <c r="A263" s="2">
        <f ca="1">IFERROR(__xludf.DUMMYFUNCTION("""COMPUTED_VALUE"""),44756.6458333333)</f>
        <v>44756.645833333299</v>
      </c>
      <c r="B263" s="1">
        <f ca="1">IFERROR(__xludf.DUMMYFUNCTION("""COMPUTED_VALUE"""),675.53)</f>
        <v>675.53</v>
      </c>
      <c r="C263" s="3">
        <f t="shared" ca="1" si="8"/>
        <v>-5.0078800465437933E-3</v>
      </c>
      <c r="D263">
        <f t="shared" ca="1" si="7"/>
        <v>672.77836734693904</v>
      </c>
    </row>
    <row r="264" spans="1:4" x14ac:dyDescent="0.25">
      <c r="A264" s="2">
        <f ca="1">IFERROR(__xludf.DUMMYFUNCTION("""COMPUTED_VALUE"""),44757.6458333333)</f>
        <v>44757.645833333299</v>
      </c>
      <c r="B264" s="1">
        <f ca="1">IFERROR(__xludf.DUMMYFUNCTION("""COMPUTED_VALUE"""),681.03)</f>
        <v>681.03</v>
      </c>
      <c r="C264" s="3">
        <f t="shared" ca="1" si="8"/>
        <v>8.1417553624561455E-3</v>
      </c>
      <c r="D264">
        <f t="shared" ca="1" si="7"/>
        <v>673.11979591836769</v>
      </c>
    </row>
    <row r="265" spans="1:4" x14ac:dyDescent="0.25">
      <c r="A265" s="2">
        <f ca="1">IFERROR(__xludf.DUMMYFUNCTION("""COMPUTED_VALUE"""),44760.6458333333)</f>
        <v>44760.645833333299</v>
      </c>
      <c r="B265" s="1">
        <f ca="1">IFERROR(__xludf.DUMMYFUNCTION("""COMPUTED_VALUE"""),673.78)</f>
        <v>673.78</v>
      </c>
      <c r="C265" s="3">
        <f t="shared" ca="1" si="8"/>
        <v>-1.0645639692818232E-2</v>
      </c>
      <c r="D265">
        <f t="shared" ca="1" si="7"/>
        <v>673.55040816326562</v>
      </c>
    </row>
    <row r="266" spans="1:4" x14ac:dyDescent="0.25">
      <c r="A266" s="2">
        <f ca="1">IFERROR(__xludf.DUMMYFUNCTION("""COMPUTED_VALUE"""),44761.6458333333)</f>
        <v>44761.645833333299</v>
      </c>
      <c r="B266" s="1">
        <f ca="1">IFERROR(__xludf.DUMMYFUNCTION("""COMPUTED_VALUE"""),674.03)</f>
        <v>674.03</v>
      </c>
      <c r="C266" s="3">
        <f t="shared" ca="1" si="8"/>
        <v>3.7104099260886343E-4</v>
      </c>
      <c r="D266">
        <f t="shared" ca="1" si="7"/>
        <v>673.61673469387767</v>
      </c>
    </row>
    <row r="267" spans="1:4" x14ac:dyDescent="0.25">
      <c r="A267" s="2">
        <f ca="1">IFERROR(__xludf.DUMMYFUNCTION("""COMPUTED_VALUE"""),44762.6458333333)</f>
        <v>44762.645833333299</v>
      </c>
      <c r="B267" s="1">
        <f ca="1">IFERROR(__xludf.DUMMYFUNCTION("""COMPUTED_VALUE"""),682.53)</f>
        <v>682.53</v>
      </c>
      <c r="C267" s="3">
        <f t="shared" ca="1" si="8"/>
        <v>1.2610714656617658E-2</v>
      </c>
      <c r="D267">
        <f t="shared" ca="1" si="7"/>
        <v>673.6112244897962</v>
      </c>
    </row>
    <row r="268" spans="1:4" x14ac:dyDescent="0.25">
      <c r="A268" s="2">
        <f ca="1">IFERROR(__xludf.DUMMYFUNCTION("""COMPUTED_VALUE"""),44763.6458333333)</f>
        <v>44763.645833333299</v>
      </c>
      <c r="B268" s="1">
        <f ca="1">IFERROR(__xludf.DUMMYFUNCTION("""COMPUTED_VALUE"""),680.38)</f>
        <v>680.38</v>
      </c>
      <c r="C268" s="3">
        <f t="shared" ca="1" si="8"/>
        <v>-3.150044686680406E-3</v>
      </c>
      <c r="D268">
        <f t="shared" ca="1" si="7"/>
        <v>674.24387755102055</v>
      </c>
    </row>
    <row r="269" spans="1:4" x14ac:dyDescent="0.25">
      <c r="A269" s="2">
        <f ca="1">IFERROR(__xludf.DUMMYFUNCTION("""COMPUTED_VALUE"""),44764.6458333333)</f>
        <v>44764.645833333299</v>
      </c>
      <c r="B269" s="1">
        <f ca="1">IFERROR(__xludf.DUMMYFUNCTION("""COMPUTED_VALUE"""),696.25)</f>
        <v>696.25</v>
      </c>
      <c r="C269" s="3">
        <f t="shared" ca="1" si="8"/>
        <v>2.3325200623181171E-2</v>
      </c>
      <c r="D269">
        <f t="shared" ca="1" si="7"/>
        <v>674.9522448979593</v>
      </c>
    </row>
    <row r="270" spans="1:4" x14ac:dyDescent="0.25">
      <c r="A270" s="2">
        <f ca="1">IFERROR(__xludf.DUMMYFUNCTION("""COMPUTED_VALUE"""),44767.6458333333)</f>
        <v>44767.645833333299</v>
      </c>
      <c r="B270" s="1">
        <f ca="1">IFERROR(__xludf.DUMMYFUNCTION("""COMPUTED_VALUE"""),698.3)</f>
        <v>698.3</v>
      </c>
      <c r="C270" s="3">
        <f t="shared" ca="1" si="8"/>
        <v>2.9443447037701322E-3</v>
      </c>
      <c r="D270">
        <f t="shared" ca="1" si="7"/>
        <v>675.84408163265311</v>
      </c>
    </row>
    <row r="271" spans="1:4" x14ac:dyDescent="0.25">
      <c r="A271" s="2">
        <f ca="1">IFERROR(__xludf.DUMMYFUNCTION("""COMPUTED_VALUE"""),44768.6458333333)</f>
        <v>44768.645833333299</v>
      </c>
      <c r="B271" s="1">
        <f ca="1">IFERROR(__xludf.DUMMYFUNCTION("""COMPUTED_VALUE"""),696.88)</f>
        <v>696.88</v>
      </c>
      <c r="C271" s="3">
        <f t="shared" ca="1" si="8"/>
        <v>-2.0335099527423158E-3</v>
      </c>
      <c r="D271">
        <f t="shared" ca="1" si="7"/>
        <v>676.68693877551027</v>
      </c>
    </row>
    <row r="272" spans="1:4" x14ac:dyDescent="0.25">
      <c r="A272" s="2">
        <f ca="1">IFERROR(__xludf.DUMMYFUNCTION("""COMPUTED_VALUE"""),44769.6458333333)</f>
        <v>44769.645833333299</v>
      </c>
      <c r="B272" s="1">
        <f ca="1">IFERROR(__xludf.DUMMYFUNCTION("""COMPUTED_VALUE"""),702.2)</f>
        <v>702.2</v>
      </c>
      <c r="C272" s="3">
        <f t="shared" ca="1" si="8"/>
        <v>7.6340259442085438E-3</v>
      </c>
      <c r="D272">
        <f t="shared" ca="1" si="7"/>
        <v>677.50183673469394</v>
      </c>
    </row>
    <row r="273" spans="1:4" x14ac:dyDescent="0.25">
      <c r="A273" s="2">
        <f ca="1">IFERROR(__xludf.DUMMYFUNCTION("""COMPUTED_VALUE"""),44770.6458333333)</f>
        <v>44770.645833333299</v>
      </c>
      <c r="B273" s="1">
        <f ca="1">IFERROR(__xludf.DUMMYFUNCTION("""COMPUTED_VALUE"""),708.43)</f>
        <v>708.43</v>
      </c>
      <c r="C273" s="3">
        <f t="shared" ca="1" si="8"/>
        <v>8.8721162062089208E-3</v>
      </c>
      <c r="D273">
        <f t="shared" ca="1" si="7"/>
        <v>678.69918367346941</v>
      </c>
    </row>
    <row r="274" spans="1:4" x14ac:dyDescent="0.25">
      <c r="A274" s="2">
        <f ca="1">IFERROR(__xludf.DUMMYFUNCTION("""COMPUTED_VALUE"""),44771.6458333333)</f>
        <v>44771.645833333299</v>
      </c>
      <c r="B274" s="1">
        <f ca="1">IFERROR(__xludf.DUMMYFUNCTION("""COMPUTED_VALUE"""),717.1)</f>
        <v>717.1</v>
      </c>
      <c r="C274" s="3">
        <f t="shared" ca="1" si="8"/>
        <v>1.2238329827929469E-2</v>
      </c>
      <c r="D274">
        <f t="shared" ca="1" si="7"/>
        <v>679.67775510204081</v>
      </c>
    </row>
    <row r="275" spans="1:4" x14ac:dyDescent="0.25">
      <c r="A275" s="2">
        <f ca="1">IFERROR(__xludf.DUMMYFUNCTION("""COMPUTED_VALUE"""),44774.6458333333)</f>
        <v>44774.645833333299</v>
      </c>
      <c r="B275" s="1">
        <f ca="1">IFERROR(__xludf.DUMMYFUNCTION("""COMPUTED_VALUE"""),723.08)</f>
        <v>723.08</v>
      </c>
      <c r="C275" s="3">
        <f t="shared" ca="1" si="8"/>
        <v>8.3391437735323079E-3</v>
      </c>
      <c r="D275">
        <f t="shared" ca="1" si="7"/>
        <v>681.00632653061234</v>
      </c>
    </row>
    <row r="276" spans="1:4" x14ac:dyDescent="0.25">
      <c r="A276" s="2">
        <f ca="1">IFERROR(__xludf.DUMMYFUNCTION("""COMPUTED_VALUE"""),44775.6458333333)</f>
        <v>44775.645833333299</v>
      </c>
      <c r="B276" s="1">
        <f ca="1">IFERROR(__xludf.DUMMYFUNCTION("""COMPUTED_VALUE"""),715.13)</f>
        <v>715.13</v>
      </c>
      <c r="C276" s="3">
        <f t="shared" ca="1" si="8"/>
        <v>-1.0994634065387018E-2</v>
      </c>
      <c r="D276">
        <f t="shared" ca="1" si="7"/>
        <v>682.30428571428558</v>
      </c>
    </row>
    <row r="277" spans="1:4" x14ac:dyDescent="0.25">
      <c r="A277" s="2">
        <f ca="1">IFERROR(__xludf.DUMMYFUNCTION("""COMPUTED_VALUE"""),44776.6458333333)</f>
        <v>44776.645833333299</v>
      </c>
      <c r="B277" s="1">
        <f ca="1">IFERROR(__xludf.DUMMYFUNCTION("""COMPUTED_VALUE"""),716.8)</f>
        <v>716.8</v>
      </c>
      <c r="C277" s="3">
        <f t="shared" ca="1" si="8"/>
        <v>2.3352397466194384E-3</v>
      </c>
      <c r="D277">
        <f t="shared" ca="1" si="7"/>
        <v>683.33959183673471</v>
      </c>
    </row>
    <row r="278" spans="1:4" x14ac:dyDescent="0.25">
      <c r="A278" s="2">
        <f ca="1">IFERROR(__xludf.DUMMYFUNCTION("""COMPUTED_VALUE"""),44777.6458333333)</f>
        <v>44777.645833333299</v>
      </c>
      <c r="B278" s="1">
        <f ca="1">IFERROR(__xludf.DUMMYFUNCTION("""COMPUTED_VALUE"""),715.95)</f>
        <v>715.95</v>
      </c>
      <c r="C278" s="3">
        <f t="shared" ca="1" si="8"/>
        <v>-1.1858258928570161E-3</v>
      </c>
      <c r="D278">
        <f t="shared" ca="1" si="7"/>
        <v>684.02224489795924</v>
      </c>
    </row>
    <row r="279" spans="1:4" x14ac:dyDescent="0.25">
      <c r="A279" s="2">
        <f ca="1">IFERROR(__xludf.DUMMYFUNCTION("""COMPUTED_VALUE"""),44778.6458333333)</f>
        <v>44778.645833333299</v>
      </c>
      <c r="B279" s="1">
        <f ca="1">IFERROR(__xludf.DUMMYFUNCTION("""COMPUTED_VALUE"""),713.53)</f>
        <v>713.53</v>
      </c>
      <c r="C279" s="3">
        <f t="shared" ca="1" si="8"/>
        <v>-3.3801243103569697E-3</v>
      </c>
      <c r="D279">
        <f t="shared" ca="1" si="7"/>
        <v>684.4287755102041</v>
      </c>
    </row>
    <row r="280" spans="1:4" x14ac:dyDescent="0.25">
      <c r="A280" s="2">
        <f ca="1">IFERROR(__xludf.DUMMYFUNCTION("""COMPUTED_VALUE"""),44781.6458333333)</f>
        <v>44781.645833333299</v>
      </c>
      <c r="B280" s="1">
        <f ca="1">IFERROR(__xludf.DUMMYFUNCTION("""COMPUTED_VALUE"""),731.03)</f>
        <v>731.03</v>
      </c>
      <c r="C280" s="3">
        <f t="shared" ca="1" si="8"/>
        <v>2.4525948453463765E-2</v>
      </c>
      <c r="D280">
        <f t="shared" ca="1" si="7"/>
        <v>684.68897959183664</v>
      </c>
    </row>
    <row r="281" spans="1:4" x14ac:dyDescent="0.25">
      <c r="A281" s="2">
        <f ca="1">IFERROR(__xludf.DUMMYFUNCTION("""COMPUTED_VALUE"""),44783.6458333333)</f>
        <v>44783.645833333299</v>
      </c>
      <c r="B281" s="1">
        <f ca="1">IFERROR(__xludf.DUMMYFUNCTION("""COMPUTED_VALUE"""),733.15)</f>
        <v>733.15</v>
      </c>
      <c r="C281" s="3">
        <f t="shared" ca="1" si="8"/>
        <v>2.9000177831279218E-3</v>
      </c>
      <c r="D281">
        <f t="shared" ca="1" si="7"/>
        <v>685.43489795918367</v>
      </c>
    </row>
    <row r="282" spans="1:4" x14ac:dyDescent="0.25">
      <c r="A282" s="2">
        <f ca="1">IFERROR(__xludf.DUMMYFUNCTION("""COMPUTED_VALUE"""),44784.6458333333)</f>
        <v>44784.645833333299</v>
      </c>
      <c r="B282" s="1">
        <f ca="1">IFERROR(__xludf.DUMMYFUNCTION("""COMPUTED_VALUE"""),742.85)</f>
        <v>742.85</v>
      </c>
      <c r="C282" s="3">
        <f t="shared" ca="1" si="8"/>
        <v>1.3230580372365882E-2</v>
      </c>
      <c r="D282">
        <f t="shared" ca="1" si="7"/>
        <v>686.16387755102039</v>
      </c>
    </row>
    <row r="283" spans="1:4" x14ac:dyDescent="0.25">
      <c r="A283" s="2">
        <f ca="1">IFERROR(__xludf.DUMMYFUNCTION("""COMPUTED_VALUE"""),44785.6458333333)</f>
        <v>44785.645833333299</v>
      </c>
      <c r="B283" s="1">
        <f ca="1">IFERROR(__xludf.DUMMYFUNCTION("""COMPUTED_VALUE"""),742.58)</f>
        <v>742.58</v>
      </c>
      <c r="C283" s="3">
        <f t="shared" ca="1" si="8"/>
        <v>-3.6346503331760355E-4</v>
      </c>
      <c r="D283">
        <f t="shared" ca="1" si="7"/>
        <v>687.19040816326515</v>
      </c>
    </row>
    <row r="284" spans="1:4" x14ac:dyDescent="0.25">
      <c r="A284" s="2">
        <f ca="1">IFERROR(__xludf.DUMMYFUNCTION("""COMPUTED_VALUE"""),44789.6458333333)</f>
        <v>44789.645833333299</v>
      </c>
      <c r="B284" s="1">
        <f ca="1">IFERROR(__xludf.DUMMYFUNCTION("""COMPUTED_VALUE"""),751.08)</f>
        <v>751.08</v>
      </c>
      <c r="C284" s="3">
        <f t="shared" ca="1" si="8"/>
        <v>1.1446578146462334E-2</v>
      </c>
      <c r="D284">
        <f t="shared" ca="1" si="7"/>
        <v>688.2604081632652</v>
      </c>
    </row>
    <row r="285" spans="1:4" x14ac:dyDescent="0.25">
      <c r="A285" s="2">
        <f ca="1">IFERROR(__xludf.DUMMYFUNCTION("""COMPUTED_VALUE"""),44790.6458333333)</f>
        <v>44790.645833333299</v>
      </c>
      <c r="B285" s="1">
        <f ca="1">IFERROR(__xludf.DUMMYFUNCTION("""COMPUTED_VALUE"""),754.95)</f>
        <v>754.95</v>
      </c>
      <c r="C285" s="3">
        <f t="shared" ca="1" si="8"/>
        <v>5.1525802843904837E-3</v>
      </c>
      <c r="D285">
        <f t="shared" ca="1" si="7"/>
        <v>689.52265306122433</v>
      </c>
    </row>
    <row r="286" spans="1:4" x14ac:dyDescent="0.25">
      <c r="A286" s="2">
        <f ca="1">IFERROR(__xludf.DUMMYFUNCTION("""COMPUTED_VALUE"""),44791.6458333333)</f>
        <v>44791.645833333299</v>
      </c>
      <c r="B286" s="1">
        <f ca="1">IFERROR(__xludf.DUMMYFUNCTION("""COMPUTED_VALUE"""),755.85)</f>
        <v>755.85</v>
      </c>
      <c r="C286" s="3">
        <f t="shared" ca="1" si="8"/>
        <v>1.1921319292668086E-3</v>
      </c>
      <c r="D286">
        <f t="shared" ca="1" si="7"/>
        <v>691.02571428571423</v>
      </c>
    </row>
    <row r="287" spans="1:4" x14ac:dyDescent="0.25">
      <c r="A287" s="2">
        <f ca="1">IFERROR(__xludf.DUMMYFUNCTION("""COMPUTED_VALUE"""),44792.6458333333)</f>
        <v>44792.645833333299</v>
      </c>
      <c r="B287" s="1">
        <f ca="1">IFERROR(__xludf.DUMMYFUNCTION("""COMPUTED_VALUE"""),746.53)</f>
        <v>746.53</v>
      </c>
      <c r="C287" s="3">
        <f t="shared" ca="1" si="8"/>
        <v>-1.2330488853608585E-2</v>
      </c>
      <c r="D287">
        <f t="shared" ca="1" si="7"/>
        <v>692.49816326530595</v>
      </c>
    </row>
    <row r="288" spans="1:4" x14ac:dyDescent="0.25">
      <c r="A288" s="2">
        <f ca="1">IFERROR(__xludf.DUMMYFUNCTION("""COMPUTED_VALUE"""),44795.6458333333)</f>
        <v>44795.645833333299</v>
      </c>
      <c r="B288" s="1">
        <f ca="1">IFERROR(__xludf.DUMMYFUNCTION("""COMPUTED_VALUE"""),735.18)</f>
        <v>735.18</v>
      </c>
      <c r="C288" s="3">
        <f t="shared" ca="1" si="8"/>
        <v>-1.5203675672779424E-2</v>
      </c>
      <c r="D288">
        <f t="shared" ca="1" si="7"/>
        <v>693.67530612244889</v>
      </c>
    </row>
    <row r="289" spans="1:4" x14ac:dyDescent="0.25">
      <c r="A289" s="2">
        <f ca="1">IFERROR(__xludf.DUMMYFUNCTION("""COMPUTED_VALUE"""),44796.6458333333)</f>
        <v>44796.645833333299</v>
      </c>
      <c r="B289" s="1">
        <f ca="1">IFERROR(__xludf.DUMMYFUNCTION("""COMPUTED_VALUE"""),732.9)</f>
        <v>732.9</v>
      </c>
      <c r="C289" s="3">
        <f t="shared" ca="1" si="8"/>
        <v>-3.1012813188606501E-3</v>
      </c>
      <c r="D289">
        <f t="shared" ca="1" si="7"/>
        <v>694.89224489795924</v>
      </c>
    </row>
    <row r="290" spans="1:4" x14ac:dyDescent="0.25">
      <c r="A290" s="2">
        <f ca="1">IFERROR(__xludf.DUMMYFUNCTION("""COMPUTED_VALUE"""),44797.6458333333)</f>
        <v>44797.645833333299</v>
      </c>
      <c r="B290" s="1">
        <f ca="1">IFERROR(__xludf.DUMMYFUNCTION("""COMPUTED_VALUE"""),736.43)</f>
        <v>736.43</v>
      </c>
      <c r="C290" s="3">
        <f t="shared" ca="1" si="8"/>
        <v>4.8164824669122289E-3</v>
      </c>
      <c r="D290">
        <f t="shared" ca="1" si="7"/>
        <v>696.31265306122452</v>
      </c>
    </row>
    <row r="291" spans="1:4" x14ac:dyDescent="0.25">
      <c r="A291" s="2">
        <f ca="1">IFERROR(__xludf.DUMMYFUNCTION("""COMPUTED_VALUE"""),44798.6458333333)</f>
        <v>44798.645833333299</v>
      </c>
      <c r="B291" s="1">
        <f ca="1">IFERROR(__xludf.DUMMYFUNCTION("""COMPUTED_VALUE"""),732.43)</f>
        <v>732.43</v>
      </c>
      <c r="C291" s="3">
        <f t="shared" ca="1" si="8"/>
        <v>-5.4316092500305531E-3</v>
      </c>
      <c r="D291">
        <f t="shared" ca="1" si="7"/>
        <v>697.95408163265301</v>
      </c>
    </row>
    <row r="292" spans="1:4" x14ac:dyDescent="0.25">
      <c r="A292" s="2">
        <f ca="1">IFERROR(__xludf.DUMMYFUNCTION("""COMPUTED_VALUE"""),44799.6458333333)</f>
        <v>44799.645833333299</v>
      </c>
      <c r="B292" s="1">
        <f ca="1">IFERROR(__xludf.DUMMYFUNCTION("""COMPUTED_VALUE"""),732.55)</f>
        <v>732.55</v>
      </c>
      <c r="C292" s="3">
        <f t="shared" ca="1" si="8"/>
        <v>1.6383818248843514E-4</v>
      </c>
      <c r="D292">
        <f t="shared" ca="1" si="7"/>
        <v>699.56020408163272</v>
      </c>
    </row>
    <row r="293" spans="1:4" x14ac:dyDescent="0.25">
      <c r="A293" s="2">
        <f ca="1">IFERROR(__xludf.DUMMYFUNCTION("""COMPUTED_VALUE"""),44802.6458333333)</f>
        <v>44802.645833333299</v>
      </c>
      <c r="B293" s="1">
        <f ca="1">IFERROR(__xludf.DUMMYFUNCTION("""COMPUTED_VALUE"""),719.7)</f>
        <v>719.7</v>
      </c>
      <c r="C293" s="3">
        <f t="shared" ca="1" si="8"/>
        <v>-1.7541464746433567E-2</v>
      </c>
      <c r="D293">
        <f t="shared" ca="1" si="7"/>
        <v>701.43571428571443</v>
      </c>
    </row>
    <row r="294" spans="1:4" x14ac:dyDescent="0.25">
      <c r="A294" s="2">
        <f ca="1">IFERROR(__xludf.DUMMYFUNCTION("""COMPUTED_VALUE"""),44803.6458333333)</f>
        <v>44803.645833333299</v>
      </c>
      <c r="B294" s="1">
        <f ca="1">IFERROR(__xludf.DUMMYFUNCTION("""COMPUTED_VALUE"""),743.05)</f>
        <v>743.05</v>
      </c>
      <c r="C294" s="3">
        <f t="shared" ca="1" si="8"/>
        <v>3.2444073919688628E-2</v>
      </c>
      <c r="D294">
        <f t="shared" ca="1" si="7"/>
        <v>702.96265306122461</v>
      </c>
    </row>
    <row r="295" spans="1:4" x14ac:dyDescent="0.25">
      <c r="A295" s="2">
        <f ca="1">IFERROR(__xludf.DUMMYFUNCTION("""COMPUTED_VALUE"""),44805.6458333333)</f>
        <v>44805.645833333299</v>
      </c>
      <c r="B295" s="1">
        <f ca="1">IFERROR(__xludf.DUMMYFUNCTION("""COMPUTED_VALUE"""),736.08)</f>
        <v>736.08</v>
      </c>
      <c r="C295" s="3">
        <f t="shared" ca="1" si="8"/>
        <v>-9.3802570486507149E-3</v>
      </c>
      <c r="D295">
        <f t="shared" ca="1" si="7"/>
        <v>704.63551020408181</v>
      </c>
    </row>
    <row r="296" spans="1:4" x14ac:dyDescent="0.25">
      <c r="A296" s="2">
        <f ca="1">IFERROR(__xludf.DUMMYFUNCTION("""COMPUTED_VALUE"""),44806.6458333333)</f>
        <v>44806.645833333299</v>
      </c>
      <c r="B296" s="1">
        <f ca="1">IFERROR(__xludf.DUMMYFUNCTION("""COMPUTED_VALUE"""),742.75)</f>
        <v>742.75</v>
      </c>
      <c r="C296" s="3">
        <f t="shared" ca="1" si="8"/>
        <v>9.0615150527116051E-3</v>
      </c>
      <c r="D296">
        <f t="shared" ca="1" si="7"/>
        <v>706.01918367346957</v>
      </c>
    </row>
    <row r="297" spans="1:4" x14ac:dyDescent="0.25">
      <c r="A297" s="2">
        <f ca="1">IFERROR(__xludf.DUMMYFUNCTION("""COMPUTED_VALUE"""),44809.6458333333)</f>
        <v>44809.645833333299</v>
      </c>
      <c r="B297" s="1">
        <f ca="1">IFERROR(__xludf.DUMMYFUNCTION("""COMPUTED_VALUE"""),747.53)</f>
        <v>747.53</v>
      </c>
      <c r="C297" s="3">
        <f t="shared" ca="1" si="8"/>
        <v>6.4355435880174656E-3</v>
      </c>
      <c r="D297">
        <f t="shared" ca="1" si="7"/>
        <v>707.60326530612269</v>
      </c>
    </row>
    <row r="298" spans="1:4" x14ac:dyDescent="0.25">
      <c r="A298" s="2">
        <f ca="1">IFERROR(__xludf.DUMMYFUNCTION("""COMPUTED_VALUE"""),44810.6458333333)</f>
        <v>44810.645833333299</v>
      </c>
      <c r="B298" s="1">
        <f ca="1">IFERROR(__xludf.DUMMYFUNCTION("""COMPUTED_VALUE"""),744.68)</f>
        <v>744.68</v>
      </c>
      <c r="C298" s="3">
        <f t="shared" ca="1" si="8"/>
        <v>-3.8125560178187134E-3</v>
      </c>
      <c r="D298">
        <f t="shared" ca="1" si="7"/>
        <v>709.23489795918374</v>
      </c>
    </row>
    <row r="299" spans="1:4" x14ac:dyDescent="0.25">
      <c r="A299" s="2">
        <f ca="1">IFERROR(__xludf.DUMMYFUNCTION("""COMPUTED_VALUE"""),44811.6458333333)</f>
        <v>44811.645833333299</v>
      </c>
      <c r="B299" s="1">
        <f ca="1">IFERROR(__xludf.DUMMYFUNCTION("""COMPUTED_VALUE"""),741.15)</f>
        <v>741.15</v>
      </c>
      <c r="C299" s="3">
        <f t="shared" ca="1" si="8"/>
        <v>-4.7402911317612571E-3</v>
      </c>
      <c r="D299">
        <f t="shared" ca="1" si="7"/>
        <v>710.61816326530618</v>
      </c>
    </row>
    <row r="300" spans="1:4" x14ac:dyDescent="0.25">
      <c r="A300" s="2">
        <f ca="1">IFERROR(__xludf.DUMMYFUNCTION("""COMPUTED_VALUE"""),44812.6458333333)</f>
        <v>44812.645833333299</v>
      </c>
      <c r="B300" s="1">
        <f ca="1">IFERROR(__xludf.DUMMYFUNCTION("""COMPUTED_VALUE"""),748.8)</f>
        <v>748.8</v>
      </c>
      <c r="C300" s="3">
        <f t="shared" ca="1" si="8"/>
        <v>1.0321797207043078E-2</v>
      </c>
      <c r="D300">
        <f t="shared" ca="1" si="7"/>
        <v>711.90428571428583</v>
      </c>
    </row>
    <row r="301" spans="1:4" x14ac:dyDescent="0.25">
      <c r="A301" s="2">
        <f ca="1">IFERROR(__xludf.DUMMYFUNCTION("""COMPUTED_VALUE"""),44813.6458333333)</f>
        <v>44813.645833333299</v>
      </c>
      <c r="B301" s="1">
        <f ca="1">IFERROR(__xludf.DUMMYFUNCTION("""COMPUTED_VALUE"""),749.3)</f>
        <v>749.3</v>
      </c>
      <c r="C301" s="3">
        <f t="shared" ca="1" si="8"/>
        <v>6.6773504273504275E-4</v>
      </c>
      <c r="D301">
        <f t="shared" ca="1" si="7"/>
        <v>713.45224489795942</v>
      </c>
    </row>
    <row r="302" spans="1:4" x14ac:dyDescent="0.25">
      <c r="A302" s="2">
        <f ca="1">IFERROR(__xludf.DUMMYFUNCTION("""COMPUTED_VALUE"""),44817.6458333333)</f>
        <v>44817.645833333299</v>
      </c>
      <c r="B302" s="1">
        <f ca="1">IFERROR(__xludf.DUMMYFUNCTION("""COMPUTED_VALUE"""),756.55)</f>
        <v>756.55</v>
      </c>
      <c r="C302" s="3">
        <f t="shared" ca="1" si="8"/>
        <v>9.67569731749633E-3</v>
      </c>
      <c r="D302">
        <f t="shared" ca="1" si="7"/>
        <v>715.03020408163286</v>
      </c>
    </row>
    <row r="303" spans="1:4" x14ac:dyDescent="0.25">
      <c r="A303" s="2">
        <f ca="1">IFERROR(__xludf.DUMMYFUNCTION("""COMPUTED_VALUE"""),44818.6458333333)</f>
        <v>44818.645833333299</v>
      </c>
      <c r="B303" s="1">
        <f ca="1">IFERROR(__xludf.DUMMYFUNCTION("""COMPUTED_VALUE"""),764.33)</f>
        <v>764.33</v>
      </c>
      <c r="C303" s="3">
        <f t="shared" ca="1" si="8"/>
        <v>1.0283523891349001E-2</v>
      </c>
      <c r="D303">
        <f t="shared" ca="1" si="7"/>
        <v>716.71489795918399</v>
      </c>
    </row>
    <row r="304" spans="1:4" x14ac:dyDescent="0.25">
      <c r="A304" s="2">
        <f ca="1">IFERROR(__xludf.DUMMYFUNCTION("""COMPUTED_VALUE"""),44819.6458333333)</f>
        <v>44819.645833333299</v>
      </c>
      <c r="B304" s="1">
        <f ca="1">IFERROR(__xludf.DUMMYFUNCTION("""COMPUTED_VALUE"""),760.35)</f>
        <v>760.35</v>
      </c>
      <c r="C304" s="3">
        <f t="shared" ca="1" si="8"/>
        <v>-5.2071749113602999E-3</v>
      </c>
      <c r="D304">
        <f t="shared" ca="1" si="7"/>
        <v>718.49959183673491</v>
      </c>
    </row>
    <row r="305" spans="1:4" x14ac:dyDescent="0.25">
      <c r="A305" s="2">
        <f ca="1">IFERROR(__xludf.DUMMYFUNCTION("""COMPUTED_VALUE"""),44820.6458333333)</f>
        <v>44820.645833333299</v>
      </c>
      <c r="B305" s="1">
        <f ca="1">IFERROR(__xludf.DUMMYFUNCTION("""COMPUTED_VALUE"""),746.38)</f>
        <v>746.38</v>
      </c>
      <c r="C305" s="3">
        <f t="shared" ca="1" si="8"/>
        <v>-1.8373117643190672E-2</v>
      </c>
      <c r="D305">
        <f t="shared" ca="1" si="7"/>
        <v>720.18367346938794</v>
      </c>
    </row>
    <row r="306" spans="1:4" x14ac:dyDescent="0.25">
      <c r="A306" s="2">
        <f ca="1">IFERROR(__xludf.DUMMYFUNCTION("""COMPUTED_VALUE"""),44823.6458333333)</f>
        <v>44823.645833333299</v>
      </c>
      <c r="B306" s="1">
        <f ca="1">IFERROR(__xludf.DUMMYFUNCTION("""COMPUTED_VALUE"""),751.3)</f>
        <v>751.3</v>
      </c>
      <c r="C306" s="3">
        <f t="shared" ca="1" si="8"/>
        <v>6.591816500977999E-3</v>
      </c>
      <c r="D306">
        <f t="shared" ca="1" si="7"/>
        <v>721.61387755102044</v>
      </c>
    </row>
    <row r="307" spans="1:4" x14ac:dyDescent="0.25">
      <c r="A307" s="2">
        <f ca="1">IFERROR(__xludf.DUMMYFUNCTION("""COMPUTED_VALUE"""),44824.6458333333)</f>
        <v>44824.645833333299</v>
      </c>
      <c r="B307" s="1">
        <f ca="1">IFERROR(__xludf.DUMMYFUNCTION("""COMPUTED_VALUE"""),760.35)</f>
        <v>760.35</v>
      </c>
      <c r="C307" s="3">
        <f t="shared" ca="1" si="8"/>
        <v>1.2045787302009942E-2</v>
      </c>
      <c r="D307">
        <f t="shared" ca="1" si="7"/>
        <v>722.95408163265301</v>
      </c>
    </row>
    <row r="308" spans="1:4" x14ac:dyDescent="0.25">
      <c r="A308" s="2">
        <f ca="1">IFERROR(__xludf.DUMMYFUNCTION("""COMPUTED_VALUE"""),44825.6458333333)</f>
        <v>44825.645833333299</v>
      </c>
      <c r="B308" s="1">
        <f ca="1">IFERROR(__xludf.DUMMYFUNCTION("""COMPUTED_VALUE"""),759.18)</f>
        <v>759.18</v>
      </c>
      <c r="C308" s="3">
        <f t="shared" ca="1" si="8"/>
        <v>-1.5387650424147732E-3</v>
      </c>
      <c r="D308">
        <f t="shared" ref="D308:D371" ca="1" si="9">AVERAGE(B259:B307)</f>
        <v>724.22857142857151</v>
      </c>
    </row>
    <row r="309" spans="1:4" x14ac:dyDescent="0.25">
      <c r="A309" s="2">
        <f ca="1">IFERROR(__xludf.DUMMYFUNCTION("""COMPUTED_VALUE"""),44826.6458333333)</f>
        <v>44826.645833333299</v>
      </c>
      <c r="B309" s="1">
        <f ca="1">IFERROR(__xludf.DUMMYFUNCTION("""COMPUTED_VALUE"""),743)</f>
        <v>743</v>
      </c>
      <c r="C309" s="3">
        <f t="shared" ca="1" si="8"/>
        <v>-2.131246871624641E-2</v>
      </c>
      <c r="D309">
        <f t="shared" ca="1" si="9"/>
        <v>725.46591836734694</v>
      </c>
    </row>
    <row r="310" spans="1:4" x14ac:dyDescent="0.25">
      <c r="A310" s="2">
        <f ca="1">IFERROR(__xludf.DUMMYFUNCTION("""COMPUTED_VALUE"""),44827.6458333333)</f>
        <v>44827.645833333299</v>
      </c>
      <c r="B310" s="1">
        <f ca="1">IFERROR(__xludf.DUMMYFUNCTION("""COMPUTED_VALUE"""),723.08)</f>
        <v>723.08</v>
      </c>
      <c r="C310" s="3">
        <f t="shared" ca="1" si="8"/>
        <v>-2.6810228802153377E-2</v>
      </c>
      <c r="D310">
        <f t="shared" ca="1" si="9"/>
        <v>726.28061224489795</v>
      </c>
    </row>
    <row r="311" spans="1:4" x14ac:dyDescent="0.25">
      <c r="A311" s="2">
        <f ca="1">IFERROR(__xludf.DUMMYFUNCTION("""COMPUTED_VALUE"""),44830.6458333333)</f>
        <v>44830.645833333299</v>
      </c>
      <c r="B311" s="1">
        <f ca="1">IFERROR(__xludf.DUMMYFUNCTION("""COMPUTED_VALUE"""),713.33)</f>
        <v>713.33</v>
      </c>
      <c r="C311" s="3">
        <f t="shared" ca="1" si="8"/>
        <v>-1.3483985174531171E-2</v>
      </c>
      <c r="D311">
        <f t="shared" ca="1" si="9"/>
        <v>726.83530612244897</v>
      </c>
    </row>
    <row r="312" spans="1:4" x14ac:dyDescent="0.25">
      <c r="A312" s="2">
        <f ca="1">IFERROR(__xludf.DUMMYFUNCTION("""COMPUTED_VALUE"""),44831.6458333333)</f>
        <v>44831.645833333299</v>
      </c>
      <c r="B312" s="1">
        <f ca="1">IFERROR(__xludf.DUMMYFUNCTION("""COMPUTED_VALUE"""),706.93)</f>
        <v>706.93</v>
      </c>
      <c r="C312" s="3">
        <f t="shared" ca="1" si="8"/>
        <v>-8.9720045420774268E-3</v>
      </c>
      <c r="D312">
        <f t="shared" ca="1" si="9"/>
        <v>727.5373469387755</v>
      </c>
    </row>
    <row r="313" spans="1:4" x14ac:dyDescent="0.25">
      <c r="A313" s="2">
        <f ca="1">IFERROR(__xludf.DUMMYFUNCTION("""COMPUTED_VALUE"""),44832.6458333333)</f>
        <v>44832.645833333299</v>
      </c>
      <c r="B313" s="1">
        <f ca="1">IFERROR(__xludf.DUMMYFUNCTION("""COMPUTED_VALUE"""),694.78)</f>
        <v>694.78</v>
      </c>
      <c r="C313" s="3">
        <f t="shared" ca="1" si="8"/>
        <v>-1.718699163990774E-2</v>
      </c>
      <c r="D313">
        <f t="shared" ca="1" si="9"/>
        <v>728.17816326530624</v>
      </c>
    </row>
    <row r="314" spans="1:4" x14ac:dyDescent="0.25">
      <c r="A314" s="2">
        <f ca="1">IFERROR(__xludf.DUMMYFUNCTION("""COMPUTED_VALUE"""),44833.6458333333)</f>
        <v>44833.645833333299</v>
      </c>
      <c r="B314" s="1">
        <f ca="1">IFERROR(__xludf.DUMMYFUNCTION("""COMPUTED_VALUE"""),691.18)</f>
        <v>691.18</v>
      </c>
      <c r="C314" s="3">
        <f t="shared" ca="1" si="8"/>
        <v>-5.1814963009873954E-3</v>
      </c>
      <c r="D314">
        <f t="shared" ca="1" si="9"/>
        <v>728.45877551020419</v>
      </c>
    </row>
    <row r="315" spans="1:4" x14ac:dyDescent="0.25">
      <c r="A315" s="2">
        <f ca="1">IFERROR(__xludf.DUMMYFUNCTION("""COMPUTED_VALUE"""),44834.6458333333)</f>
        <v>44834.645833333299</v>
      </c>
      <c r="B315" s="1">
        <f ca="1">IFERROR(__xludf.DUMMYFUNCTION("""COMPUTED_VALUE"""),710.68)</f>
        <v>710.68</v>
      </c>
      <c r="C315" s="3">
        <f t="shared" ca="1" si="8"/>
        <v>2.8212621892994592E-2</v>
      </c>
      <c r="D315">
        <f t="shared" ca="1" si="9"/>
        <v>728.81387755102048</v>
      </c>
    </row>
    <row r="316" spans="1:4" x14ac:dyDescent="0.25">
      <c r="A316" s="2">
        <f ca="1">IFERROR(__xludf.DUMMYFUNCTION("""COMPUTED_VALUE"""),44837.6458333333)</f>
        <v>44837.645833333299</v>
      </c>
      <c r="B316" s="1">
        <f ca="1">IFERROR(__xludf.DUMMYFUNCTION("""COMPUTED_VALUE"""),706.6)</f>
        <v>706.6</v>
      </c>
      <c r="C316" s="3">
        <f t="shared" ca="1" si="8"/>
        <v>-5.740980469409478E-3</v>
      </c>
      <c r="D316">
        <f t="shared" ca="1" si="9"/>
        <v>729.561836734694</v>
      </c>
    </row>
    <row r="317" spans="1:4" x14ac:dyDescent="0.25">
      <c r="A317" s="2">
        <f ca="1">IFERROR(__xludf.DUMMYFUNCTION("""COMPUTED_VALUE"""),44838.6458333333)</f>
        <v>44838.645833333299</v>
      </c>
      <c r="B317" s="1">
        <f ca="1">IFERROR(__xludf.DUMMYFUNCTION("""COMPUTED_VALUE"""),726.5)</f>
        <v>726.5</v>
      </c>
      <c r="C317" s="3">
        <f t="shared" ca="1" si="8"/>
        <v>2.8163034248513977E-2</v>
      </c>
      <c r="D317">
        <f t="shared" ca="1" si="9"/>
        <v>730.05306122448974</v>
      </c>
    </row>
    <row r="318" spans="1:4" x14ac:dyDescent="0.25">
      <c r="A318" s="2">
        <f ca="1">IFERROR(__xludf.DUMMYFUNCTION("""COMPUTED_VALUE"""),44840.6458333333)</f>
        <v>44840.645833333299</v>
      </c>
      <c r="B318" s="1">
        <f ca="1">IFERROR(__xludf.DUMMYFUNCTION("""COMPUTED_VALUE"""),718.5)</f>
        <v>718.5</v>
      </c>
      <c r="C318" s="3">
        <f t="shared" ca="1" si="8"/>
        <v>-1.1011699931176875E-2</v>
      </c>
      <c r="D318">
        <f t="shared" ca="1" si="9"/>
        <v>730.99428571428575</v>
      </c>
    </row>
    <row r="319" spans="1:4" x14ac:dyDescent="0.25">
      <c r="A319" s="2">
        <f ca="1">IFERROR(__xludf.DUMMYFUNCTION("""COMPUTED_VALUE"""),44841.6458333333)</f>
        <v>44841.645833333299</v>
      </c>
      <c r="B319" s="1">
        <f ca="1">IFERROR(__xludf.DUMMYFUNCTION("""COMPUTED_VALUE"""),715.4)</f>
        <v>715.4</v>
      </c>
      <c r="C319" s="3">
        <f t="shared" ca="1" si="8"/>
        <v>-4.314544189283261E-3</v>
      </c>
      <c r="D319">
        <f t="shared" ca="1" si="9"/>
        <v>731.44836734693877</v>
      </c>
    </row>
    <row r="320" spans="1:4" x14ac:dyDescent="0.25">
      <c r="A320" s="2">
        <f ca="1">IFERROR(__xludf.DUMMYFUNCTION("""COMPUTED_VALUE"""),44844.6458333333)</f>
        <v>44844.645833333299</v>
      </c>
      <c r="B320" s="1">
        <f ca="1">IFERROR(__xludf.DUMMYFUNCTION("""COMPUTED_VALUE"""),707.5)</f>
        <v>707.5</v>
      </c>
      <c r="C320" s="3">
        <f t="shared" ca="1" si="8"/>
        <v>-1.1042773273693008E-2</v>
      </c>
      <c r="D320">
        <f t="shared" ca="1" si="9"/>
        <v>731.79734693877549</v>
      </c>
    </row>
    <row r="321" spans="1:4" x14ac:dyDescent="0.25">
      <c r="A321" s="2">
        <f ca="1">IFERROR(__xludf.DUMMYFUNCTION("""COMPUTED_VALUE"""),44845.6458333333)</f>
        <v>44845.645833333299</v>
      </c>
      <c r="B321" s="1">
        <f ca="1">IFERROR(__xludf.DUMMYFUNCTION("""COMPUTED_VALUE"""),700.33)</f>
        <v>700.33</v>
      </c>
      <c r="C321" s="3">
        <f t="shared" ca="1" si="8"/>
        <v>-1.0134275618374501E-2</v>
      </c>
      <c r="D321">
        <f t="shared" ca="1" si="9"/>
        <v>732.0140816326533</v>
      </c>
    </row>
    <row r="322" spans="1:4" x14ac:dyDescent="0.25">
      <c r="A322" s="2">
        <f ca="1">IFERROR(__xludf.DUMMYFUNCTION("""COMPUTED_VALUE"""),44846.6458333333)</f>
        <v>44846.645833333299</v>
      </c>
      <c r="B322" s="1">
        <f ca="1">IFERROR(__xludf.DUMMYFUNCTION("""COMPUTED_VALUE"""),704.9)</f>
        <v>704.9</v>
      </c>
      <c r="C322" s="3">
        <f t="shared" ca="1" si="8"/>
        <v>6.5254951237272941E-3</v>
      </c>
      <c r="D322">
        <f t="shared" ca="1" si="9"/>
        <v>731.97591836734694</v>
      </c>
    </row>
    <row r="323" spans="1:4" x14ac:dyDescent="0.25">
      <c r="A323" s="2">
        <f ca="1">IFERROR(__xludf.DUMMYFUNCTION("""COMPUTED_VALUE"""),44847.6458333333)</f>
        <v>44847.645833333299</v>
      </c>
      <c r="B323" s="1">
        <f ca="1">IFERROR(__xludf.DUMMYFUNCTION("""COMPUTED_VALUE"""),696.8)</f>
        <v>696.8</v>
      </c>
      <c r="C323" s="3">
        <f t="shared" ca="1" si="8"/>
        <v>-1.1490991630018476E-2</v>
      </c>
      <c r="D323">
        <f t="shared" ca="1" si="9"/>
        <v>731.90387755102063</v>
      </c>
    </row>
    <row r="324" spans="1:4" x14ac:dyDescent="0.25">
      <c r="A324" s="2">
        <f ca="1">IFERROR(__xludf.DUMMYFUNCTION("""COMPUTED_VALUE"""),44848.6458333333)</f>
        <v>44848.645833333299</v>
      </c>
      <c r="B324" s="1">
        <f ca="1">IFERROR(__xludf.DUMMYFUNCTION("""COMPUTED_VALUE"""),719.5)</f>
        <v>719.5</v>
      </c>
      <c r="C324" s="3">
        <f t="shared" ref="C324:C387" ca="1" si="10">(B324-B323)/B323</f>
        <v>3.2577497129736004E-2</v>
      </c>
      <c r="D324">
        <f t="shared" ca="1" si="9"/>
        <v>731.4895918367348</v>
      </c>
    </row>
    <row r="325" spans="1:4" x14ac:dyDescent="0.25">
      <c r="A325" s="2">
        <f ca="1">IFERROR(__xludf.DUMMYFUNCTION("""COMPUTED_VALUE"""),44851.6458333333)</f>
        <v>44851.645833333299</v>
      </c>
      <c r="B325" s="1">
        <f ca="1">IFERROR(__xludf.DUMMYFUNCTION("""COMPUTED_VALUE"""),723.28)</f>
        <v>723.28</v>
      </c>
      <c r="C325" s="3">
        <f t="shared" ca="1" si="10"/>
        <v>5.2536483669214356E-3</v>
      </c>
      <c r="D325">
        <f t="shared" ca="1" si="9"/>
        <v>731.41653061224508</v>
      </c>
    </row>
    <row r="326" spans="1:4" x14ac:dyDescent="0.25">
      <c r="A326" s="2">
        <f ca="1">IFERROR(__xludf.DUMMYFUNCTION("""COMPUTED_VALUE"""),44852.6458333333)</f>
        <v>44852.645833333299</v>
      </c>
      <c r="B326" s="1">
        <f ca="1">IFERROR(__xludf.DUMMYFUNCTION("""COMPUTED_VALUE"""),721.93)</f>
        <v>721.93</v>
      </c>
      <c r="C326" s="3">
        <f t="shared" ca="1" si="10"/>
        <v>-1.8664970689083382E-3</v>
      </c>
      <c r="D326">
        <f t="shared" ca="1" si="9"/>
        <v>731.58285714285728</v>
      </c>
    </row>
    <row r="327" spans="1:4" x14ac:dyDescent="0.25">
      <c r="A327" s="2">
        <f ca="1">IFERROR(__xludf.DUMMYFUNCTION("""COMPUTED_VALUE"""),44853.6458333333)</f>
        <v>44853.645833333299</v>
      </c>
      <c r="B327" s="1">
        <f ca="1">IFERROR(__xludf.DUMMYFUNCTION("""COMPUTED_VALUE"""),729.33)</f>
        <v>729.33</v>
      </c>
      <c r="C327" s="3">
        <f t="shared" ca="1" si="10"/>
        <v>1.0250301275747083E-2</v>
      </c>
      <c r="D327">
        <f t="shared" ca="1" si="9"/>
        <v>731.68755102040825</v>
      </c>
    </row>
    <row r="328" spans="1:4" x14ac:dyDescent="0.25">
      <c r="A328" s="2">
        <f ca="1">IFERROR(__xludf.DUMMYFUNCTION("""COMPUTED_VALUE"""),44854.6458333333)</f>
        <v>44854.645833333299</v>
      </c>
      <c r="B328" s="1">
        <f ca="1">IFERROR(__xludf.DUMMYFUNCTION("""COMPUTED_VALUE"""),724.4)</f>
        <v>724.4</v>
      </c>
      <c r="C328" s="3">
        <f t="shared" ca="1" si="10"/>
        <v>-6.7596287003140734E-3</v>
      </c>
      <c r="D328">
        <f t="shared" ca="1" si="9"/>
        <v>731.96061224489813</v>
      </c>
    </row>
    <row r="329" spans="1:4" x14ac:dyDescent="0.25">
      <c r="A329" s="2">
        <f ca="1">IFERROR(__xludf.DUMMYFUNCTION("""COMPUTED_VALUE"""),44855.6458333333)</f>
        <v>44855.645833333299</v>
      </c>
      <c r="B329" s="1">
        <f ca="1">IFERROR(__xludf.DUMMYFUNCTION("""COMPUTED_VALUE"""),719.3)</f>
        <v>719.3</v>
      </c>
      <c r="C329" s="3">
        <f t="shared" ca="1" si="10"/>
        <v>-7.0403092214246588E-3</v>
      </c>
      <c r="D329">
        <f t="shared" ca="1" si="9"/>
        <v>732.18244897959187</v>
      </c>
    </row>
    <row r="330" spans="1:4" x14ac:dyDescent="0.25">
      <c r="A330" s="2">
        <f ca="1">IFERROR(__xludf.DUMMYFUNCTION("""COMPUTED_VALUE"""),44859.6458333333)</f>
        <v>44859.645833333299</v>
      </c>
      <c r="B330" s="1">
        <f ca="1">IFERROR(__xludf.DUMMYFUNCTION("""COMPUTED_VALUE"""),725.45)</f>
        <v>725.45</v>
      </c>
      <c r="C330" s="3">
        <f t="shared" ca="1" si="10"/>
        <v>8.5499791463924529E-3</v>
      </c>
      <c r="D330">
        <f t="shared" ca="1" si="9"/>
        <v>731.94306122448995</v>
      </c>
    </row>
    <row r="331" spans="1:4" x14ac:dyDescent="0.25">
      <c r="A331" s="2">
        <f ca="1">IFERROR(__xludf.DUMMYFUNCTION("""COMPUTED_VALUE"""),44861.6458333333)</f>
        <v>44861.645833333299</v>
      </c>
      <c r="B331" s="1">
        <f ca="1">IFERROR(__xludf.DUMMYFUNCTION("""COMPUTED_VALUE"""),727.2)</f>
        <v>727.2</v>
      </c>
      <c r="C331" s="3">
        <f t="shared" ca="1" si="10"/>
        <v>2.4122958163898269E-3</v>
      </c>
      <c r="D331">
        <f t="shared" ca="1" si="9"/>
        <v>731.78591836734699</v>
      </c>
    </row>
    <row r="332" spans="1:4" x14ac:dyDescent="0.25">
      <c r="A332" s="2">
        <f ca="1">IFERROR(__xludf.DUMMYFUNCTION("""COMPUTED_VALUE"""),44862.6458333333)</f>
        <v>44862.645833333299</v>
      </c>
      <c r="B332" s="1">
        <f ca="1">IFERROR(__xludf.DUMMYFUNCTION("""COMPUTED_VALUE"""),729.35)</f>
        <v>729.35</v>
      </c>
      <c r="C332" s="3">
        <f t="shared" ca="1" si="10"/>
        <v>2.956545654565425E-3</v>
      </c>
      <c r="D332">
        <f t="shared" ca="1" si="9"/>
        <v>731.46653061224492</v>
      </c>
    </row>
    <row r="333" spans="1:4" x14ac:dyDescent="0.25">
      <c r="A333" s="2">
        <f ca="1">IFERROR(__xludf.DUMMYFUNCTION("""COMPUTED_VALUE"""),44865.6458333333)</f>
        <v>44865.645833333299</v>
      </c>
      <c r="B333" s="1">
        <f ca="1">IFERROR(__xludf.DUMMYFUNCTION("""COMPUTED_VALUE"""),748.35)</f>
        <v>748.35</v>
      </c>
      <c r="C333" s="3">
        <f t="shared" ca="1" si="10"/>
        <v>2.6050592993761567E-2</v>
      </c>
      <c r="D333">
        <f t="shared" ca="1" si="9"/>
        <v>731.19653061224483</v>
      </c>
    </row>
    <row r="334" spans="1:4" x14ac:dyDescent="0.25">
      <c r="A334" s="2">
        <f ca="1">IFERROR(__xludf.DUMMYFUNCTION("""COMPUTED_VALUE"""),44866.6458333333)</f>
        <v>44866.645833333299</v>
      </c>
      <c r="B334" s="1">
        <f ca="1">IFERROR(__xludf.DUMMYFUNCTION("""COMPUTED_VALUE"""),756.63)</f>
        <v>756.63</v>
      </c>
      <c r="C334" s="3">
        <f t="shared" ca="1" si="10"/>
        <v>1.1064341551413072E-2</v>
      </c>
      <c r="D334">
        <f t="shared" ca="1" si="9"/>
        <v>731.14081632653063</v>
      </c>
    </row>
    <row r="335" spans="1:4" x14ac:dyDescent="0.25">
      <c r="A335" s="2">
        <f ca="1">IFERROR(__xludf.DUMMYFUNCTION("""COMPUTED_VALUE"""),44867.6458333333)</f>
        <v>44867.645833333299</v>
      </c>
      <c r="B335" s="1">
        <f ca="1">IFERROR(__xludf.DUMMYFUNCTION("""COMPUTED_VALUE"""),757.1)</f>
        <v>757.1</v>
      </c>
      <c r="C335" s="3">
        <f t="shared" ca="1" si="10"/>
        <v>6.2117547546360475E-4</v>
      </c>
      <c r="D335">
        <f t="shared" ca="1" si="9"/>
        <v>731.17510204081623</v>
      </c>
    </row>
    <row r="336" spans="1:4" x14ac:dyDescent="0.25">
      <c r="A336" s="2">
        <f ca="1">IFERROR(__xludf.DUMMYFUNCTION("""COMPUTED_VALUE"""),44868.6458333333)</f>
        <v>44868.645833333299</v>
      </c>
      <c r="B336" s="1">
        <f ca="1">IFERROR(__xludf.DUMMYFUNCTION("""COMPUTED_VALUE"""),753.78)</f>
        <v>753.78</v>
      </c>
      <c r="C336" s="3">
        <f t="shared" ca="1" si="10"/>
        <v>-4.3851538766345923E-3</v>
      </c>
      <c r="D336">
        <f t="shared" ca="1" si="9"/>
        <v>731.2006122448978</v>
      </c>
    </row>
    <row r="337" spans="1:4" x14ac:dyDescent="0.25">
      <c r="A337" s="2">
        <f ca="1">IFERROR(__xludf.DUMMYFUNCTION("""COMPUTED_VALUE"""),44869.6458333333)</f>
        <v>44869.645833333299</v>
      </c>
      <c r="B337" s="1">
        <f ca="1">IFERROR(__xludf.DUMMYFUNCTION("""COMPUTED_VALUE"""),748.58)</f>
        <v>748.58</v>
      </c>
      <c r="C337" s="3">
        <f t="shared" ca="1" si="10"/>
        <v>-6.8985645679109711E-3</v>
      </c>
      <c r="D337">
        <f t="shared" ca="1" si="9"/>
        <v>731.34857142857152</v>
      </c>
    </row>
    <row r="338" spans="1:4" x14ac:dyDescent="0.25">
      <c r="A338" s="2">
        <f ca="1">IFERROR(__xludf.DUMMYFUNCTION("""COMPUTED_VALUE"""),44872.6458333333)</f>
        <v>44872.645833333299</v>
      </c>
      <c r="B338" s="1">
        <f ca="1">IFERROR(__xludf.DUMMYFUNCTION("""COMPUTED_VALUE"""),754.4)</f>
        <v>754.4</v>
      </c>
      <c r="C338" s="3">
        <f t="shared" ca="1" si="10"/>
        <v>7.7747201367922413E-3</v>
      </c>
      <c r="D338">
        <f t="shared" ca="1" si="9"/>
        <v>731.62204081632649</v>
      </c>
    </row>
    <row r="339" spans="1:4" x14ac:dyDescent="0.25">
      <c r="A339" s="2">
        <f ca="1">IFERROR(__xludf.DUMMYFUNCTION("""COMPUTED_VALUE"""),44874.6458333333)</f>
        <v>44874.645833333299</v>
      </c>
      <c r="B339" s="1">
        <f ca="1">IFERROR(__xludf.DUMMYFUNCTION("""COMPUTED_VALUE"""),754.18)</f>
        <v>754.18</v>
      </c>
      <c r="C339" s="3">
        <f t="shared" ca="1" si="10"/>
        <v>-2.9162248144224193E-4</v>
      </c>
      <c r="D339">
        <f t="shared" ca="1" si="9"/>
        <v>732.06081632653058</v>
      </c>
    </row>
    <row r="340" spans="1:4" x14ac:dyDescent="0.25">
      <c r="A340" s="2">
        <f ca="1">IFERROR(__xludf.DUMMYFUNCTION("""COMPUTED_VALUE"""),44875.6458333333)</f>
        <v>44875.645833333299</v>
      </c>
      <c r="B340" s="1">
        <f ca="1">IFERROR(__xludf.DUMMYFUNCTION("""COMPUTED_VALUE"""),762.38)</f>
        <v>762.38</v>
      </c>
      <c r="C340" s="3">
        <f t="shared" ca="1" si="10"/>
        <v>1.0872735951629646E-2</v>
      </c>
      <c r="D340">
        <f t="shared" ca="1" si="9"/>
        <v>732.42306122448986</v>
      </c>
    </row>
    <row r="341" spans="1:4" x14ac:dyDescent="0.25">
      <c r="A341" s="2">
        <f ca="1">IFERROR(__xludf.DUMMYFUNCTION("""COMPUTED_VALUE"""),44876.6458333333)</f>
        <v>44876.645833333299</v>
      </c>
      <c r="B341" s="1">
        <f ca="1">IFERROR(__xludf.DUMMYFUNCTION("""COMPUTED_VALUE"""),805.58)</f>
        <v>805.58</v>
      </c>
      <c r="C341" s="3">
        <f t="shared" ca="1" si="10"/>
        <v>5.6664655421181098E-2</v>
      </c>
      <c r="D341">
        <f t="shared" ca="1" si="9"/>
        <v>733.03428571428583</v>
      </c>
    </row>
    <row r="342" spans="1:4" x14ac:dyDescent="0.25">
      <c r="A342" s="2">
        <f ca="1">IFERROR(__xludf.DUMMYFUNCTION("""COMPUTED_VALUE"""),44879.6458333333)</f>
        <v>44879.645833333299</v>
      </c>
      <c r="B342" s="1">
        <f ca="1">IFERROR(__xludf.DUMMYFUNCTION("""COMPUTED_VALUE"""),807.53)</f>
        <v>807.53</v>
      </c>
      <c r="C342" s="3">
        <f t="shared" ca="1" si="10"/>
        <v>2.4206162019910272E-3</v>
      </c>
      <c r="D342">
        <f t="shared" ca="1" si="9"/>
        <v>734.52469387755104</v>
      </c>
    </row>
    <row r="343" spans="1:4" x14ac:dyDescent="0.25">
      <c r="A343" s="2">
        <f ca="1">IFERROR(__xludf.DUMMYFUNCTION("""COMPUTED_VALUE"""),44880.6458333333)</f>
        <v>44880.645833333299</v>
      </c>
      <c r="B343" s="1">
        <f ca="1">IFERROR(__xludf.DUMMYFUNCTION("""COMPUTED_VALUE"""),809.5)</f>
        <v>809.5</v>
      </c>
      <c r="C343" s="3">
        <f t="shared" ca="1" si="10"/>
        <v>2.4395378499870311E-3</v>
      </c>
      <c r="D343">
        <f t="shared" ca="1" si="9"/>
        <v>736.31714285714293</v>
      </c>
    </row>
    <row r="344" spans="1:4" x14ac:dyDescent="0.25">
      <c r="A344" s="2">
        <f ca="1">IFERROR(__xludf.DUMMYFUNCTION("""COMPUTED_VALUE"""),44881.6458333333)</f>
        <v>44881.645833333299</v>
      </c>
      <c r="B344" s="1">
        <f ca="1">IFERROR(__xludf.DUMMYFUNCTION("""COMPUTED_VALUE"""),816.45)</f>
        <v>816.45</v>
      </c>
      <c r="C344" s="3">
        <f t="shared" ca="1" si="10"/>
        <v>8.5855466337245775E-3</v>
      </c>
      <c r="D344">
        <f t="shared" ca="1" si="9"/>
        <v>737.67326530612252</v>
      </c>
    </row>
    <row r="345" spans="1:4" x14ac:dyDescent="0.25">
      <c r="A345" s="2">
        <f ca="1">IFERROR(__xludf.DUMMYFUNCTION("""COMPUTED_VALUE"""),44882.6458333333)</f>
        <v>44882.645833333299</v>
      </c>
      <c r="B345" s="1">
        <f ca="1">IFERROR(__xludf.DUMMYFUNCTION("""COMPUTED_VALUE"""),809.08)</f>
        <v>809.08</v>
      </c>
      <c r="C345" s="3">
        <f t="shared" ca="1" si="10"/>
        <v>-9.026884683691597E-3</v>
      </c>
      <c r="D345">
        <f t="shared" ca="1" si="9"/>
        <v>739.31346938775528</v>
      </c>
    </row>
    <row r="346" spans="1:4" x14ac:dyDescent="0.25">
      <c r="A346" s="2">
        <f ca="1">IFERROR(__xludf.DUMMYFUNCTION("""COMPUTED_VALUE"""),44883.6458333333)</f>
        <v>44883.645833333299</v>
      </c>
      <c r="B346" s="1">
        <f ca="1">IFERROR(__xludf.DUMMYFUNCTION("""COMPUTED_VALUE"""),806.95)</f>
        <v>806.95</v>
      </c>
      <c r="C346" s="3">
        <f t="shared" ca="1" si="10"/>
        <v>-2.6326197656597558E-3</v>
      </c>
      <c r="D346">
        <f t="shared" ca="1" si="9"/>
        <v>740.66714285714306</v>
      </c>
    </row>
    <row r="347" spans="1:4" x14ac:dyDescent="0.25">
      <c r="A347" s="2">
        <f ca="1">IFERROR(__xludf.DUMMYFUNCTION("""COMPUTED_VALUE"""),44886.6458333333)</f>
        <v>44886.645833333299</v>
      </c>
      <c r="B347" s="1">
        <f ca="1">IFERROR(__xludf.DUMMYFUNCTION("""COMPUTED_VALUE"""),798.68)</f>
        <v>798.68</v>
      </c>
      <c r="C347" s="3">
        <f t="shared" ca="1" si="10"/>
        <v>-1.0248466447735418E-2</v>
      </c>
      <c r="D347">
        <f t="shared" ca="1" si="9"/>
        <v>741.87979591836756</v>
      </c>
    </row>
    <row r="348" spans="1:4" x14ac:dyDescent="0.25">
      <c r="A348" s="2">
        <f ca="1">IFERROR(__xludf.DUMMYFUNCTION("""COMPUTED_VALUE"""),44887.6458333333)</f>
        <v>44887.645833333299</v>
      </c>
      <c r="B348" s="1">
        <f ca="1">IFERROR(__xludf.DUMMYFUNCTION("""COMPUTED_VALUE"""),797.5)</f>
        <v>797.5</v>
      </c>
      <c r="C348" s="3">
        <f t="shared" ca="1" si="10"/>
        <v>-1.4774377723242725E-3</v>
      </c>
      <c r="D348">
        <f t="shared" ca="1" si="9"/>
        <v>742.98183673469407</v>
      </c>
    </row>
    <row r="349" spans="1:4" x14ac:dyDescent="0.25">
      <c r="A349" s="2">
        <f ca="1">IFERROR(__xludf.DUMMYFUNCTION("""COMPUTED_VALUE"""),44888.6458333333)</f>
        <v>44888.645833333299</v>
      </c>
      <c r="B349" s="1">
        <f ca="1">IFERROR(__xludf.DUMMYFUNCTION("""COMPUTED_VALUE"""),799.58)</f>
        <v>799.58</v>
      </c>
      <c r="C349" s="3">
        <f t="shared" ca="1" si="10"/>
        <v>2.6081504702194871E-3</v>
      </c>
      <c r="D349">
        <f t="shared" ca="1" si="9"/>
        <v>744.13183673469405</v>
      </c>
    </row>
    <row r="350" spans="1:4" x14ac:dyDescent="0.25">
      <c r="A350" s="2">
        <f ca="1">IFERROR(__xludf.DUMMYFUNCTION("""COMPUTED_VALUE"""),44889.6458333333)</f>
        <v>44889.645833333299</v>
      </c>
      <c r="B350" s="1">
        <f ca="1">IFERROR(__xludf.DUMMYFUNCTION("""COMPUTED_VALUE"""),812.58)</f>
        <v>812.58</v>
      </c>
      <c r="C350" s="3">
        <f t="shared" ca="1" si="10"/>
        <v>1.6258535731258909E-2</v>
      </c>
      <c r="D350">
        <f t="shared" ca="1" si="9"/>
        <v>745.16816326530625</v>
      </c>
    </row>
    <row r="351" spans="1:4" x14ac:dyDescent="0.25">
      <c r="A351" s="2">
        <f ca="1">IFERROR(__xludf.DUMMYFUNCTION("""COMPUTED_VALUE"""),44890.6458333333)</f>
        <v>44890.645833333299</v>
      </c>
      <c r="B351" s="1">
        <f ca="1">IFERROR(__xludf.DUMMYFUNCTION("""COMPUTED_VALUE"""),808.83)</f>
        <v>808.83</v>
      </c>
      <c r="C351" s="3">
        <f t="shared" ca="1" si="10"/>
        <v>-4.6149302222550396E-3</v>
      </c>
      <c r="D351">
        <f t="shared" ca="1" si="9"/>
        <v>746.45959183673494</v>
      </c>
    </row>
    <row r="352" spans="1:4" x14ac:dyDescent="0.25">
      <c r="A352" s="2">
        <f ca="1">IFERROR(__xludf.DUMMYFUNCTION("""COMPUTED_VALUE"""),44893.6458333333)</f>
        <v>44893.645833333299</v>
      </c>
      <c r="B352" s="1">
        <f ca="1">IFERROR(__xludf.DUMMYFUNCTION("""COMPUTED_VALUE"""),800.13)</f>
        <v>800.13</v>
      </c>
      <c r="C352" s="3">
        <f t="shared" ca="1" si="10"/>
        <v>-1.0756277586143002E-2</v>
      </c>
      <c r="D352">
        <f t="shared" ca="1" si="9"/>
        <v>747.5265306122451</v>
      </c>
    </row>
    <row r="353" spans="1:4" x14ac:dyDescent="0.25">
      <c r="A353" s="2">
        <f ca="1">IFERROR(__xludf.DUMMYFUNCTION("""COMPUTED_VALUE"""),44894.6458333333)</f>
        <v>44894.645833333299</v>
      </c>
      <c r="B353" s="1">
        <f ca="1">IFERROR(__xludf.DUMMYFUNCTION("""COMPUTED_VALUE"""),798.93)</f>
        <v>798.93</v>
      </c>
      <c r="C353" s="3">
        <f t="shared" ca="1" si="10"/>
        <v>-1.4997562896029964E-3</v>
      </c>
      <c r="D353">
        <f t="shared" ca="1" si="9"/>
        <v>748.25714285714309</v>
      </c>
    </row>
    <row r="354" spans="1:4" x14ac:dyDescent="0.25">
      <c r="A354" s="2">
        <f ca="1">IFERROR(__xludf.DUMMYFUNCTION("""COMPUTED_VALUE"""),44895.6458333333)</f>
        <v>44895.645833333299</v>
      </c>
      <c r="B354" s="1">
        <f ca="1">IFERROR(__xludf.DUMMYFUNCTION("""COMPUTED_VALUE"""),804.23)</f>
        <v>804.23</v>
      </c>
      <c r="C354" s="3">
        <f t="shared" ca="1" si="10"/>
        <v>6.6338728048766079E-3</v>
      </c>
      <c r="D354">
        <f t="shared" ca="1" si="9"/>
        <v>749.04448979591848</v>
      </c>
    </row>
    <row r="355" spans="1:4" x14ac:dyDescent="0.25">
      <c r="A355" s="2">
        <f ca="1">IFERROR(__xludf.DUMMYFUNCTION("""COMPUTED_VALUE"""),44896.6458333333)</f>
        <v>44896.645833333299</v>
      </c>
      <c r="B355" s="1">
        <f ca="1">IFERROR(__xludf.DUMMYFUNCTION("""COMPUTED_VALUE"""),809.75)</f>
        <v>809.75</v>
      </c>
      <c r="C355" s="3">
        <f t="shared" ca="1" si="10"/>
        <v>6.8637081431928452E-3</v>
      </c>
      <c r="D355">
        <f t="shared" ca="1" si="9"/>
        <v>750.22510204081641</v>
      </c>
    </row>
    <row r="356" spans="1:4" x14ac:dyDescent="0.25">
      <c r="A356" s="2">
        <f ca="1">IFERROR(__xludf.DUMMYFUNCTION("""COMPUTED_VALUE"""),44897.6458333333)</f>
        <v>44897.645833333299</v>
      </c>
      <c r="B356" s="1">
        <f ca="1">IFERROR(__xludf.DUMMYFUNCTION("""COMPUTED_VALUE"""),803.55)</f>
        <v>803.55</v>
      </c>
      <c r="C356" s="3">
        <f t="shared" ca="1" si="10"/>
        <v>-7.6566841617783828E-3</v>
      </c>
      <c r="D356">
        <f t="shared" ca="1" si="9"/>
        <v>751.4179591836737</v>
      </c>
    </row>
    <row r="357" spans="1:4" x14ac:dyDescent="0.25">
      <c r="A357" s="2">
        <f ca="1">IFERROR(__xludf.DUMMYFUNCTION("""COMPUTED_VALUE"""),44900.6458333333)</f>
        <v>44900.645833333299</v>
      </c>
      <c r="B357" s="1">
        <f ca="1">IFERROR(__xludf.DUMMYFUNCTION("""COMPUTED_VALUE"""),806.48)</f>
        <v>806.48</v>
      </c>
      <c r="C357" s="3">
        <f t="shared" ca="1" si="10"/>
        <v>3.6463194574078324E-3</v>
      </c>
      <c r="D357">
        <f t="shared" ca="1" si="9"/>
        <v>752.29959183673486</v>
      </c>
    </row>
    <row r="358" spans="1:4" x14ac:dyDescent="0.25">
      <c r="A358" s="2">
        <f ca="1">IFERROR(__xludf.DUMMYFUNCTION("""COMPUTED_VALUE"""),44901.6458333333)</f>
        <v>44901.645833333299</v>
      </c>
      <c r="B358" s="1">
        <f ca="1">IFERROR(__xludf.DUMMYFUNCTION("""COMPUTED_VALUE"""),805.58)</f>
        <v>805.58</v>
      </c>
      <c r="C358" s="3">
        <f t="shared" ca="1" si="10"/>
        <v>-1.1159607181826917E-3</v>
      </c>
      <c r="D358">
        <f t="shared" ca="1" si="9"/>
        <v>753.26489795918405</v>
      </c>
    </row>
    <row r="359" spans="1:4" x14ac:dyDescent="0.25">
      <c r="A359" s="2">
        <f ca="1">IFERROR(__xludf.DUMMYFUNCTION("""COMPUTED_VALUE"""),44902.6458333333)</f>
        <v>44902.645833333299</v>
      </c>
      <c r="B359" s="1">
        <f ca="1">IFERROR(__xludf.DUMMYFUNCTION("""COMPUTED_VALUE"""),805.23)</f>
        <v>805.23</v>
      </c>
      <c r="C359" s="3">
        <f t="shared" ca="1" si="10"/>
        <v>-4.3446957471638163E-4</v>
      </c>
      <c r="D359">
        <f t="shared" ca="1" si="9"/>
        <v>754.5420408163269</v>
      </c>
    </row>
    <row r="360" spans="1:4" x14ac:dyDescent="0.25">
      <c r="A360" s="2">
        <f ca="1">IFERROR(__xludf.DUMMYFUNCTION("""COMPUTED_VALUE"""),44903.6458333333)</f>
        <v>44903.645833333299</v>
      </c>
      <c r="B360" s="1">
        <f ca="1">IFERROR(__xludf.DUMMYFUNCTION("""COMPUTED_VALUE"""),809.75)</f>
        <v>809.75</v>
      </c>
      <c r="C360" s="3">
        <f t="shared" ca="1" si="10"/>
        <v>5.6133030314319907E-3</v>
      </c>
      <c r="D360">
        <f t="shared" ca="1" si="9"/>
        <v>756.21857142857198</v>
      </c>
    </row>
    <row r="361" spans="1:4" x14ac:dyDescent="0.25">
      <c r="A361" s="2">
        <f ca="1">IFERROR(__xludf.DUMMYFUNCTION("""COMPUTED_VALUE"""),44904.6458333333)</f>
        <v>44904.645833333299</v>
      </c>
      <c r="B361" s="1">
        <f ca="1">IFERROR(__xludf.DUMMYFUNCTION("""COMPUTED_VALUE"""),815.53)</f>
        <v>815.53</v>
      </c>
      <c r="C361" s="3">
        <f t="shared" ca="1" si="10"/>
        <v>7.1380055572707289E-3</v>
      </c>
      <c r="D361">
        <f t="shared" ca="1" si="9"/>
        <v>758.18632653061263</v>
      </c>
    </row>
    <row r="362" spans="1:4" x14ac:dyDescent="0.25">
      <c r="A362" s="2">
        <f ca="1">IFERROR(__xludf.DUMMYFUNCTION("""COMPUTED_VALUE"""),44907.6458333333)</f>
        <v>44907.645833333299</v>
      </c>
      <c r="B362" s="1">
        <f ca="1">IFERROR(__xludf.DUMMYFUNCTION("""COMPUTED_VALUE"""),821.88)</f>
        <v>821.88</v>
      </c>
      <c r="C362" s="3">
        <f t="shared" ca="1" si="10"/>
        <v>7.7863475286010604E-3</v>
      </c>
      <c r="D362">
        <f t="shared" ca="1" si="9"/>
        <v>760.4026530612249</v>
      </c>
    </row>
    <row r="363" spans="1:4" x14ac:dyDescent="0.25">
      <c r="A363" s="2">
        <f ca="1">IFERROR(__xludf.DUMMYFUNCTION("""COMPUTED_VALUE"""),44908.6458333333)</f>
        <v>44908.645833333299</v>
      </c>
      <c r="B363" s="1">
        <f ca="1">IFERROR(__xludf.DUMMYFUNCTION("""COMPUTED_VALUE"""),824.15)</f>
        <v>824.15</v>
      </c>
      <c r="C363" s="3">
        <f t="shared" ca="1" si="10"/>
        <v>2.7619603835109525E-3</v>
      </c>
      <c r="D363">
        <f t="shared" ca="1" si="9"/>
        <v>762.99653061224524</v>
      </c>
    </row>
    <row r="364" spans="1:4" x14ac:dyDescent="0.25">
      <c r="A364" s="2">
        <f ca="1">IFERROR(__xludf.DUMMYFUNCTION("""COMPUTED_VALUE"""),44909.6458333333)</f>
        <v>44909.645833333299</v>
      </c>
      <c r="B364" s="1">
        <f ca="1">IFERROR(__xludf.DUMMYFUNCTION("""COMPUTED_VALUE"""),831.13)</f>
        <v>831.13</v>
      </c>
      <c r="C364" s="3">
        <f t="shared" ca="1" si="10"/>
        <v>8.4693320390705797E-3</v>
      </c>
      <c r="D364">
        <f t="shared" ca="1" si="9"/>
        <v>765.71020408163304</v>
      </c>
    </row>
    <row r="365" spans="1:4" x14ac:dyDescent="0.25">
      <c r="A365" s="2">
        <f ca="1">IFERROR(__xludf.DUMMYFUNCTION("""COMPUTED_VALUE"""),44910.6458333333)</f>
        <v>44910.645833333299</v>
      </c>
      <c r="B365" s="1">
        <f ca="1">IFERROR(__xludf.DUMMYFUNCTION("""COMPUTED_VALUE"""),815.9)</f>
        <v>815.9</v>
      </c>
      <c r="C365" s="3">
        <f t="shared" ca="1" si="10"/>
        <v>-1.8324449845391236E-2</v>
      </c>
      <c r="D365">
        <f t="shared" ca="1" si="9"/>
        <v>768.16836734693891</v>
      </c>
    </row>
    <row r="366" spans="1:4" x14ac:dyDescent="0.25">
      <c r="A366" s="2">
        <f ca="1">IFERROR(__xludf.DUMMYFUNCTION("""COMPUTED_VALUE"""),44911.6458333333)</f>
        <v>44911.645833333299</v>
      </c>
      <c r="B366" s="1">
        <f ca="1">IFERROR(__xludf.DUMMYFUNCTION("""COMPUTED_VALUE"""),819.83)</f>
        <v>819.83</v>
      </c>
      <c r="C366" s="3">
        <f t="shared" ca="1" si="10"/>
        <v>4.8167667606325085E-3</v>
      </c>
      <c r="D366">
        <f t="shared" ca="1" si="9"/>
        <v>770.39897959183691</v>
      </c>
    </row>
    <row r="367" spans="1:4" x14ac:dyDescent="0.25">
      <c r="A367" s="2">
        <f ca="1">IFERROR(__xludf.DUMMYFUNCTION("""COMPUTED_VALUE"""),44914.6458333333)</f>
        <v>44914.645833333299</v>
      </c>
      <c r="B367" s="1">
        <f ca="1">IFERROR(__xludf.DUMMYFUNCTION("""COMPUTED_VALUE"""),822.38)</f>
        <v>822.38</v>
      </c>
      <c r="C367" s="3">
        <f t="shared" ca="1" si="10"/>
        <v>3.1104009367795204E-3</v>
      </c>
      <c r="D367">
        <f t="shared" ca="1" si="9"/>
        <v>772.30367346938795</v>
      </c>
    </row>
    <row r="368" spans="1:4" x14ac:dyDescent="0.25">
      <c r="A368" s="2">
        <f ca="1">IFERROR(__xludf.DUMMYFUNCTION("""COMPUTED_VALUE"""),44915.6458333333)</f>
        <v>44915.645833333299</v>
      </c>
      <c r="B368" s="1">
        <f ca="1">IFERROR(__xludf.DUMMYFUNCTION("""COMPUTED_VALUE"""),816.7)</f>
        <v>816.7</v>
      </c>
      <c r="C368" s="3">
        <f t="shared" ca="1" si="10"/>
        <v>-6.906782752498784E-3</v>
      </c>
      <c r="D368">
        <f t="shared" ca="1" si="9"/>
        <v>774.42367346938795</v>
      </c>
    </row>
    <row r="369" spans="1:4" x14ac:dyDescent="0.25">
      <c r="A369" s="2">
        <f ca="1">IFERROR(__xludf.DUMMYFUNCTION("""COMPUTED_VALUE"""),44916.6458333333)</f>
        <v>44916.645833333299</v>
      </c>
      <c r="B369" s="1">
        <f ca="1">IFERROR(__xludf.DUMMYFUNCTION("""COMPUTED_VALUE"""),808.8)</f>
        <v>808.8</v>
      </c>
      <c r="C369" s="3">
        <f t="shared" ca="1" si="10"/>
        <v>-9.6730745683850754E-3</v>
      </c>
      <c r="D369">
        <f t="shared" ca="1" si="9"/>
        <v>776.49102040816342</v>
      </c>
    </row>
    <row r="370" spans="1:4" x14ac:dyDescent="0.25">
      <c r="A370" s="2">
        <f ca="1">IFERROR(__xludf.DUMMYFUNCTION("""COMPUTED_VALUE"""),44917.6458333333)</f>
        <v>44917.645833333299</v>
      </c>
      <c r="B370" s="1">
        <f ca="1">IFERROR(__xludf.DUMMYFUNCTION("""COMPUTED_VALUE"""),806.03)</f>
        <v>806.03</v>
      </c>
      <c r="C370" s="3">
        <f t="shared" ca="1" si="10"/>
        <v>-3.4248269040553685E-3</v>
      </c>
      <c r="D370">
        <f t="shared" ca="1" si="9"/>
        <v>778.55836734693889</v>
      </c>
    </row>
    <row r="371" spans="1:4" x14ac:dyDescent="0.25">
      <c r="A371" s="2">
        <f ca="1">IFERROR(__xludf.DUMMYFUNCTION("""COMPUTED_VALUE"""),44918.6458333333)</f>
        <v>44918.645833333299</v>
      </c>
      <c r="B371" s="1">
        <f ca="1">IFERROR(__xludf.DUMMYFUNCTION("""COMPUTED_VALUE"""),798.83)</f>
        <v>798.83</v>
      </c>
      <c r="C371" s="3">
        <f t="shared" ca="1" si="10"/>
        <v>-8.9326699998758512E-3</v>
      </c>
      <c r="D371">
        <f t="shared" ca="1" si="9"/>
        <v>780.71551020408174</v>
      </c>
    </row>
    <row r="372" spans="1:4" x14ac:dyDescent="0.25">
      <c r="A372" s="2">
        <f ca="1">IFERROR(__xludf.DUMMYFUNCTION("""COMPUTED_VALUE"""),44921.6458333333)</f>
        <v>44921.645833333299</v>
      </c>
      <c r="B372" s="1">
        <f ca="1">IFERROR(__xludf.DUMMYFUNCTION("""COMPUTED_VALUE"""),814.73)</f>
        <v>814.73</v>
      </c>
      <c r="C372" s="3">
        <f t="shared" ca="1" si="10"/>
        <v>1.9904109760524737E-2</v>
      </c>
      <c r="D372">
        <f t="shared" ref="D372:D435" ca="1" si="11">AVERAGE(B323:B371)</f>
        <v>782.63244897959214</v>
      </c>
    </row>
    <row r="373" spans="1:4" x14ac:dyDescent="0.25">
      <c r="A373" s="2">
        <f ca="1">IFERROR(__xludf.DUMMYFUNCTION("""COMPUTED_VALUE"""),44922.6458333333)</f>
        <v>44922.645833333299</v>
      </c>
      <c r="B373" s="1">
        <f ca="1">IFERROR(__xludf.DUMMYFUNCTION("""COMPUTED_VALUE"""),815.55)</f>
        <v>815.55</v>
      </c>
      <c r="C373" s="3">
        <f t="shared" ca="1" si="10"/>
        <v>1.0064684005743453E-3</v>
      </c>
      <c r="D373">
        <f t="shared" ca="1" si="11"/>
        <v>785.03918367346967</v>
      </c>
    </row>
    <row r="374" spans="1:4" x14ac:dyDescent="0.25">
      <c r="A374" s="2">
        <f ca="1">IFERROR(__xludf.DUMMYFUNCTION("""COMPUTED_VALUE"""),44923.6458333333)</f>
        <v>44923.645833333299</v>
      </c>
      <c r="B374" s="1">
        <f ca="1">IFERROR(__xludf.DUMMYFUNCTION("""COMPUTED_VALUE"""),814.9)</f>
        <v>814.9</v>
      </c>
      <c r="C374" s="3">
        <f t="shared" ca="1" si="10"/>
        <v>-7.9700815400647086E-4</v>
      </c>
      <c r="D374">
        <f t="shared" ca="1" si="11"/>
        <v>786.99938775510236</v>
      </c>
    </row>
    <row r="375" spans="1:4" x14ac:dyDescent="0.25">
      <c r="A375" s="2">
        <f ca="1">IFERROR(__xludf.DUMMYFUNCTION("""COMPUTED_VALUE"""),44924.6458333333)</f>
        <v>44924.645833333299</v>
      </c>
      <c r="B375" s="1">
        <f ca="1">IFERROR(__xludf.DUMMYFUNCTION("""COMPUTED_VALUE"""),820.65)</f>
        <v>820.65</v>
      </c>
      <c r="C375" s="3">
        <f t="shared" ca="1" si="10"/>
        <v>7.0560805006749296E-3</v>
      </c>
      <c r="D375">
        <f t="shared" ca="1" si="11"/>
        <v>788.86918367346971</v>
      </c>
    </row>
    <row r="376" spans="1:4" x14ac:dyDescent="0.25">
      <c r="A376" s="2">
        <f ca="1">IFERROR(__xludf.DUMMYFUNCTION("""COMPUTED_VALUE"""),44925.6458333333)</f>
        <v>44925.645833333299</v>
      </c>
      <c r="B376" s="1">
        <f ca="1">IFERROR(__xludf.DUMMYFUNCTION("""COMPUTED_VALUE"""),814.08)</f>
        <v>814.08</v>
      </c>
      <c r="C376" s="3">
        <f t="shared" ca="1" si="10"/>
        <v>-8.0058490221165367E-3</v>
      </c>
      <c r="D376">
        <f t="shared" ca="1" si="11"/>
        <v>790.88387755102099</v>
      </c>
    </row>
    <row r="377" spans="1:4" x14ac:dyDescent="0.25">
      <c r="A377" s="2">
        <f ca="1">IFERROR(__xludf.DUMMYFUNCTION("""COMPUTED_VALUE"""),44928.6458333333)</f>
        <v>44928.645833333299</v>
      </c>
      <c r="B377" s="1">
        <f ca="1">IFERROR(__xludf.DUMMYFUNCTION("""COMPUTED_VALUE"""),814.35)</f>
        <v>814.35</v>
      </c>
      <c r="C377" s="3">
        <f t="shared" ca="1" si="10"/>
        <v>3.3166273584903425E-4</v>
      </c>
      <c r="D377">
        <f t="shared" ca="1" si="11"/>
        <v>792.61346938775569</v>
      </c>
    </row>
    <row r="378" spans="1:4" x14ac:dyDescent="0.25">
      <c r="A378" s="2">
        <f ca="1">IFERROR(__xludf.DUMMYFUNCTION("""COMPUTED_VALUE"""),44929.6458333333)</f>
        <v>44929.645833333299</v>
      </c>
      <c r="B378" s="1">
        <f ca="1">IFERROR(__xludf.DUMMYFUNCTION("""COMPUTED_VALUE"""),819.68)</f>
        <v>819.68</v>
      </c>
      <c r="C378" s="3">
        <f t="shared" ca="1" si="10"/>
        <v>6.5450973168784026E-3</v>
      </c>
      <c r="D378">
        <f t="shared" ca="1" si="11"/>
        <v>794.44918367346986</v>
      </c>
    </row>
    <row r="379" spans="1:4" x14ac:dyDescent="0.25">
      <c r="A379" s="2">
        <f ca="1">IFERROR(__xludf.DUMMYFUNCTION("""COMPUTED_VALUE"""),44930.6458333333)</f>
        <v>44930.645833333299</v>
      </c>
      <c r="B379" s="1">
        <f ca="1">IFERROR(__xludf.DUMMYFUNCTION("""COMPUTED_VALUE"""),805.03)</f>
        <v>805.03</v>
      </c>
      <c r="C379" s="3">
        <f t="shared" ca="1" si="10"/>
        <v>-1.7872828420847132E-2</v>
      </c>
      <c r="D379">
        <f t="shared" ca="1" si="11"/>
        <v>796.4977551020412</v>
      </c>
    </row>
    <row r="380" spans="1:4" x14ac:dyDescent="0.25">
      <c r="A380" s="2">
        <f ca="1">IFERROR(__xludf.DUMMYFUNCTION("""COMPUTED_VALUE"""),44931.6458333333)</f>
        <v>44931.645833333299</v>
      </c>
      <c r="B380" s="1">
        <f ca="1">IFERROR(__xludf.DUMMYFUNCTION("""COMPUTED_VALUE"""),799.85)</f>
        <v>799.85</v>
      </c>
      <c r="C380" s="3">
        <f t="shared" ca="1" si="10"/>
        <v>-6.4345428120690532E-3</v>
      </c>
      <c r="D380">
        <f t="shared" ca="1" si="11"/>
        <v>798.12183673469417</v>
      </c>
    </row>
    <row r="381" spans="1:4" x14ac:dyDescent="0.25">
      <c r="A381" s="2">
        <f ca="1">IFERROR(__xludf.DUMMYFUNCTION("""COMPUTED_VALUE"""),44932.6458333333)</f>
        <v>44932.645833333299</v>
      </c>
      <c r="B381" s="1">
        <f ca="1">IFERROR(__xludf.DUMMYFUNCTION("""COMPUTED_VALUE"""),797.2)</f>
        <v>797.2</v>
      </c>
      <c r="C381" s="3">
        <f t="shared" ca="1" si="10"/>
        <v>-3.3131212102268889E-3</v>
      </c>
      <c r="D381">
        <f t="shared" ca="1" si="11"/>
        <v>799.60448979591854</v>
      </c>
    </row>
    <row r="382" spans="1:4" x14ac:dyDescent="0.25">
      <c r="A382" s="2">
        <f ca="1">IFERROR(__xludf.DUMMYFUNCTION("""COMPUTED_VALUE"""),44935.6458333333)</f>
        <v>44935.645833333299</v>
      </c>
      <c r="B382" s="1">
        <f ca="1">IFERROR(__xludf.DUMMYFUNCTION("""COMPUTED_VALUE"""),798.75)</f>
        <v>798.75</v>
      </c>
      <c r="C382" s="3">
        <f t="shared" ca="1" si="10"/>
        <v>1.9443050677370227E-3</v>
      </c>
      <c r="D382">
        <f t="shared" ca="1" si="11"/>
        <v>800.98918367346937</v>
      </c>
    </row>
    <row r="383" spans="1:4" x14ac:dyDescent="0.25">
      <c r="A383" s="2">
        <f ca="1">IFERROR(__xludf.DUMMYFUNCTION("""COMPUTED_VALUE"""),44936.6458333333)</f>
        <v>44936.645833333299</v>
      </c>
      <c r="B383" s="1">
        <f ca="1">IFERROR(__xludf.DUMMYFUNCTION("""COMPUTED_VALUE"""),784.15)</f>
        <v>784.15</v>
      </c>
      <c r="C383" s="3">
        <f t="shared" ca="1" si="10"/>
        <v>-1.8278560250391266E-2</v>
      </c>
      <c r="D383">
        <f t="shared" ca="1" si="11"/>
        <v>802.01775510204084</v>
      </c>
    </row>
    <row r="384" spans="1:4" x14ac:dyDescent="0.25">
      <c r="A384" s="2">
        <f ca="1">IFERROR(__xludf.DUMMYFUNCTION("""COMPUTED_VALUE"""),44937.6458333333)</f>
        <v>44937.645833333299</v>
      </c>
      <c r="B384" s="1">
        <f ca="1">IFERROR(__xludf.DUMMYFUNCTION("""COMPUTED_VALUE"""),795.45)</f>
        <v>795.45</v>
      </c>
      <c r="C384" s="3">
        <f t="shared" ca="1" si="10"/>
        <v>1.4410508193585499E-2</v>
      </c>
      <c r="D384">
        <f t="shared" ca="1" si="11"/>
        <v>802.57938775510218</v>
      </c>
    </row>
    <row r="385" spans="1:4" x14ac:dyDescent="0.25">
      <c r="A385" s="2">
        <f ca="1">IFERROR(__xludf.DUMMYFUNCTION("""COMPUTED_VALUE"""),44938.6458333333)</f>
        <v>44938.645833333299</v>
      </c>
      <c r="B385" s="1">
        <f ca="1">IFERROR(__xludf.DUMMYFUNCTION("""COMPUTED_VALUE"""),799.7)</f>
        <v>799.7</v>
      </c>
      <c r="C385" s="3">
        <f t="shared" ca="1" si="10"/>
        <v>5.3428876736438492E-3</v>
      </c>
      <c r="D385">
        <f t="shared" ca="1" si="11"/>
        <v>803.3620408163265</v>
      </c>
    </row>
    <row r="386" spans="1:4" x14ac:dyDescent="0.25">
      <c r="A386" s="2">
        <f ca="1">IFERROR(__xludf.DUMMYFUNCTION("""COMPUTED_VALUE"""),44939.6458333333)</f>
        <v>44939.645833333299</v>
      </c>
      <c r="B386" s="1">
        <f ca="1">IFERROR(__xludf.DUMMYFUNCTION("""COMPUTED_VALUE"""),800.33)</f>
        <v>800.33</v>
      </c>
      <c r="C386" s="3">
        <f t="shared" ca="1" si="10"/>
        <v>7.8779542328372566E-4</v>
      </c>
      <c r="D386">
        <f t="shared" ca="1" si="11"/>
        <v>804.29918367346943</v>
      </c>
    </row>
    <row r="387" spans="1:4" x14ac:dyDescent="0.25">
      <c r="A387" s="2">
        <f ca="1">IFERROR(__xludf.DUMMYFUNCTION("""COMPUTED_VALUE"""),44942.6458333333)</f>
        <v>44942.645833333299</v>
      </c>
      <c r="B387" s="1">
        <f ca="1">IFERROR(__xludf.DUMMYFUNCTION("""COMPUTED_VALUE"""),792.65)</f>
        <v>792.65</v>
      </c>
      <c r="C387" s="3">
        <f t="shared" ca="1" si="10"/>
        <v>-9.5960416328265373E-3</v>
      </c>
      <c r="D387">
        <f t="shared" ca="1" si="11"/>
        <v>805.35530612244895</v>
      </c>
    </row>
    <row r="388" spans="1:4" x14ac:dyDescent="0.25">
      <c r="A388" s="2">
        <f ca="1">IFERROR(__xludf.DUMMYFUNCTION("""COMPUTED_VALUE"""),44943.6458333333)</f>
        <v>44943.645833333299</v>
      </c>
      <c r="B388" s="1">
        <f ca="1">IFERROR(__xludf.DUMMYFUNCTION("""COMPUTED_VALUE"""),804.45)</f>
        <v>804.45</v>
      </c>
      <c r="C388" s="3">
        <f t="shared" ref="C388:C451" ca="1" si="12">(B388-B387)/B387</f>
        <v>1.4886772219769216E-2</v>
      </c>
      <c r="D388">
        <f t="shared" ca="1" si="11"/>
        <v>806.13591836734702</v>
      </c>
    </row>
    <row r="389" spans="1:4" x14ac:dyDescent="0.25">
      <c r="A389" s="2">
        <f ca="1">IFERROR(__xludf.DUMMYFUNCTION("""COMPUTED_VALUE"""),44944.6458333333)</f>
        <v>44944.645833333299</v>
      </c>
      <c r="B389" s="1">
        <f ca="1">IFERROR(__xludf.DUMMYFUNCTION("""COMPUTED_VALUE"""),818.65)</f>
        <v>818.65</v>
      </c>
      <c r="C389" s="3">
        <f t="shared" ca="1" si="12"/>
        <v>1.765181179687977E-2</v>
      </c>
      <c r="D389">
        <f t="shared" ca="1" si="11"/>
        <v>807.16183673469391</v>
      </c>
    </row>
    <row r="390" spans="1:4" x14ac:dyDescent="0.25">
      <c r="A390" s="2">
        <f ca="1">IFERROR(__xludf.DUMMYFUNCTION("""COMPUTED_VALUE"""),44945.6458333333)</f>
        <v>44945.645833333299</v>
      </c>
      <c r="B390" s="1">
        <f ca="1">IFERROR(__xludf.DUMMYFUNCTION("""COMPUTED_VALUE"""),822.05)</f>
        <v>822.05</v>
      </c>
      <c r="C390" s="3">
        <f t="shared" ca="1" si="12"/>
        <v>4.1531790142307181E-3</v>
      </c>
      <c r="D390">
        <f t="shared" ca="1" si="11"/>
        <v>808.31020408163272</v>
      </c>
    </row>
    <row r="391" spans="1:4" x14ac:dyDescent="0.25">
      <c r="A391" s="2">
        <f ca="1">IFERROR(__xludf.DUMMYFUNCTION("""COMPUTED_VALUE"""),44946.6458333333)</f>
        <v>44946.645833333299</v>
      </c>
      <c r="B391" s="1">
        <f ca="1">IFERROR(__xludf.DUMMYFUNCTION("""COMPUTED_VALUE"""),830.48)</f>
        <v>830.48</v>
      </c>
      <c r="C391" s="3">
        <f t="shared" ca="1" si="12"/>
        <v>1.0254850678182671E-2</v>
      </c>
      <c r="D391">
        <f t="shared" ca="1" si="11"/>
        <v>808.64632653061233</v>
      </c>
    </row>
    <row r="392" spans="1:4" x14ac:dyDescent="0.25">
      <c r="A392" s="2">
        <f ca="1">IFERROR(__xludf.DUMMYFUNCTION("""COMPUTED_VALUE"""),44949.6458333333)</f>
        <v>44949.645833333299</v>
      </c>
      <c r="B392" s="1">
        <f ca="1">IFERROR(__xludf.DUMMYFUNCTION("""COMPUTED_VALUE"""),836.55)</f>
        <v>836.55</v>
      </c>
      <c r="C392" s="3">
        <f t="shared" ca="1" si="12"/>
        <v>7.3090261053847605E-3</v>
      </c>
      <c r="D392">
        <f t="shared" ca="1" si="11"/>
        <v>809.11469387755108</v>
      </c>
    </row>
    <row r="393" spans="1:4" x14ac:dyDescent="0.25">
      <c r="A393" s="2">
        <f ca="1">IFERROR(__xludf.DUMMYFUNCTION("""COMPUTED_VALUE"""),44950.6458333333)</f>
        <v>44950.645833333299</v>
      </c>
      <c r="B393" s="1">
        <f ca="1">IFERROR(__xludf.DUMMYFUNCTION("""COMPUTED_VALUE"""),847.75)</f>
        <v>847.75</v>
      </c>
      <c r="C393" s="3">
        <f t="shared" ca="1" si="12"/>
        <v>1.3388321080628828E-2</v>
      </c>
      <c r="D393">
        <f t="shared" ca="1" si="11"/>
        <v>809.66673469387786</v>
      </c>
    </row>
    <row r="394" spans="1:4" x14ac:dyDescent="0.25">
      <c r="A394" s="2">
        <f ca="1">IFERROR(__xludf.DUMMYFUNCTION("""COMPUTED_VALUE"""),44951.6458333333)</f>
        <v>44951.645833333299</v>
      </c>
      <c r="B394" s="1">
        <f ca="1">IFERROR(__xludf.DUMMYFUNCTION("""COMPUTED_VALUE"""),824.33)</f>
        <v>824.33</v>
      </c>
      <c r="C394" s="3">
        <f t="shared" ca="1" si="12"/>
        <v>-2.7626069006192817E-2</v>
      </c>
      <c r="D394">
        <f t="shared" ca="1" si="11"/>
        <v>810.305510204082</v>
      </c>
    </row>
    <row r="395" spans="1:4" x14ac:dyDescent="0.25">
      <c r="A395" s="2">
        <f ca="1">IFERROR(__xludf.DUMMYFUNCTION("""COMPUTED_VALUE"""),44953.6458333333)</f>
        <v>44953.645833333299</v>
      </c>
      <c r="B395" s="1">
        <f ca="1">IFERROR(__xludf.DUMMYFUNCTION("""COMPUTED_VALUE"""),807.9)</f>
        <v>807.9</v>
      </c>
      <c r="C395" s="3">
        <f t="shared" ca="1" si="12"/>
        <v>-1.9931338177671641E-2</v>
      </c>
      <c r="D395">
        <f t="shared" ca="1" si="11"/>
        <v>810.6167346938779</v>
      </c>
    </row>
    <row r="396" spans="1:4" x14ac:dyDescent="0.25">
      <c r="A396" s="2">
        <f ca="1">IFERROR(__xludf.DUMMYFUNCTION("""COMPUTED_VALUE"""),44956.6458333333)</f>
        <v>44956.645833333299</v>
      </c>
      <c r="B396" s="1">
        <f ca="1">IFERROR(__xludf.DUMMYFUNCTION("""COMPUTED_VALUE"""),807.08)</f>
        <v>807.08</v>
      </c>
      <c r="C396" s="3">
        <f t="shared" ca="1" si="12"/>
        <v>-1.0149771011262983E-3</v>
      </c>
      <c r="D396">
        <f t="shared" ca="1" si="11"/>
        <v>810.6361224489799</v>
      </c>
    </row>
    <row r="397" spans="1:4" x14ac:dyDescent="0.25">
      <c r="A397" s="2">
        <f ca="1">IFERROR(__xludf.DUMMYFUNCTION("""COMPUTED_VALUE"""),44957.6458333333)</f>
        <v>44957.645833333299</v>
      </c>
      <c r="B397" s="1">
        <f ca="1">IFERROR(__xludf.DUMMYFUNCTION("""COMPUTED_VALUE"""),801.75)</f>
        <v>801.75</v>
      </c>
      <c r="C397" s="3">
        <f t="shared" ca="1" si="12"/>
        <v>-6.6040541210289445E-3</v>
      </c>
      <c r="D397">
        <f t="shared" ca="1" si="11"/>
        <v>810.8075510204086</v>
      </c>
    </row>
    <row r="398" spans="1:4" x14ac:dyDescent="0.25">
      <c r="A398" s="2">
        <f ca="1">IFERROR(__xludf.DUMMYFUNCTION("""COMPUTED_VALUE"""),44958.6458333333)</f>
        <v>44958.645833333299</v>
      </c>
      <c r="B398" s="1">
        <f ca="1">IFERROR(__xludf.DUMMYFUNCTION("""COMPUTED_VALUE"""),813.78)</f>
        <v>813.78</v>
      </c>
      <c r="C398" s="3">
        <f t="shared" ca="1" si="12"/>
        <v>1.5004677268475177E-2</v>
      </c>
      <c r="D398">
        <f t="shared" ca="1" si="11"/>
        <v>810.89428571428618</v>
      </c>
    </row>
    <row r="399" spans="1:4" x14ac:dyDescent="0.25">
      <c r="A399" s="2">
        <f ca="1">IFERROR(__xludf.DUMMYFUNCTION("""COMPUTED_VALUE"""),44959.6458333333)</f>
        <v>44959.645833333299</v>
      </c>
      <c r="B399" s="1">
        <f ca="1">IFERROR(__xludf.DUMMYFUNCTION("""COMPUTED_VALUE"""),801.68)</f>
        <v>801.68</v>
      </c>
      <c r="C399" s="3">
        <f t="shared" ca="1" si="12"/>
        <v>-1.4868883482022196E-2</v>
      </c>
      <c r="D399">
        <f t="shared" ca="1" si="11"/>
        <v>811.18408163265349</v>
      </c>
    </row>
    <row r="400" spans="1:4" x14ac:dyDescent="0.25">
      <c r="A400" s="2">
        <f ca="1">IFERROR(__xludf.DUMMYFUNCTION("""COMPUTED_VALUE"""),44960.6458333333)</f>
        <v>44960.645833333299</v>
      </c>
      <c r="B400" s="1">
        <f ca="1">IFERROR(__xludf.DUMMYFUNCTION("""COMPUTED_VALUE"""),829.4)</f>
        <v>829.4</v>
      </c>
      <c r="C400" s="3">
        <f t="shared" ca="1" si="12"/>
        <v>3.4577387486278852E-2</v>
      </c>
      <c r="D400">
        <f t="shared" ca="1" si="11"/>
        <v>810.96163265306154</v>
      </c>
    </row>
    <row r="401" spans="1:4" x14ac:dyDescent="0.25">
      <c r="A401" s="2">
        <f ca="1">IFERROR(__xludf.DUMMYFUNCTION("""COMPUTED_VALUE"""),44963.6458333333)</f>
        <v>44963.645833333299</v>
      </c>
      <c r="B401" s="1">
        <f ca="1">IFERROR(__xludf.DUMMYFUNCTION("""COMPUTED_VALUE"""),825.88)</f>
        <v>825.88</v>
      </c>
      <c r="C401" s="3">
        <f t="shared" ca="1" si="12"/>
        <v>-4.2440318302387047E-3</v>
      </c>
      <c r="D401">
        <f t="shared" ca="1" si="11"/>
        <v>811.38142857142873</v>
      </c>
    </row>
    <row r="402" spans="1:4" x14ac:dyDescent="0.25">
      <c r="A402" s="2">
        <f ca="1">IFERROR(__xludf.DUMMYFUNCTION("""COMPUTED_VALUE"""),44964.6458333333)</f>
        <v>44964.645833333299</v>
      </c>
      <c r="B402" s="1">
        <f ca="1">IFERROR(__xludf.DUMMYFUNCTION("""COMPUTED_VALUE"""),827.1)</f>
        <v>827.1</v>
      </c>
      <c r="C402" s="3">
        <f t="shared" ca="1" si="12"/>
        <v>1.4772121857897361E-3</v>
      </c>
      <c r="D402">
        <f t="shared" ca="1" si="11"/>
        <v>811.90693877551041</v>
      </c>
    </row>
    <row r="403" spans="1:4" x14ac:dyDescent="0.25">
      <c r="A403" s="2">
        <f ca="1">IFERROR(__xludf.DUMMYFUNCTION("""COMPUTED_VALUE"""),44965.6458333333)</f>
        <v>44965.645833333299</v>
      </c>
      <c r="B403" s="1">
        <f ca="1">IFERROR(__xludf.DUMMYFUNCTION("""COMPUTED_VALUE"""),827)</f>
        <v>827</v>
      </c>
      <c r="C403" s="3">
        <f t="shared" ca="1" si="12"/>
        <v>-1.2090436464759126E-4</v>
      </c>
      <c r="D403">
        <f t="shared" ca="1" si="11"/>
        <v>812.48183673469384</v>
      </c>
    </row>
    <row r="404" spans="1:4" x14ac:dyDescent="0.25">
      <c r="A404" s="2">
        <f ca="1">IFERROR(__xludf.DUMMYFUNCTION("""COMPUTED_VALUE"""),44966.6458333333)</f>
        <v>44966.645833333299</v>
      </c>
      <c r="B404" s="1">
        <f ca="1">IFERROR(__xludf.DUMMYFUNCTION("""COMPUTED_VALUE"""),825.28)</f>
        <v>825.28</v>
      </c>
      <c r="C404" s="3">
        <f t="shared" ca="1" si="12"/>
        <v>-2.079806529625184E-3</v>
      </c>
      <c r="D404">
        <f t="shared" ca="1" si="11"/>
        <v>812.94653061224494</v>
      </c>
    </row>
    <row r="405" spans="1:4" x14ac:dyDescent="0.25">
      <c r="A405" s="2">
        <f ca="1">IFERROR(__xludf.DUMMYFUNCTION("""COMPUTED_VALUE"""),44967.6458333333)</f>
        <v>44967.645833333299</v>
      </c>
      <c r="B405" s="1">
        <f ca="1">IFERROR(__xludf.DUMMYFUNCTION("""COMPUTED_VALUE"""),828.55)</f>
        <v>828.55</v>
      </c>
      <c r="C405" s="3">
        <f t="shared" ca="1" si="12"/>
        <v>3.9622915858859801E-3</v>
      </c>
      <c r="D405">
        <f t="shared" ca="1" si="11"/>
        <v>813.26346938775521</v>
      </c>
    </row>
    <row r="406" spans="1:4" x14ac:dyDescent="0.25">
      <c r="A406" s="2">
        <f ca="1">IFERROR(__xludf.DUMMYFUNCTION("""COMPUTED_VALUE"""),44970.6458333333)</f>
        <v>44970.645833333299</v>
      </c>
      <c r="B406" s="1">
        <f ca="1">IFERROR(__xludf.DUMMYFUNCTION("""COMPUTED_VALUE"""),829.18)</f>
        <v>829.18</v>
      </c>
      <c r="C406" s="3">
        <f t="shared" ca="1" si="12"/>
        <v>7.6036449218513729E-4</v>
      </c>
      <c r="D406">
        <f t="shared" ca="1" si="11"/>
        <v>813.77367346938786</v>
      </c>
    </row>
    <row r="407" spans="1:4" x14ac:dyDescent="0.25">
      <c r="A407" s="2">
        <f ca="1">IFERROR(__xludf.DUMMYFUNCTION("""COMPUTED_VALUE"""),44971.6458333333)</f>
        <v>44971.645833333299</v>
      </c>
      <c r="B407" s="1">
        <f ca="1">IFERROR(__xludf.DUMMYFUNCTION("""COMPUTED_VALUE"""),836.85)</f>
        <v>836.85</v>
      </c>
      <c r="C407" s="3">
        <f t="shared" ca="1" si="12"/>
        <v>9.2501025109144857E-3</v>
      </c>
      <c r="D407">
        <f t="shared" ca="1" si="11"/>
        <v>814.23693877551034</v>
      </c>
    </row>
    <row r="408" spans="1:4" x14ac:dyDescent="0.25">
      <c r="A408" s="2">
        <f ca="1">IFERROR(__xludf.DUMMYFUNCTION("""COMPUTED_VALUE"""),44972.6458333333)</f>
        <v>44972.645833333299</v>
      </c>
      <c r="B408" s="1">
        <f ca="1">IFERROR(__xludf.DUMMYFUNCTION("""COMPUTED_VALUE"""),835.15)</f>
        <v>835.15</v>
      </c>
      <c r="C408" s="3">
        <f t="shared" ca="1" si="12"/>
        <v>-2.0314273764713456E-3</v>
      </c>
      <c r="D408">
        <f t="shared" ca="1" si="11"/>
        <v>814.87510204081639</v>
      </c>
    </row>
    <row r="409" spans="1:4" x14ac:dyDescent="0.25">
      <c r="A409" s="2">
        <f ca="1">IFERROR(__xludf.DUMMYFUNCTION("""COMPUTED_VALUE"""),44973.6458333333)</f>
        <v>44973.645833333299</v>
      </c>
      <c r="B409" s="1">
        <f ca="1">IFERROR(__xludf.DUMMYFUNCTION("""COMPUTED_VALUE"""),832.13)</f>
        <v>832.13</v>
      </c>
      <c r="C409" s="3">
        <f t="shared" ca="1" si="12"/>
        <v>-3.6161168652337687E-3</v>
      </c>
      <c r="D409">
        <f t="shared" ca="1" si="11"/>
        <v>815.48571428571449</v>
      </c>
    </row>
    <row r="410" spans="1:4" x14ac:dyDescent="0.25">
      <c r="A410" s="2">
        <f ca="1">IFERROR(__xludf.DUMMYFUNCTION("""COMPUTED_VALUE"""),44974.6458333333)</f>
        <v>44974.645833333299</v>
      </c>
      <c r="B410" s="1">
        <f ca="1">IFERROR(__xludf.DUMMYFUNCTION("""COMPUTED_VALUE"""),827.95)</f>
        <v>827.95</v>
      </c>
      <c r="C410" s="3">
        <f t="shared" ca="1" si="12"/>
        <v>-5.0232535781668131E-3</v>
      </c>
      <c r="D410">
        <f t="shared" ca="1" si="11"/>
        <v>815.94244897959197</v>
      </c>
    </row>
    <row r="411" spans="1:4" x14ac:dyDescent="0.25">
      <c r="A411" s="2">
        <f ca="1">IFERROR(__xludf.DUMMYFUNCTION("""COMPUTED_VALUE"""),44977.6458333333)</f>
        <v>44977.645833333299</v>
      </c>
      <c r="B411" s="1">
        <f ca="1">IFERROR(__xludf.DUMMYFUNCTION("""COMPUTED_VALUE"""),820.18)</f>
        <v>820.18</v>
      </c>
      <c r="C411" s="3">
        <f t="shared" ca="1" si="12"/>
        <v>-9.3846246754032189E-3</v>
      </c>
      <c r="D411">
        <f t="shared" ca="1" si="11"/>
        <v>816.19591836734719</v>
      </c>
    </row>
    <row r="412" spans="1:4" x14ac:dyDescent="0.25">
      <c r="A412" s="2">
        <f ca="1">IFERROR(__xludf.DUMMYFUNCTION("""COMPUTED_VALUE"""),44978.6458333333)</f>
        <v>44978.645833333299</v>
      </c>
      <c r="B412" s="1">
        <f ca="1">IFERROR(__xludf.DUMMYFUNCTION("""COMPUTED_VALUE"""),823.25)</f>
        <v>823.25</v>
      </c>
      <c r="C412" s="3">
        <f t="shared" ca="1" si="12"/>
        <v>3.7430807871443464E-3</v>
      </c>
      <c r="D412">
        <f t="shared" ca="1" si="11"/>
        <v>816.16122448979604</v>
      </c>
    </row>
    <row r="413" spans="1:4" x14ac:dyDescent="0.25">
      <c r="A413" s="2">
        <f ca="1">IFERROR(__xludf.DUMMYFUNCTION("""COMPUTED_VALUE"""),44979.6458333333)</f>
        <v>44979.645833333299</v>
      </c>
      <c r="B413" s="1">
        <f ca="1">IFERROR(__xludf.DUMMYFUNCTION("""COMPUTED_VALUE"""),807.1)</f>
        <v>807.1</v>
      </c>
      <c r="C413" s="3">
        <f t="shared" ca="1" si="12"/>
        <v>-1.9617370179167905E-2</v>
      </c>
      <c r="D413">
        <f t="shared" ca="1" si="11"/>
        <v>816.14285714285734</v>
      </c>
    </row>
    <row r="414" spans="1:4" x14ac:dyDescent="0.25">
      <c r="A414" s="2">
        <f ca="1">IFERROR(__xludf.DUMMYFUNCTION("""COMPUTED_VALUE"""),44980.6458333333)</f>
        <v>44980.645833333299</v>
      </c>
      <c r="B414" s="1">
        <f ca="1">IFERROR(__xludf.DUMMYFUNCTION("""COMPUTED_VALUE"""),801.63)</f>
        <v>801.63</v>
      </c>
      <c r="C414" s="3">
        <f t="shared" ca="1" si="12"/>
        <v>-6.7773510097881642E-3</v>
      </c>
      <c r="D414">
        <f t="shared" ca="1" si="11"/>
        <v>815.65244897959201</v>
      </c>
    </row>
    <row r="415" spans="1:4" x14ac:dyDescent="0.25">
      <c r="A415" s="2">
        <f ca="1">IFERROR(__xludf.DUMMYFUNCTION("""COMPUTED_VALUE"""),44981.6458333333)</f>
        <v>44981.645833333299</v>
      </c>
      <c r="B415" s="1">
        <f ca="1">IFERROR(__xludf.DUMMYFUNCTION("""COMPUTED_VALUE"""),794.48)</f>
        <v>794.48</v>
      </c>
      <c r="C415" s="3">
        <f t="shared" ca="1" si="12"/>
        <v>-8.9193268714992911E-3</v>
      </c>
      <c r="D415">
        <f t="shared" ca="1" si="11"/>
        <v>815.36122448979586</v>
      </c>
    </row>
    <row r="416" spans="1:4" x14ac:dyDescent="0.25">
      <c r="A416" s="2">
        <f ca="1">IFERROR(__xludf.DUMMYFUNCTION("""COMPUTED_VALUE"""),44984.6458333333)</f>
        <v>44984.645833333299</v>
      </c>
      <c r="B416" s="1">
        <f ca="1">IFERROR(__xludf.DUMMYFUNCTION("""COMPUTED_VALUE"""),796.45)</f>
        <v>796.45</v>
      </c>
      <c r="C416" s="3">
        <f t="shared" ca="1" si="12"/>
        <v>2.4796093041990074E-3</v>
      </c>
      <c r="D416">
        <f t="shared" ca="1" si="11"/>
        <v>814.84387755102034</v>
      </c>
    </row>
    <row r="417" spans="1:4" x14ac:dyDescent="0.25">
      <c r="A417" s="2">
        <f ca="1">IFERROR(__xludf.DUMMYFUNCTION("""COMPUTED_VALUE"""),44985.6458333333)</f>
        <v>44985.645833333299</v>
      </c>
      <c r="B417" s="1">
        <f ca="1">IFERROR(__xludf.DUMMYFUNCTION("""COMPUTED_VALUE"""),799.8)</f>
        <v>799.8</v>
      </c>
      <c r="C417" s="3">
        <f t="shared" ca="1" si="12"/>
        <v>4.2061648565508303E-3</v>
      </c>
      <c r="D417">
        <f t="shared" ca="1" si="11"/>
        <v>814.31469387755078</v>
      </c>
    </row>
    <row r="418" spans="1:4" x14ac:dyDescent="0.25">
      <c r="A418" s="2">
        <f ca="1">IFERROR(__xludf.DUMMYFUNCTION("""COMPUTED_VALUE"""),44986.6458333333)</f>
        <v>44986.645833333299</v>
      </c>
      <c r="B418" s="1">
        <f ca="1">IFERROR(__xludf.DUMMYFUNCTION("""COMPUTED_VALUE"""),799.03)</f>
        <v>799.03</v>
      </c>
      <c r="C418" s="3">
        <f t="shared" ca="1" si="12"/>
        <v>-9.627406851712701E-4</v>
      </c>
      <c r="D418">
        <f t="shared" ca="1" si="11"/>
        <v>813.96979591836725</v>
      </c>
    </row>
    <row r="419" spans="1:4" x14ac:dyDescent="0.25">
      <c r="A419" s="2">
        <f ca="1">IFERROR(__xludf.DUMMYFUNCTION("""COMPUTED_VALUE"""),44987.6458333333)</f>
        <v>44987.645833333299</v>
      </c>
      <c r="B419" s="1">
        <f ca="1">IFERROR(__xludf.DUMMYFUNCTION("""COMPUTED_VALUE"""),792.23)</f>
        <v>792.23</v>
      </c>
      <c r="C419" s="3">
        <f t="shared" ca="1" si="12"/>
        <v>-8.5103187614982596E-3</v>
      </c>
      <c r="D419">
        <f t="shared" ca="1" si="11"/>
        <v>813.7704081632653</v>
      </c>
    </row>
    <row r="420" spans="1:4" x14ac:dyDescent="0.25">
      <c r="A420" s="2">
        <f ca="1">IFERROR(__xludf.DUMMYFUNCTION("""COMPUTED_VALUE"""),44988.6458333333)</f>
        <v>44988.645833333299</v>
      </c>
      <c r="B420" s="1">
        <f ca="1">IFERROR(__xludf.DUMMYFUNCTION("""COMPUTED_VALUE"""),807.95)</f>
        <v>807.95</v>
      </c>
      <c r="C420" s="3">
        <f t="shared" ca="1" si="12"/>
        <v>1.9842722441715192E-2</v>
      </c>
      <c r="D420">
        <f t="shared" ca="1" si="11"/>
        <v>813.48877551020416</v>
      </c>
    </row>
    <row r="421" spans="1:4" x14ac:dyDescent="0.25">
      <c r="A421" s="2">
        <f ca="1">IFERROR(__xludf.DUMMYFUNCTION("""COMPUTED_VALUE"""),44991.6458333333)</f>
        <v>44991.645833333299</v>
      </c>
      <c r="B421" s="1">
        <f ca="1">IFERROR(__xludf.DUMMYFUNCTION("""COMPUTED_VALUE"""),813.65)</f>
        <v>813.65</v>
      </c>
      <c r="C421" s="3">
        <f t="shared" ca="1" si="12"/>
        <v>7.0548920106441385E-3</v>
      </c>
      <c r="D421">
        <f t="shared" ca="1" si="11"/>
        <v>813.6748979591838</v>
      </c>
    </row>
    <row r="422" spans="1:4" x14ac:dyDescent="0.25">
      <c r="A422" s="2">
        <f ca="1">IFERROR(__xludf.DUMMYFUNCTION("""COMPUTED_VALUE"""),44993.6458333333)</f>
        <v>44993.645833333299</v>
      </c>
      <c r="B422" s="1">
        <f ca="1">IFERROR(__xludf.DUMMYFUNCTION("""COMPUTED_VALUE"""),815.28)</f>
        <v>815.28</v>
      </c>
      <c r="C422" s="3">
        <f t="shared" ca="1" si="12"/>
        <v>2.0033183801388748E-3</v>
      </c>
      <c r="D422">
        <f t="shared" ca="1" si="11"/>
        <v>813.65285714285721</v>
      </c>
    </row>
    <row r="423" spans="1:4" x14ac:dyDescent="0.25">
      <c r="A423" s="2">
        <f ca="1">IFERROR(__xludf.DUMMYFUNCTION("""COMPUTED_VALUE"""),44994.6458333333)</f>
        <v>44994.645833333299</v>
      </c>
      <c r="B423" s="1">
        <f ca="1">IFERROR(__xludf.DUMMYFUNCTION("""COMPUTED_VALUE"""),815.35)</f>
        <v>815.35</v>
      </c>
      <c r="C423" s="3">
        <f t="shared" ca="1" si="12"/>
        <v>8.586007261315134E-5</v>
      </c>
      <c r="D423">
        <f t="shared" ca="1" si="11"/>
        <v>813.64734693877551</v>
      </c>
    </row>
    <row r="424" spans="1:4" x14ac:dyDescent="0.25">
      <c r="A424" s="2">
        <f ca="1">IFERROR(__xludf.DUMMYFUNCTION("""COMPUTED_VALUE"""),44995.6458333333)</f>
        <v>44995.645833333299</v>
      </c>
      <c r="B424" s="1">
        <f ca="1">IFERROR(__xludf.DUMMYFUNCTION("""COMPUTED_VALUE"""),794.33)</f>
        <v>794.33</v>
      </c>
      <c r="C424" s="3">
        <f t="shared" ca="1" si="12"/>
        <v>-2.578033973140367E-2</v>
      </c>
      <c r="D424">
        <f t="shared" ca="1" si="11"/>
        <v>813.65653061224486</v>
      </c>
    </row>
    <row r="425" spans="1:4" x14ac:dyDescent="0.25">
      <c r="A425" s="2">
        <f ca="1">IFERROR(__xludf.DUMMYFUNCTION("""COMPUTED_VALUE"""),44998.6458333333)</f>
        <v>44998.645833333299</v>
      </c>
      <c r="B425" s="1">
        <f ca="1">IFERROR(__xludf.DUMMYFUNCTION("""COMPUTED_VALUE"""),784.28)</f>
        <v>784.28</v>
      </c>
      <c r="C425" s="3">
        <f t="shared" ca="1" si="12"/>
        <v>-1.2652172270970589E-2</v>
      </c>
      <c r="D425">
        <f t="shared" ca="1" si="11"/>
        <v>813.11938775510203</v>
      </c>
    </row>
    <row r="426" spans="1:4" x14ac:dyDescent="0.25">
      <c r="A426" s="2">
        <f ca="1">IFERROR(__xludf.DUMMYFUNCTION("""COMPUTED_VALUE"""),44999.6458333333)</f>
        <v>44999.645833333299</v>
      </c>
      <c r="B426" s="1">
        <f ca="1">IFERROR(__xludf.DUMMYFUNCTION("""COMPUTED_VALUE"""),782.18)</f>
        <v>782.18</v>
      </c>
      <c r="C426" s="3">
        <f t="shared" ca="1" si="12"/>
        <v>-2.6776151374509395E-3</v>
      </c>
      <c r="D426">
        <f t="shared" ca="1" si="11"/>
        <v>812.51122448979584</v>
      </c>
    </row>
    <row r="427" spans="1:4" x14ac:dyDescent="0.25">
      <c r="A427" s="2">
        <f ca="1">IFERROR(__xludf.DUMMYFUNCTION("""COMPUTED_VALUE"""),45000.6458333333)</f>
        <v>45000.645833333299</v>
      </c>
      <c r="B427" s="1">
        <f ca="1">IFERROR(__xludf.DUMMYFUNCTION("""COMPUTED_VALUE"""),770.95)</f>
        <v>770.95</v>
      </c>
      <c r="C427" s="3">
        <f t="shared" ca="1" si="12"/>
        <v>-1.4357309059295694E-2</v>
      </c>
      <c r="D427">
        <f t="shared" ca="1" si="11"/>
        <v>811.85469387755097</v>
      </c>
    </row>
    <row r="428" spans="1:4" x14ac:dyDescent="0.25">
      <c r="A428" s="2">
        <f ca="1">IFERROR(__xludf.DUMMYFUNCTION("""COMPUTED_VALUE"""),45001.6458333333)</f>
        <v>45001.645833333299</v>
      </c>
      <c r="B428" s="1">
        <f ca="1">IFERROR(__xludf.DUMMYFUNCTION("""COMPUTED_VALUE"""),775.95)</f>
        <v>775.95</v>
      </c>
      <c r="C428" s="3">
        <f t="shared" ca="1" si="12"/>
        <v>6.4855048965561969E-3</v>
      </c>
      <c r="D428">
        <f t="shared" ca="1" si="11"/>
        <v>810.86020408163256</v>
      </c>
    </row>
    <row r="429" spans="1:4" x14ac:dyDescent="0.25">
      <c r="A429" s="2">
        <f ca="1">IFERROR(__xludf.DUMMYFUNCTION("""COMPUTED_VALUE"""),45002.6458333333)</f>
        <v>45002.645833333299</v>
      </c>
      <c r="B429" s="1">
        <f ca="1">IFERROR(__xludf.DUMMYFUNCTION("""COMPUTED_VALUE"""),786.33)</f>
        <v>786.33</v>
      </c>
      <c r="C429" s="3">
        <f t="shared" ca="1" si="12"/>
        <v>1.3377150589599839E-2</v>
      </c>
      <c r="D429">
        <f t="shared" ca="1" si="11"/>
        <v>810.26673469387742</v>
      </c>
    </row>
    <row r="430" spans="1:4" x14ac:dyDescent="0.25">
      <c r="A430" s="2">
        <f ca="1">IFERROR(__xludf.DUMMYFUNCTION("""COMPUTED_VALUE"""),45005.6458333333)</f>
        <v>45005.645833333299</v>
      </c>
      <c r="B430" s="1">
        <f ca="1">IFERROR(__xludf.DUMMYFUNCTION("""COMPUTED_VALUE"""),780.88)</f>
        <v>780.88</v>
      </c>
      <c r="C430" s="3">
        <f t="shared" ca="1" si="12"/>
        <v>-6.9309323057749868E-3</v>
      </c>
      <c r="D430">
        <f t="shared" ca="1" si="11"/>
        <v>809.99081632653042</v>
      </c>
    </row>
    <row r="431" spans="1:4" x14ac:dyDescent="0.25">
      <c r="A431" s="2">
        <f ca="1">IFERROR(__xludf.DUMMYFUNCTION("""COMPUTED_VALUE"""),45006.6458333333)</f>
        <v>45006.645833333299</v>
      </c>
      <c r="B431" s="1">
        <f ca="1">IFERROR(__xludf.DUMMYFUNCTION("""COMPUTED_VALUE"""),789.73)</f>
        <v>789.73</v>
      </c>
      <c r="C431" s="3">
        <f t="shared" ca="1" si="12"/>
        <v>1.1333367482839902E-2</v>
      </c>
      <c r="D431">
        <f t="shared" ca="1" si="11"/>
        <v>809.6577551020406</v>
      </c>
    </row>
    <row r="432" spans="1:4" x14ac:dyDescent="0.25">
      <c r="A432" s="2">
        <f ca="1">IFERROR(__xludf.DUMMYFUNCTION("""COMPUTED_VALUE"""),45007.6458333333)</f>
        <v>45007.645833333299</v>
      </c>
      <c r="B432" s="1">
        <f ca="1">IFERROR(__xludf.DUMMYFUNCTION("""COMPUTED_VALUE"""),787.9)</f>
        <v>787.9</v>
      </c>
      <c r="C432" s="3">
        <f t="shared" ca="1" si="12"/>
        <v>-2.3172476669241905E-3</v>
      </c>
      <c r="D432">
        <f t="shared" ca="1" si="11"/>
        <v>809.47367346938779</v>
      </c>
    </row>
    <row r="433" spans="1:4" x14ac:dyDescent="0.25">
      <c r="A433" s="2">
        <f ca="1">IFERROR(__xludf.DUMMYFUNCTION("""COMPUTED_VALUE"""),45008.6458333333)</f>
        <v>45008.645833333299</v>
      </c>
      <c r="B433" s="1">
        <f ca="1">IFERROR(__xludf.DUMMYFUNCTION("""COMPUTED_VALUE"""),781.58)</f>
        <v>781.58</v>
      </c>
      <c r="C433" s="3">
        <f t="shared" ca="1" si="12"/>
        <v>-8.0213225028556122E-3</v>
      </c>
      <c r="D433">
        <f t="shared" ca="1" si="11"/>
        <v>809.55020408163261</v>
      </c>
    </row>
    <row r="434" spans="1:4" x14ac:dyDescent="0.25">
      <c r="A434" s="2">
        <f ca="1">IFERROR(__xludf.DUMMYFUNCTION("""COMPUTED_VALUE"""),45009.6458333333)</f>
        <v>45009.645833333299</v>
      </c>
      <c r="B434" s="1">
        <f ca="1">IFERROR(__xludf.DUMMYFUNCTION("""COMPUTED_VALUE"""),780.33)</f>
        <v>780.33</v>
      </c>
      <c r="C434" s="3">
        <f t="shared" ca="1" si="12"/>
        <v>-1.5993244453542824E-3</v>
      </c>
      <c r="D434">
        <f t="shared" ca="1" si="11"/>
        <v>809.26714285714297</v>
      </c>
    </row>
    <row r="435" spans="1:4" x14ac:dyDescent="0.25">
      <c r="A435" s="2">
        <f ca="1">IFERROR(__xludf.DUMMYFUNCTION("""COMPUTED_VALUE"""),45012.6458333333)</f>
        <v>45012.645833333299</v>
      </c>
      <c r="B435" s="1">
        <f ca="1">IFERROR(__xludf.DUMMYFUNCTION("""COMPUTED_VALUE"""),783.73)</f>
        <v>783.73</v>
      </c>
      <c r="C435" s="3">
        <f t="shared" ca="1" si="12"/>
        <v>4.3571309574154228E-3</v>
      </c>
      <c r="D435">
        <f t="shared" ca="1" si="11"/>
        <v>808.87183673469394</v>
      </c>
    </row>
    <row r="436" spans="1:4" x14ac:dyDescent="0.25">
      <c r="A436" s="2">
        <f ca="1">IFERROR(__xludf.DUMMYFUNCTION("""COMPUTED_VALUE"""),45013.6458333333)</f>
        <v>45013.645833333299</v>
      </c>
      <c r="B436" s="1">
        <f ca="1">IFERROR(__xludf.DUMMYFUNCTION("""COMPUTED_VALUE"""),790.1)</f>
        <v>790.1</v>
      </c>
      <c r="C436" s="3">
        <f t="shared" ca="1" si="12"/>
        <v>8.1277991144909651E-3</v>
      </c>
      <c r="D436">
        <f t="shared" ref="D436:D499" ca="1" si="13">AVERAGE(B387:B435)</f>
        <v>808.53306122448987</v>
      </c>
    </row>
    <row r="437" spans="1:4" x14ac:dyDescent="0.25">
      <c r="A437" s="2">
        <f ca="1">IFERROR(__xludf.DUMMYFUNCTION("""COMPUTED_VALUE"""),45014.6458333333)</f>
        <v>45014.645833333299</v>
      </c>
      <c r="B437" s="1">
        <f ca="1">IFERROR(__xludf.DUMMYFUNCTION("""COMPUTED_VALUE"""),793.9)</f>
        <v>793.9</v>
      </c>
      <c r="C437" s="3">
        <f t="shared" ca="1" si="12"/>
        <v>4.8095177825591123E-3</v>
      </c>
      <c r="D437">
        <f t="shared" ca="1" si="13"/>
        <v>808.48102040816343</v>
      </c>
    </row>
    <row r="438" spans="1:4" x14ac:dyDescent="0.25">
      <c r="A438" s="2">
        <f ca="1">IFERROR(__xludf.DUMMYFUNCTION("""COMPUTED_VALUE"""),45016.6458333333)</f>
        <v>45016.645833333299</v>
      </c>
      <c r="B438" s="1">
        <f ca="1">IFERROR(__xludf.DUMMYFUNCTION("""COMPUTED_VALUE"""),804.78)</f>
        <v>804.78</v>
      </c>
      <c r="C438" s="3">
        <f t="shared" ca="1" si="12"/>
        <v>1.3704496788008559E-2</v>
      </c>
      <c r="D438">
        <f t="shared" ca="1" si="13"/>
        <v>808.26571428571447</v>
      </c>
    </row>
    <row r="439" spans="1:4" x14ac:dyDescent="0.25">
      <c r="A439" s="2">
        <f ca="1">IFERROR(__xludf.DUMMYFUNCTION("""COMPUTED_VALUE"""),45019.6458333333)</f>
        <v>45019.645833333299</v>
      </c>
      <c r="B439" s="1">
        <f ca="1">IFERROR(__xludf.DUMMYFUNCTION("""COMPUTED_VALUE"""),805.28)</f>
        <v>805.28</v>
      </c>
      <c r="C439" s="3">
        <f t="shared" ca="1" si="12"/>
        <v>6.2128780536295633E-4</v>
      </c>
      <c r="D439">
        <f t="shared" ca="1" si="13"/>
        <v>807.98265306122471</v>
      </c>
    </row>
    <row r="440" spans="1:4" x14ac:dyDescent="0.25">
      <c r="A440" s="2">
        <f ca="1">IFERROR(__xludf.DUMMYFUNCTION("""COMPUTED_VALUE"""),45021.6458333333)</f>
        <v>45021.645833333299</v>
      </c>
      <c r="B440" s="1">
        <f ca="1">IFERROR(__xludf.DUMMYFUNCTION("""COMPUTED_VALUE"""),826.88)</f>
        <v>826.88</v>
      </c>
      <c r="C440" s="3">
        <f t="shared" ca="1" si="12"/>
        <v>2.6822968408503903E-2</v>
      </c>
      <c r="D440">
        <f t="shared" ca="1" si="13"/>
        <v>807.64040816326542</v>
      </c>
    </row>
    <row r="441" spans="1:4" x14ac:dyDescent="0.25">
      <c r="A441" s="2">
        <f ca="1">IFERROR(__xludf.DUMMYFUNCTION("""COMPUTED_VALUE"""),45022.6458333333)</f>
        <v>45022.645833333299</v>
      </c>
      <c r="B441" s="1">
        <f ca="1">IFERROR(__xludf.DUMMYFUNCTION("""COMPUTED_VALUE"""),833.18)</f>
        <v>833.18</v>
      </c>
      <c r="C441" s="3">
        <f t="shared" ca="1" si="12"/>
        <v>7.619001547987561E-3</v>
      </c>
      <c r="D441">
        <f t="shared" ca="1" si="13"/>
        <v>807.56693877551038</v>
      </c>
    </row>
    <row r="442" spans="1:4" x14ac:dyDescent="0.25">
      <c r="A442" s="2">
        <f ca="1">IFERROR(__xludf.DUMMYFUNCTION("""COMPUTED_VALUE"""),45026.6458333333)</f>
        <v>45026.645833333299</v>
      </c>
      <c r="B442" s="1">
        <f ca="1">IFERROR(__xludf.DUMMYFUNCTION("""COMPUTED_VALUE"""),829.23)</f>
        <v>829.23</v>
      </c>
      <c r="C442" s="3">
        <f t="shared" ca="1" si="12"/>
        <v>-4.740872320506892E-3</v>
      </c>
      <c r="D442">
        <f t="shared" ca="1" si="13"/>
        <v>807.49816326530618</v>
      </c>
    </row>
    <row r="443" spans="1:4" x14ac:dyDescent="0.25">
      <c r="A443" s="2">
        <f ca="1">IFERROR(__xludf.DUMMYFUNCTION("""COMPUTED_VALUE"""),45027.6458333333)</f>
        <v>45027.645833333299</v>
      </c>
      <c r="B443" s="1">
        <f ca="1">IFERROR(__xludf.DUMMYFUNCTION("""COMPUTED_VALUE"""),831.65)</f>
        <v>831.65</v>
      </c>
      <c r="C443" s="3">
        <f t="shared" ca="1" si="12"/>
        <v>2.9183700541465687E-3</v>
      </c>
      <c r="D443">
        <f t="shared" ca="1" si="13"/>
        <v>807.12020408163278</v>
      </c>
    </row>
    <row r="444" spans="1:4" x14ac:dyDescent="0.25">
      <c r="A444" s="2">
        <f ca="1">IFERROR(__xludf.DUMMYFUNCTION("""COMPUTED_VALUE"""),45028.6458333333)</f>
        <v>45028.645833333299</v>
      </c>
      <c r="B444" s="1">
        <f ca="1">IFERROR(__xludf.DUMMYFUNCTION("""COMPUTED_VALUE"""),842.45)</f>
        <v>842.45</v>
      </c>
      <c r="C444" s="3">
        <f t="shared" ca="1" si="12"/>
        <v>1.2986232189021906E-2</v>
      </c>
      <c r="D444">
        <f t="shared" ca="1" si="13"/>
        <v>807.26959183673478</v>
      </c>
    </row>
    <row r="445" spans="1:4" x14ac:dyDescent="0.25">
      <c r="A445" s="2">
        <f ca="1">IFERROR(__xludf.DUMMYFUNCTION("""COMPUTED_VALUE"""),45029.6458333333)</f>
        <v>45029.645833333299</v>
      </c>
      <c r="B445" s="1">
        <f ca="1">IFERROR(__xludf.DUMMYFUNCTION("""COMPUTED_VALUE"""),846.23)</f>
        <v>846.23</v>
      </c>
      <c r="C445" s="3">
        <f t="shared" ca="1" si="12"/>
        <v>4.4869131699210307E-3</v>
      </c>
      <c r="D445">
        <f t="shared" ca="1" si="13"/>
        <v>807.9746938775512</v>
      </c>
    </row>
    <row r="446" spans="1:4" x14ac:dyDescent="0.25">
      <c r="A446" s="2">
        <f ca="1">IFERROR(__xludf.DUMMYFUNCTION("""COMPUTED_VALUE"""),45033.6458333333)</f>
        <v>45033.645833333299</v>
      </c>
      <c r="B446" s="1">
        <f ca="1">IFERROR(__xludf.DUMMYFUNCTION("""COMPUTED_VALUE"""),833.33)</f>
        <v>833.33</v>
      </c>
      <c r="C446" s="3">
        <f t="shared" ca="1" si="12"/>
        <v>-1.5244082578022497E-2</v>
      </c>
      <c r="D446">
        <f t="shared" ca="1" si="13"/>
        <v>808.77367346938786</v>
      </c>
    </row>
    <row r="447" spans="1:4" x14ac:dyDescent="0.25">
      <c r="A447" s="2">
        <f ca="1">IFERROR(__xludf.DUMMYFUNCTION("""COMPUTED_VALUE"""),45034.6458333333)</f>
        <v>45034.645833333299</v>
      </c>
      <c r="B447" s="1">
        <f ca="1">IFERROR(__xludf.DUMMYFUNCTION("""COMPUTED_VALUE"""),829.8)</f>
        <v>829.8</v>
      </c>
      <c r="C447" s="3">
        <f t="shared" ca="1" si="12"/>
        <v>-4.2360169440678799E-3</v>
      </c>
      <c r="D447">
        <f t="shared" ca="1" si="13"/>
        <v>809.41816326530636</v>
      </c>
    </row>
    <row r="448" spans="1:4" x14ac:dyDescent="0.25">
      <c r="A448" s="2">
        <f ca="1">IFERROR(__xludf.DUMMYFUNCTION("""COMPUTED_VALUE"""),45035.6458333333)</f>
        <v>45035.645833333299</v>
      </c>
      <c r="B448" s="1">
        <f ca="1">IFERROR(__xludf.DUMMYFUNCTION("""COMPUTED_VALUE"""),832.85)</f>
        <v>832.85</v>
      </c>
      <c r="C448" s="3">
        <f t="shared" ca="1" si="12"/>
        <v>3.6755844781875976E-3</v>
      </c>
      <c r="D448">
        <f t="shared" ca="1" si="13"/>
        <v>809.74510204081662</v>
      </c>
    </row>
    <row r="449" spans="1:4" x14ac:dyDescent="0.25">
      <c r="A449" s="2">
        <f ca="1">IFERROR(__xludf.DUMMYFUNCTION("""COMPUTED_VALUE"""),45036.6458333333)</f>
        <v>45036.645833333299</v>
      </c>
      <c r="B449" s="1">
        <f ca="1">IFERROR(__xludf.DUMMYFUNCTION("""COMPUTED_VALUE"""),835.95)</f>
        <v>835.95</v>
      </c>
      <c r="C449" s="3">
        <f t="shared" ca="1" si="12"/>
        <v>3.7221588521342652E-3</v>
      </c>
      <c r="D449">
        <f t="shared" ca="1" si="13"/>
        <v>810.38122448979618</v>
      </c>
    </row>
    <row r="450" spans="1:4" x14ac:dyDescent="0.25">
      <c r="A450" s="2">
        <f ca="1">IFERROR(__xludf.DUMMYFUNCTION("""COMPUTED_VALUE"""),45037.6458333333)</f>
        <v>45037.645833333299</v>
      </c>
      <c r="B450" s="1">
        <f ca="1">IFERROR(__xludf.DUMMYFUNCTION("""COMPUTED_VALUE"""),837.3)</f>
        <v>837.3</v>
      </c>
      <c r="C450" s="3">
        <f t="shared" ca="1" si="12"/>
        <v>1.6149291225550678E-3</v>
      </c>
      <c r="D450">
        <f t="shared" ca="1" si="13"/>
        <v>810.51489795918394</v>
      </c>
    </row>
    <row r="451" spans="1:4" x14ac:dyDescent="0.25">
      <c r="A451" s="2">
        <f ca="1">IFERROR(__xludf.DUMMYFUNCTION("""COMPUTED_VALUE"""),45040.6458333333)</f>
        <v>45040.645833333299</v>
      </c>
      <c r="B451" s="1">
        <f ca="1">IFERROR(__xludf.DUMMYFUNCTION("""COMPUTED_VALUE"""),844.08)</f>
        <v>844.08</v>
      </c>
      <c r="C451" s="3">
        <f t="shared" ca="1" si="12"/>
        <v>8.0974561089216367E-3</v>
      </c>
      <c r="D451">
        <f t="shared" ca="1" si="13"/>
        <v>810.74795918367374</v>
      </c>
    </row>
    <row r="452" spans="1:4" x14ac:dyDescent="0.25">
      <c r="A452" s="2">
        <f ca="1">IFERROR(__xludf.DUMMYFUNCTION("""COMPUTED_VALUE"""),45041.6458333333)</f>
        <v>45041.645833333299</v>
      </c>
      <c r="B452" s="1">
        <f ca="1">IFERROR(__xludf.DUMMYFUNCTION("""COMPUTED_VALUE"""),832.08)</f>
        <v>832.08</v>
      </c>
      <c r="C452" s="3">
        <f t="shared" ref="C452:C515" ca="1" si="14">(B452-B451)/B451</f>
        <v>-1.4216661927779357E-2</v>
      </c>
      <c r="D452">
        <f t="shared" ca="1" si="13"/>
        <v>811.09448979591866</v>
      </c>
    </row>
    <row r="453" spans="1:4" x14ac:dyDescent="0.25">
      <c r="A453" s="2">
        <f ca="1">IFERROR(__xludf.DUMMYFUNCTION("""COMPUTED_VALUE"""),45042.6458333333)</f>
        <v>45042.645833333299</v>
      </c>
      <c r="B453" s="1">
        <f ca="1">IFERROR(__xludf.DUMMYFUNCTION("""COMPUTED_VALUE"""),835.9)</f>
        <v>835.9</v>
      </c>
      <c r="C453" s="3">
        <f t="shared" ca="1" si="14"/>
        <v>4.5909047206998564E-3</v>
      </c>
      <c r="D453">
        <f t="shared" ca="1" si="13"/>
        <v>811.19816326530645</v>
      </c>
    </row>
    <row r="454" spans="1:4" x14ac:dyDescent="0.25">
      <c r="A454" s="2">
        <f ca="1">IFERROR(__xludf.DUMMYFUNCTION("""COMPUTED_VALUE"""),45043.6458333333)</f>
        <v>45043.645833333299</v>
      </c>
      <c r="B454" s="1">
        <f ca="1">IFERROR(__xludf.DUMMYFUNCTION("""COMPUTED_VALUE"""),840.5)</f>
        <v>840.5</v>
      </c>
      <c r="C454" s="3">
        <f t="shared" ca="1" si="14"/>
        <v>5.5030506041392783E-3</v>
      </c>
      <c r="D454">
        <f t="shared" ca="1" si="13"/>
        <v>811.41489795918403</v>
      </c>
    </row>
    <row r="455" spans="1:4" x14ac:dyDescent="0.25">
      <c r="A455" s="2">
        <f ca="1">IFERROR(__xludf.DUMMYFUNCTION("""COMPUTED_VALUE"""),45044.6458333333)</f>
        <v>45044.645833333299</v>
      </c>
      <c r="B455" s="1">
        <f ca="1">IFERROR(__xludf.DUMMYFUNCTION("""COMPUTED_VALUE"""),843.8)</f>
        <v>843.8</v>
      </c>
      <c r="C455" s="3">
        <f t="shared" ca="1" si="14"/>
        <v>3.9262343842950079E-3</v>
      </c>
      <c r="D455">
        <f t="shared" ca="1" si="13"/>
        <v>811.65877551020446</v>
      </c>
    </row>
    <row r="456" spans="1:4" x14ac:dyDescent="0.25">
      <c r="A456" s="2">
        <f ca="1">IFERROR(__xludf.DUMMYFUNCTION("""COMPUTED_VALUE"""),45048.6458333333)</f>
        <v>45048.645833333299</v>
      </c>
      <c r="B456" s="1">
        <f ca="1">IFERROR(__xludf.DUMMYFUNCTION("""COMPUTED_VALUE"""),843.63)</f>
        <v>843.63</v>
      </c>
      <c r="C456" s="3">
        <f t="shared" ca="1" si="14"/>
        <v>-2.0146954254557844E-4</v>
      </c>
      <c r="D456">
        <f t="shared" ca="1" si="13"/>
        <v>811.95714285714337</v>
      </c>
    </row>
    <row r="457" spans="1:4" x14ac:dyDescent="0.25">
      <c r="A457" s="2">
        <f ca="1">IFERROR(__xludf.DUMMYFUNCTION("""COMPUTED_VALUE"""),45049.6458333333)</f>
        <v>45049.645833333299</v>
      </c>
      <c r="B457" s="1">
        <f ca="1">IFERROR(__xludf.DUMMYFUNCTION("""COMPUTED_VALUE"""),846.58)</f>
        <v>846.58</v>
      </c>
      <c r="C457" s="3">
        <f t="shared" ca="1" si="14"/>
        <v>3.4967936180553627E-3</v>
      </c>
      <c r="D457">
        <f t="shared" ca="1" si="13"/>
        <v>812.09551020408196</v>
      </c>
    </row>
    <row r="458" spans="1:4" x14ac:dyDescent="0.25">
      <c r="A458" s="2">
        <f ca="1">IFERROR(__xludf.DUMMYFUNCTION("""COMPUTED_VALUE"""),45050.6458333333)</f>
        <v>45050.645833333299</v>
      </c>
      <c r="B458" s="1">
        <f ca="1">IFERROR(__xludf.DUMMYFUNCTION("""COMPUTED_VALUE"""),863.9)</f>
        <v>863.9</v>
      </c>
      <c r="C458" s="3">
        <f t="shared" ca="1" si="14"/>
        <v>2.0458787119941334E-2</v>
      </c>
      <c r="D458">
        <f t="shared" ca="1" si="13"/>
        <v>812.32877551020442</v>
      </c>
    </row>
    <row r="459" spans="1:4" x14ac:dyDescent="0.25">
      <c r="A459" s="2">
        <f ca="1">IFERROR(__xludf.DUMMYFUNCTION("""COMPUTED_VALUE"""),45051.6458333333)</f>
        <v>45051.645833333299</v>
      </c>
      <c r="B459" s="1">
        <f ca="1">IFERROR(__xludf.DUMMYFUNCTION("""COMPUTED_VALUE"""),812.83)</f>
        <v>812.83</v>
      </c>
      <c r="C459" s="3">
        <f t="shared" ca="1" si="14"/>
        <v>-5.9115638384072161E-2</v>
      </c>
      <c r="D459">
        <f t="shared" ca="1" si="13"/>
        <v>812.97714285714324</v>
      </c>
    </row>
    <row r="460" spans="1:4" x14ac:dyDescent="0.25">
      <c r="A460" s="2">
        <f ca="1">IFERROR(__xludf.DUMMYFUNCTION("""COMPUTED_VALUE"""),45054.6458333333)</f>
        <v>45054.645833333299</v>
      </c>
      <c r="B460" s="1">
        <f ca="1">IFERROR(__xludf.DUMMYFUNCTION("""COMPUTED_VALUE"""),822.23)</f>
        <v>822.23</v>
      </c>
      <c r="C460" s="3">
        <f t="shared" ca="1" si="14"/>
        <v>1.1564533789353218E-2</v>
      </c>
      <c r="D460">
        <f t="shared" ca="1" si="13"/>
        <v>812.66857142857179</v>
      </c>
    </row>
    <row r="461" spans="1:4" x14ac:dyDescent="0.25">
      <c r="A461" s="2">
        <f ca="1">IFERROR(__xludf.DUMMYFUNCTION("""COMPUTED_VALUE"""),45055.6458333333)</f>
        <v>45055.645833333299</v>
      </c>
      <c r="B461" s="1">
        <f ca="1">IFERROR(__xludf.DUMMYFUNCTION("""COMPUTED_VALUE"""),822.25)</f>
        <v>822.25</v>
      </c>
      <c r="C461" s="3">
        <f t="shared" ca="1" si="14"/>
        <v>2.4324094231518929E-5</v>
      </c>
      <c r="D461">
        <f t="shared" ca="1" si="13"/>
        <v>812.71040816326558</v>
      </c>
    </row>
    <row r="462" spans="1:4" x14ac:dyDescent="0.25">
      <c r="A462" s="2">
        <f ca="1">IFERROR(__xludf.DUMMYFUNCTION("""COMPUTED_VALUE"""),45056.6458333333)</f>
        <v>45056.645833333299</v>
      </c>
      <c r="B462" s="1">
        <f ca="1">IFERROR(__xludf.DUMMYFUNCTION("""COMPUTED_VALUE"""),826.05)</f>
        <v>826.05</v>
      </c>
      <c r="C462" s="3">
        <f t="shared" ca="1" si="14"/>
        <v>4.6214654910306527E-3</v>
      </c>
      <c r="D462">
        <f t="shared" ca="1" si="13"/>
        <v>812.69000000000028</v>
      </c>
    </row>
    <row r="463" spans="1:4" x14ac:dyDescent="0.25">
      <c r="A463" s="2">
        <f ca="1">IFERROR(__xludf.DUMMYFUNCTION("""COMPUTED_VALUE"""),45057.6458333333)</f>
        <v>45057.645833333299</v>
      </c>
      <c r="B463" s="1">
        <f ca="1">IFERROR(__xludf.DUMMYFUNCTION("""COMPUTED_VALUE"""),826.6)</f>
        <v>826.6</v>
      </c>
      <c r="C463" s="3">
        <f t="shared" ca="1" si="14"/>
        <v>6.6581926033541339E-4</v>
      </c>
      <c r="D463">
        <f t="shared" ca="1" si="13"/>
        <v>813.07673469387794</v>
      </c>
    </row>
    <row r="464" spans="1:4" x14ac:dyDescent="0.25">
      <c r="A464" s="2">
        <f ca="1">IFERROR(__xludf.DUMMYFUNCTION("""COMPUTED_VALUE"""),45058.6458333333)</f>
        <v>45058.645833333299</v>
      </c>
      <c r="B464" s="1">
        <f ca="1">IFERROR(__xludf.DUMMYFUNCTION("""COMPUTED_VALUE"""),833.9)</f>
        <v>833.9</v>
      </c>
      <c r="C464" s="3">
        <f t="shared" ca="1" si="14"/>
        <v>8.8313573675295846E-3</v>
      </c>
      <c r="D464">
        <f t="shared" ca="1" si="13"/>
        <v>813.5863265306125</v>
      </c>
    </row>
    <row r="465" spans="1:4" x14ac:dyDescent="0.25">
      <c r="A465" s="2">
        <f ca="1">IFERROR(__xludf.DUMMYFUNCTION("""COMPUTED_VALUE"""),45061.6458333333)</f>
        <v>45061.645833333299</v>
      </c>
      <c r="B465" s="1">
        <f ca="1">IFERROR(__xludf.DUMMYFUNCTION("""COMPUTED_VALUE"""),837.9)</f>
        <v>837.9</v>
      </c>
      <c r="C465" s="3">
        <f t="shared" ca="1" si="14"/>
        <v>4.7967382180117519E-3</v>
      </c>
      <c r="D465">
        <f t="shared" ca="1" si="13"/>
        <v>814.39081632653097</v>
      </c>
    </row>
    <row r="466" spans="1:4" x14ac:dyDescent="0.25">
      <c r="A466" s="2">
        <f ca="1">IFERROR(__xludf.DUMMYFUNCTION("""COMPUTED_VALUE"""),45062.6458333333)</f>
        <v>45062.645833333299</v>
      </c>
      <c r="B466" s="1">
        <f ca="1">IFERROR(__xludf.DUMMYFUNCTION("""COMPUTED_VALUE"""),823.65)</f>
        <v>823.65</v>
      </c>
      <c r="C466" s="3">
        <f t="shared" ca="1" si="14"/>
        <v>-1.7006802721088437E-2</v>
      </c>
      <c r="D466">
        <f t="shared" ca="1" si="13"/>
        <v>815.23673469387779</v>
      </c>
    </row>
    <row r="467" spans="1:4" x14ac:dyDescent="0.25">
      <c r="A467" s="2">
        <f ca="1">IFERROR(__xludf.DUMMYFUNCTION("""COMPUTED_VALUE"""),45063.6458333333)</f>
        <v>45063.645833333299</v>
      </c>
      <c r="B467" s="1">
        <f ca="1">IFERROR(__xludf.DUMMYFUNCTION("""COMPUTED_VALUE"""),819.23)</f>
        <v>819.23</v>
      </c>
      <c r="C467" s="3">
        <f t="shared" ca="1" si="14"/>
        <v>-5.3663570691433972E-3</v>
      </c>
      <c r="D467">
        <f t="shared" ca="1" si="13"/>
        <v>815.72346938775547</v>
      </c>
    </row>
    <row r="468" spans="1:4" x14ac:dyDescent="0.25">
      <c r="A468" s="2">
        <f ca="1">IFERROR(__xludf.DUMMYFUNCTION("""COMPUTED_VALUE"""),45064.6458333333)</f>
        <v>45064.645833333299</v>
      </c>
      <c r="B468" s="1">
        <f ca="1">IFERROR(__xludf.DUMMYFUNCTION("""COMPUTED_VALUE"""),822.5)</f>
        <v>822.5</v>
      </c>
      <c r="C468" s="3">
        <f t="shared" ca="1" si="14"/>
        <v>3.9915530437117557E-3</v>
      </c>
      <c r="D468">
        <f t="shared" ca="1" si="13"/>
        <v>816.13571428571481</v>
      </c>
    </row>
    <row r="469" spans="1:4" x14ac:dyDescent="0.25">
      <c r="A469" s="2">
        <f ca="1">IFERROR(__xludf.DUMMYFUNCTION("""COMPUTED_VALUE"""),45065.6458333333)</f>
        <v>45065.645833333299</v>
      </c>
      <c r="B469" s="1">
        <f ca="1">IFERROR(__xludf.DUMMYFUNCTION("""COMPUTED_VALUE"""),823.45)</f>
        <v>823.45</v>
      </c>
      <c r="C469" s="3">
        <f t="shared" ca="1" si="14"/>
        <v>1.1550151975684444E-3</v>
      </c>
      <c r="D469">
        <f t="shared" ca="1" si="13"/>
        <v>816.75346938775556</v>
      </c>
    </row>
    <row r="470" spans="1:4" x14ac:dyDescent="0.25">
      <c r="A470" s="2">
        <f ca="1">IFERROR(__xludf.DUMMYFUNCTION("""COMPUTED_VALUE"""),45068.6458333333)</f>
        <v>45068.645833333299</v>
      </c>
      <c r="B470" s="1">
        <f ca="1">IFERROR(__xludf.DUMMYFUNCTION("""COMPUTED_VALUE"""),820.53)</f>
        <v>820.53</v>
      </c>
      <c r="C470" s="3">
        <f t="shared" ca="1" si="14"/>
        <v>-3.5460562268505346E-3</v>
      </c>
      <c r="D470">
        <f t="shared" ca="1" si="13"/>
        <v>817.06979591836773</v>
      </c>
    </row>
    <row r="471" spans="1:4" x14ac:dyDescent="0.25">
      <c r="A471" s="2">
        <f ca="1">IFERROR(__xludf.DUMMYFUNCTION("""COMPUTED_VALUE"""),45069.6458333333)</f>
        <v>45069.645833333299</v>
      </c>
      <c r="B471" s="1">
        <f ca="1">IFERROR(__xludf.DUMMYFUNCTION("""COMPUTED_VALUE"""),818.6)</f>
        <v>818.6</v>
      </c>
      <c r="C471" s="3">
        <f t="shared" ca="1" si="14"/>
        <v>-2.3521382521052856E-3</v>
      </c>
      <c r="D471">
        <f t="shared" ca="1" si="13"/>
        <v>817.21020408163304</v>
      </c>
    </row>
    <row r="472" spans="1:4" x14ac:dyDescent="0.25">
      <c r="A472" s="2">
        <f ca="1">IFERROR(__xludf.DUMMYFUNCTION("""COMPUTED_VALUE"""),45070.6458333333)</f>
        <v>45070.645833333299</v>
      </c>
      <c r="B472" s="1">
        <f ca="1">IFERROR(__xludf.DUMMYFUNCTION("""COMPUTED_VALUE"""),807.9)</f>
        <v>807.9</v>
      </c>
      <c r="C472" s="3">
        <f t="shared" ca="1" si="14"/>
        <v>-1.3071096994869344E-2</v>
      </c>
      <c r="D472">
        <f t="shared" ca="1" si="13"/>
        <v>817.27795918367372</v>
      </c>
    </row>
    <row r="473" spans="1:4" x14ac:dyDescent="0.25">
      <c r="A473" s="2">
        <f ca="1">IFERROR(__xludf.DUMMYFUNCTION("""COMPUTED_VALUE"""),45071.6458333333)</f>
        <v>45071.645833333299</v>
      </c>
      <c r="B473" s="1">
        <f ca="1">IFERROR(__xludf.DUMMYFUNCTION("""COMPUTED_VALUE"""),804.8)</f>
        <v>804.8</v>
      </c>
      <c r="C473" s="3">
        <f t="shared" ca="1" si="14"/>
        <v>-3.8371085530387707E-3</v>
      </c>
      <c r="D473">
        <f t="shared" ca="1" si="13"/>
        <v>817.12591836734703</v>
      </c>
    </row>
    <row r="474" spans="1:4" x14ac:dyDescent="0.25">
      <c r="A474" s="2">
        <f ca="1">IFERROR(__xludf.DUMMYFUNCTION("""COMPUTED_VALUE"""),45072.6458333333)</f>
        <v>45072.645833333299</v>
      </c>
      <c r="B474" s="1">
        <f ca="1">IFERROR(__xludf.DUMMYFUNCTION("""COMPUTED_VALUE"""),807.9)</f>
        <v>807.9</v>
      </c>
      <c r="C474" s="3">
        <f t="shared" ca="1" si="14"/>
        <v>3.8518886679920761E-3</v>
      </c>
      <c r="D474">
        <f t="shared" ca="1" si="13"/>
        <v>817.33959183673494</v>
      </c>
    </row>
    <row r="475" spans="1:4" x14ac:dyDescent="0.25">
      <c r="A475" s="2">
        <f ca="1">IFERROR(__xludf.DUMMYFUNCTION("""COMPUTED_VALUE"""),45075.6458333333)</f>
        <v>45075.645833333299</v>
      </c>
      <c r="B475" s="1">
        <f ca="1">IFERROR(__xludf.DUMMYFUNCTION("""COMPUTED_VALUE"""),817.75)</f>
        <v>817.75</v>
      </c>
      <c r="C475" s="3">
        <f t="shared" ca="1" si="14"/>
        <v>1.2192102983042484E-2</v>
      </c>
      <c r="D475">
        <f t="shared" ca="1" si="13"/>
        <v>817.82163265306144</v>
      </c>
    </row>
    <row r="476" spans="1:4" x14ac:dyDescent="0.25">
      <c r="A476" s="2">
        <f ca="1">IFERROR(__xludf.DUMMYFUNCTION("""COMPUTED_VALUE"""),45076.6458333333)</f>
        <v>45076.645833333299</v>
      </c>
      <c r="B476" s="1">
        <f ca="1">IFERROR(__xludf.DUMMYFUNCTION("""COMPUTED_VALUE"""),818.38)</f>
        <v>818.38</v>
      </c>
      <c r="C476" s="3">
        <f t="shared" ca="1" si="14"/>
        <v>7.7040660348516718E-4</v>
      </c>
      <c r="D476">
        <f t="shared" ca="1" si="13"/>
        <v>818.54755102040838</v>
      </c>
    </row>
    <row r="477" spans="1:4" x14ac:dyDescent="0.25">
      <c r="A477" s="2">
        <f ca="1">IFERROR(__xludf.DUMMYFUNCTION("""COMPUTED_VALUE"""),45077.6458333333)</f>
        <v>45077.645833333299</v>
      </c>
      <c r="B477" s="1">
        <f ca="1">IFERROR(__xludf.DUMMYFUNCTION("""COMPUTED_VALUE"""),805.43)</f>
        <v>805.43</v>
      </c>
      <c r="C477" s="3">
        <f t="shared" ca="1" si="14"/>
        <v>-1.5823944866687902E-2</v>
      </c>
      <c r="D477">
        <f t="shared" ca="1" si="13"/>
        <v>819.51551020408181</v>
      </c>
    </row>
    <row r="478" spans="1:4" x14ac:dyDescent="0.25">
      <c r="A478" s="2">
        <f ca="1">IFERROR(__xludf.DUMMYFUNCTION("""COMPUTED_VALUE"""),45078.6458333333)</f>
        <v>45078.645833333299</v>
      </c>
      <c r="B478" s="1">
        <f ca="1">IFERROR(__xludf.DUMMYFUNCTION("""COMPUTED_VALUE"""),802)</f>
        <v>802</v>
      </c>
      <c r="C478" s="3">
        <f t="shared" ca="1" si="14"/>
        <v>-4.258594787877221E-3</v>
      </c>
      <c r="D478">
        <f t="shared" ca="1" si="13"/>
        <v>820.11714285714299</v>
      </c>
    </row>
    <row r="479" spans="1:4" x14ac:dyDescent="0.25">
      <c r="A479" s="2">
        <f ca="1">IFERROR(__xludf.DUMMYFUNCTION("""COMPUTED_VALUE"""),45079.6458333333)</f>
        <v>45079.645833333299</v>
      </c>
      <c r="B479" s="1">
        <f ca="1">IFERROR(__xludf.DUMMYFUNCTION("""COMPUTED_VALUE"""),803.25)</f>
        <v>803.25</v>
      </c>
      <c r="C479" s="3">
        <f t="shared" ca="1" si="14"/>
        <v>1.5586034912718205E-3</v>
      </c>
      <c r="D479">
        <f t="shared" ca="1" si="13"/>
        <v>820.43693877551038</v>
      </c>
    </row>
    <row r="480" spans="1:4" x14ac:dyDescent="0.25">
      <c r="A480" s="2">
        <f ca="1">IFERROR(__xludf.DUMMYFUNCTION("""COMPUTED_VALUE"""),45082.6458333333)</f>
        <v>45082.645833333299</v>
      </c>
      <c r="B480" s="1">
        <f ca="1">IFERROR(__xludf.DUMMYFUNCTION("""COMPUTED_VALUE"""),802.2)</f>
        <v>802.2</v>
      </c>
      <c r="C480" s="3">
        <f t="shared" ca="1" si="14"/>
        <v>-1.3071895424836034E-3</v>
      </c>
      <c r="D480">
        <f t="shared" ca="1" si="13"/>
        <v>820.89346938775543</v>
      </c>
    </row>
    <row r="481" spans="1:4" x14ac:dyDescent="0.25">
      <c r="A481" s="2">
        <f ca="1">IFERROR(__xludf.DUMMYFUNCTION("""COMPUTED_VALUE"""),45083.6458333333)</f>
        <v>45083.645833333299</v>
      </c>
      <c r="B481" s="1">
        <f ca="1">IFERROR(__xludf.DUMMYFUNCTION("""COMPUTED_VALUE"""),799.7)</f>
        <v>799.7</v>
      </c>
      <c r="C481" s="3">
        <f t="shared" ca="1" si="14"/>
        <v>-3.1164298180004985E-3</v>
      </c>
      <c r="D481">
        <f t="shared" ca="1" si="13"/>
        <v>821.14795918367361</v>
      </c>
    </row>
    <row r="482" spans="1:4" x14ac:dyDescent="0.25">
      <c r="A482" s="2">
        <f ca="1">IFERROR(__xludf.DUMMYFUNCTION("""COMPUTED_VALUE"""),45084.6458333333)</f>
        <v>45084.645833333299</v>
      </c>
      <c r="B482" s="1">
        <f ca="1">IFERROR(__xludf.DUMMYFUNCTION("""COMPUTED_VALUE"""),803.85)</f>
        <v>803.85</v>
      </c>
      <c r="C482" s="3">
        <f t="shared" ca="1" si="14"/>
        <v>5.1894460422658214E-3</v>
      </c>
      <c r="D482">
        <f t="shared" ca="1" si="13"/>
        <v>821.38877551020414</v>
      </c>
    </row>
    <row r="483" spans="1:4" x14ac:dyDescent="0.25">
      <c r="A483" s="2">
        <f ca="1">IFERROR(__xludf.DUMMYFUNCTION("""COMPUTED_VALUE"""),45085.6458333333)</f>
        <v>45085.645833333299</v>
      </c>
      <c r="B483" s="1">
        <f ca="1">IFERROR(__xludf.DUMMYFUNCTION("""COMPUTED_VALUE"""),804.35)</f>
        <v>804.35</v>
      </c>
      <c r="C483" s="3">
        <f t="shared" ca="1" si="14"/>
        <v>6.2200659326988865E-4</v>
      </c>
      <c r="D483">
        <f t="shared" ca="1" si="13"/>
        <v>821.84326530612248</v>
      </c>
    </row>
    <row r="484" spans="1:4" x14ac:dyDescent="0.25">
      <c r="A484" s="2">
        <f ca="1">IFERROR(__xludf.DUMMYFUNCTION("""COMPUTED_VALUE"""),45086.6458333333)</f>
        <v>45086.645833333299</v>
      </c>
      <c r="B484" s="1">
        <f ca="1">IFERROR(__xludf.DUMMYFUNCTION("""COMPUTED_VALUE"""),805.3)</f>
        <v>805.3</v>
      </c>
      <c r="C484" s="3">
        <f t="shared" ca="1" si="14"/>
        <v>1.1810778889785936E-3</v>
      </c>
      <c r="D484">
        <f t="shared" ca="1" si="13"/>
        <v>822.33346938775492</v>
      </c>
    </row>
    <row r="485" spans="1:4" x14ac:dyDescent="0.25">
      <c r="A485" s="2">
        <f ca="1">IFERROR(__xludf.DUMMYFUNCTION("""COMPUTED_VALUE"""),45089.6458333333)</f>
        <v>45089.645833333299</v>
      </c>
      <c r="B485" s="1">
        <f ca="1">IFERROR(__xludf.DUMMYFUNCTION("""COMPUTED_VALUE"""),800.4)</f>
        <v>800.4</v>
      </c>
      <c r="C485" s="3">
        <f t="shared" ca="1" si="14"/>
        <v>-6.0846889358002953E-3</v>
      </c>
      <c r="D485">
        <f t="shared" ca="1" si="13"/>
        <v>822.77367346938786</v>
      </c>
    </row>
    <row r="486" spans="1:4" x14ac:dyDescent="0.25">
      <c r="A486" s="2">
        <f ca="1">IFERROR(__xludf.DUMMYFUNCTION("""COMPUTED_VALUE"""),45090.6458333333)</f>
        <v>45090.645833333299</v>
      </c>
      <c r="B486" s="1">
        <f ca="1">IFERROR(__xludf.DUMMYFUNCTION("""COMPUTED_VALUE"""),801.75)</f>
        <v>801.75</v>
      </c>
      <c r="C486" s="3">
        <f t="shared" ca="1" si="14"/>
        <v>1.6866566716641964E-3</v>
      </c>
      <c r="D486">
        <f t="shared" ca="1" si="13"/>
        <v>822.98387755102044</v>
      </c>
    </row>
    <row r="487" spans="1:4" x14ac:dyDescent="0.25">
      <c r="A487" s="2">
        <f ca="1">IFERROR(__xludf.DUMMYFUNCTION("""COMPUTED_VALUE"""),45091.6458333333)</f>
        <v>45091.645833333299</v>
      </c>
      <c r="B487" s="1">
        <f ca="1">IFERROR(__xludf.DUMMYFUNCTION("""COMPUTED_VALUE"""),800.88)</f>
        <v>800.88</v>
      </c>
      <c r="C487" s="3">
        <f t="shared" ca="1" si="14"/>
        <v>-1.0851262862488363E-3</v>
      </c>
      <c r="D487">
        <f t="shared" ca="1" si="13"/>
        <v>823.14408163265307</v>
      </c>
    </row>
    <row r="488" spans="1:4" x14ac:dyDescent="0.25">
      <c r="A488" s="2">
        <f ca="1">IFERROR(__xludf.DUMMYFUNCTION("""COMPUTED_VALUE"""),45092.6458333333)</f>
        <v>45092.645833333299</v>
      </c>
      <c r="B488" s="1">
        <f ca="1">IFERROR(__xludf.DUMMYFUNCTION("""COMPUTED_VALUE"""),791.03)</f>
        <v>791.03</v>
      </c>
      <c r="C488" s="3">
        <f t="shared" ca="1" si="14"/>
        <v>-1.2298971131755099E-2</v>
      </c>
      <c r="D488">
        <f t="shared" ca="1" si="13"/>
        <v>823.06448979591823</v>
      </c>
    </row>
    <row r="489" spans="1:4" x14ac:dyDescent="0.25">
      <c r="A489" s="2">
        <f ca="1">IFERROR(__xludf.DUMMYFUNCTION("""COMPUTED_VALUE"""),45093.6458333333)</f>
        <v>45093.645833333299</v>
      </c>
      <c r="B489" s="1">
        <f ca="1">IFERROR(__xludf.DUMMYFUNCTION("""COMPUTED_VALUE"""),801.38)</f>
        <v>801.38</v>
      </c>
      <c r="C489" s="3">
        <f t="shared" ca="1" si="14"/>
        <v>1.3084206667256643E-2</v>
      </c>
      <c r="D489">
        <f t="shared" ca="1" si="13"/>
        <v>822.77367346938752</v>
      </c>
    </row>
    <row r="490" spans="1:4" x14ac:dyDescent="0.25">
      <c r="A490" s="2">
        <f ca="1">IFERROR(__xludf.DUMMYFUNCTION("""COMPUTED_VALUE"""),45096.6458333333)</f>
        <v>45096.645833333299</v>
      </c>
      <c r="B490" s="1">
        <f ca="1">IFERROR(__xludf.DUMMYFUNCTION("""COMPUTED_VALUE"""),802.08)</f>
        <v>802.08</v>
      </c>
      <c r="C490" s="3">
        <f t="shared" ca="1" si="14"/>
        <v>8.73493224188332E-4</v>
      </c>
      <c r="D490">
        <f t="shared" ca="1" si="13"/>
        <v>822.25326530612222</v>
      </c>
    </row>
    <row r="491" spans="1:4" x14ac:dyDescent="0.25">
      <c r="A491" s="2">
        <f ca="1">IFERROR(__xludf.DUMMYFUNCTION("""COMPUTED_VALUE"""),45097.6458333333)</f>
        <v>45097.645833333299</v>
      </c>
      <c r="B491" s="1">
        <f ca="1">IFERROR(__xludf.DUMMYFUNCTION("""COMPUTED_VALUE"""),803.75)</f>
        <v>803.75</v>
      </c>
      <c r="C491" s="3">
        <f t="shared" ca="1" si="14"/>
        <v>2.0820865749051954E-3</v>
      </c>
      <c r="D491">
        <f t="shared" ca="1" si="13"/>
        <v>821.61857142857139</v>
      </c>
    </row>
    <row r="492" spans="1:4" x14ac:dyDescent="0.25">
      <c r="A492" s="2">
        <f ca="1">IFERROR(__xludf.DUMMYFUNCTION("""COMPUTED_VALUE"""),45098.6458333333)</f>
        <v>45098.645833333299</v>
      </c>
      <c r="B492" s="1">
        <f ca="1">IFERROR(__xludf.DUMMYFUNCTION("""COMPUTED_VALUE"""),817.8)</f>
        <v>817.8</v>
      </c>
      <c r="C492" s="3">
        <f t="shared" ca="1" si="14"/>
        <v>1.7480559875583147E-2</v>
      </c>
      <c r="D492">
        <f t="shared" ca="1" si="13"/>
        <v>821.09857142857152</v>
      </c>
    </row>
    <row r="493" spans="1:4" x14ac:dyDescent="0.25">
      <c r="A493" s="2">
        <f ca="1">IFERROR(__xludf.DUMMYFUNCTION("""COMPUTED_VALUE"""),45099.6458333333)</f>
        <v>45099.645833333299</v>
      </c>
      <c r="B493" s="1">
        <f ca="1">IFERROR(__xludf.DUMMYFUNCTION("""COMPUTED_VALUE"""),821.8)</f>
        <v>821.8</v>
      </c>
      <c r="C493" s="3">
        <f t="shared" ca="1" si="14"/>
        <v>4.891171435558817E-3</v>
      </c>
      <c r="D493">
        <f t="shared" ca="1" si="13"/>
        <v>820.81591836734697</v>
      </c>
    </row>
    <row r="494" spans="1:4" x14ac:dyDescent="0.25">
      <c r="A494" s="2">
        <f ca="1">IFERROR(__xludf.DUMMYFUNCTION("""COMPUTED_VALUE"""),45100.6458333333)</f>
        <v>45100.645833333299</v>
      </c>
      <c r="B494" s="1">
        <f ca="1">IFERROR(__xludf.DUMMYFUNCTION("""COMPUTED_VALUE"""),821.75)</f>
        <v>821.75</v>
      </c>
      <c r="C494" s="3">
        <f t="shared" ca="1" si="14"/>
        <v>-6.0842054027688645E-5</v>
      </c>
      <c r="D494">
        <f t="shared" ca="1" si="13"/>
        <v>820.39448979591839</v>
      </c>
    </row>
    <row r="495" spans="1:4" x14ac:dyDescent="0.25">
      <c r="A495" s="2">
        <f ca="1">IFERROR(__xludf.DUMMYFUNCTION("""COMPUTED_VALUE"""),45103.6458333333)</f>
        <v>45103.645833333299</v>
      </c>
      <c r="B495" s="1">
        <f ca="1">IFERROR(__xludf.DUMMYFUNCTION("""COMPUTED_VALUE"""),817.78)</f>
        <v>817.78</v>
      </c>
      <c r="C495" s="3">
        <f t="shared" ca="1" si="14"/>
        <v>-4.8311530270763944E-3</v>
      </c>
      <c r="D495">
        <f t="shared" ca="1" si="13"/>
        <v>819.8948979591836</v>
      </c>
    </row>
    <row r="496" spans="1:4" x14ac:dyDescent="0.25">
      <c r="A496" s="2">
        <f ca="1">IFERROR(__xludf.DUMMYFUNCTION("""COMPUTED_VALUE"""),45104.6458333333)</f>
        <v>45104.645833333299</v>
      </c>
      <c r="B496" s="1">
        <f ca="1">IFERROR(__xludf.DUMMYFUNCTION("""COMPUTED_VALUE"""),829.3)</f>
        <v>829.3</v>
      </c>
      <c r="C496" s="3">
        <f t="shared" ca="1" si="14"/>
        <v>1.4086918242069972E-2</v>
      </c>
      <c r="D496">
        <f t="shared" ca="1" si="13"/>
        <v>819.57755102040824</v>
      </c>
    </row>
    <row r="497" spans="1:4" x14ac:dyDescent="0.25">
      <c r="A497" s="2">
        <f ca="1">IFERROR(__xludf.DUMMYFUNCTION("""COMPUTED_VALUE"""),45105.6458333333)</f>
        <v>45105.645833333299</v>
      </c>
      <c r="B497" s="1">
        <f ca="1">IFERROR(__xludf.DUMMYFUNCTION("""COMPUTED_VALUE"""),838.08)</f>
        <v>838.08</v>
      </c>
      <c r="C497" s="3">
        <f t="shared" ca="1" si="14"/>
        <v>1.0587242252502215E-2</v>
      </c>
      <c r="D497">
        <f t="shared" ca="1" si="13"/>
        <v>819.56734693877559</v>
      </c>
    </row>
    <row r="498" spans="1:4" x14ac:dyDescent="0.25">
      <c r="A498" s="2">
        <f ca="1">IFERROR(__xludf.DUMMYFUNCTION("""COMPUTED_VALUE"""),45107.6458333333)</f>
        <v>45107.645833333299</v>
      </c>
      <c r="B498" s="1">
        <f ca="1">IFERROR(__xludf.DUMMYFUNCTION("""COMPUTED_VALUE"""),850.7)</f>
        <v>850.7</v>
      </c>
      <c r="C498" s="3">
        <f t="shared" ca="1" si="14"/>
        <v>1.5058228331424213E-2</v>
      </c>
      <c r="D498">
        <f t="shared" ca="1" si="13"/>
        <v>819.67408163265316</v>
      </c>
    </row>
    <row r="499" spans="1:4" x14ac:dyDescent="0.25">
      <c r="A499" s="2">
        <f ca="1">IFERROR(__xludf.DUMMYFUNCTION("""COMPUTED_VALUE"""),45110.6458333333)</f>
        <v>45110.645833333299</v>
      </c>
      <c r="B499" s="1">
        <f ca="1">IFERROR(__xludf.DUMMYFUNCTION("""COMPUTED_VALUE"""),859.9)</f>
        <v>859.9</v>
      </c>
      <c r="C499" s="3">
        <f t="shared" ca="1" si="14"/>
        <v>1.0814623251439909E-2</v>
      </c>
      <c r="D499">
        <f t="shared" ca="1" si="13"/>
        <v>819.97510204081641</v>
      </c>
    </row>
    <row r="500" spans="1:4" x14ac:dyDescent="0.25">
      <c r="A500" s="2">
        <f ca="1">IFERROR(__xludf.DUMMYFUNCTION("""COMPUTED_VALUE"""),45111.6458333333)</f>
        <v>45111.645833333299</v>
      </c>
      <c r="B500" s="1">
        <f ca="1">IFERROR(__xludf.DUMMYFUNCTION("""COMPUTED_VALUE"""),864.1)</f>
        <v>864.1</v>
      </c>
      <c r="C500" s="3">
        <f t="shared" ca="1" si="14"/>
        <v>4.8842888707989829E-3</v>
      </c>
      <c r="D500">
        <f t="shared" ref="D500:D563" ca="1" si="15">AVERAGE(B451:B499)</f>
        <v>820.43632653061252</v>
      </c>
    </row>
    <row r="501" spans="1:4" x14ac:dyDescent="0.25">
      <c r="A501" s="2">
        <f ca="1">IFERROR(__xludf.DUMMYFUNCTION("""COMPUTED_VALUE"""),45112.6458333333)</f>
        <v>45112.645833333299</v>
      </c>
      <c r="B501" s="1">
        <f ca="1">IFERROR(__xludf.DUMMYFUNCTION("""COMPUTED_VALUE"""),836.65)</f>
        <v>836.65</v>
      </c>
      <c r="C501" s="3">
        <f t="shared" ca="1" si="14"/>
        <v>-3.176715657909969E-2</v>
      </c>
      <c r="D501">
        <f t="shared" ca="1" si="15"/>
        <v>820.84489795918387</v>
      </c>
    </row>
    <row r="502" spans="1:4" x14ac:dyDescent="0.25">
      <c r="A502" s="2">
        <f ca="1">IFERROR(__xludf.DUMMYFUNCTION("""COMPUTED_VALUE"""),45113.6458333333)</f>
        <v>45113.645833333299</v>
      </c>
      <c r="B502" s="1">
        <f ca="1">IFERROR(__xludf.DUMMYFUNCTION("""COMPUTED_VALUE"""),837.5)</f>
        <v>837.5</v>
      </c>
      <c r="C502" s="3">
        <f t="shared" ca="1" si="14"/>
        <v>1.0159564931572615E-3</v>
      </c>
      <c r="D502">
        <f t="shared" ca="1" si="15"/>
        <v>820.93816326530634</v>
      </c>
    </row>
    <row r="503" spans="1:4" x14ac:dyDescent="0.25">
      <c r="A503" s="2">
        <f ca="1">IFERROR(__xludf.DUMMYFUNCTION("""COMPUTED_VALUE"""),45114.6458333333)</f>
        <v>45114.645833333299</v>
      </c>
      <c r="B503" s="1">
        <f ca="1">IFERROR(__xludf.DUMMYFUNCTION("""COMPUTED_VALUE"""),830.2)</f>
        <v>830.2</v>
      </c>
      <c r="C503" s="3">
        <f t="shared" ca="1" si="14"/>
        <v>-8.7164179104477074E-3</v>
      </c>
      <c r="D503">
        <f t="shared" ca="1" si="15"/>
        <v>820.97081632653055</v>
      </c>
    </row>
    <row r="504" spans="1:4" x14ac:dyDescent="0.25">
      <c r="A504" s="2">
        <f ca="1">IFERROR(__xludf.DUMMYFUNCTION("""COMPUTED_VALUE"""),45117.6458333333)</f>
        <v>45117.645833333299</v>
      </c>
      <c r="B504" s="1">
        <f ca="1">IFERROR(__xludf.DUMMYFUNCTION("""COMPUTED_VALUE"""),828.23)</f>
        <v>828.23</v>
      </c>
      <c r="C504" s="3">
        <f t="shared" ca="1" si="14"/>
        <v>-2.3729221874247497E-3</v>
      </c>
      <c r="D504">
        <f t="shared" ca="1" si="15"/>
        <v>820.76061224489808</v>
      </c>
    </row>
    <row r="505" spans="1:4" x14ac:dyDescent="0.25">
      <c r="A505" s="2">
        <f ca="1">IFERROR(__xludf.DUMMYFUNCTION("""COMPUTED_VALUE"""),45118.6458333333)</f>
        <v>45118.645833333299</v>
      </c>
      <c r="B505" s="1">
        <f ca="1">IFERROR(__xludf.DUMMYFUNCTION("""COMPUTED_VALUE"""),824.2)</f>
        <v>824.2</v>
      </c>
      <c r="C505" s="3">
        <f t="shared" ca="1" si="14"/>
        <v>-4.8657981478574461E-3</v>
      </c>
      <c r="D505">
        <f t="shared" ca="1" si="15"/>
        <v>820.44285714285718</v>
      </c>
    </row>
    <row r="506" spans="1:4" x14ac:dyDescent="0.25">
      <c r="A506" s="2">
        <f ca="1">IFERROR(__xludf.DUMMYFUNCTION("""COMPUTED_VALUE"""),45119.6458333333)</f>
        <v>45119.645833333299</v>
      </c>
      <c r="B506" s="1">
        <f ca="1">IFERROR(__xludf.DUMMYFUNCTION("""COMPUTED_VALUE"""),816.48)</f>
        <v>816.48</v>
      </c>
      <c r="C506" s="3">
        <f t="shared" ca="1" si="14"/>
        <v>-9.3666585780150767E-3</v>
      </c>
      <c r="D506">
        <f t="shared" ca="1" si="15"/>
        <v>820.04632653061219</v>
      </c>
    </row>
    <row r="507" spans="1:4" x14ac:dyDescent="0.25">
      <c r="A507" s="2">
        <f ca="1">IFERROR(__xludf.DUMMYFUNCTION("""COMPUTED_VALUE"""),45120.6458333333)</f>
        <v>45120.645833333299</v>
      </c>
      <c r="B507" s="1">
        <f ca="1">IFERROR(__xludf.DUMMYFUNCTION("""COMPUTED_VALUE"""),820.55)</f>
        <v>820.55</v>
      </c>
      <c r="C507" s="3">
        <f t="shared" ca="1" si="14"/>
        <v>4.9848128551831473E-3</v>
      </c>
      <c r="D507">
        <f t="shared" ca="1" si="15"/>
        <v>819.43204081632655</v>
      </c>
    </row>
    <row r="508" spans="1:4" x14ac:dyDescent="0.25">
      <c r="A508" s="2">
        <f ca="1">IFERROR(__xludf.DUMMYFUNCTION("""COMPUTED_VALUE"""),45121.6458333333)</f>
        <v>45121.645833333299</v>
      </c>
      <c r="B508" s="1">
        <f ca="1">IFERROR(__xludf.DUMMYFUNCTION("""COMPUTED_VALUE"""),822.25)</f>
        <v>822.25</v>
      </c>
      <c r="C508" s="3">
        <f t="shared" ca="1" si="14"/>
        <v>2.071781122417946E-3</v>
      </c>
      <c r="D508">
        <f t="shared" ca="1" si="15"/>
        <v>818.54734693877549</v>
      </c>
    </row>
    <row r="509" spans="1:4" x14ac:dyDescent="0.25">
      <c r="A509" s="2">
        <f ca="1">IFERROR(__xludf.DUMMYFUNCTION("""COMPUTED_VALUE"""),45124.6458333333)</f>
        <v>45124.645833333299</v>
      </c>
      <c r="B509" s="1">
        <f ca="1">IFERROR(__xludf.DUMMYFUNCTION("""COMPUTED_VALUE"""),839.45)</f>
        <v>839.45</v>
      </c>
      <c r="C509" s="3">
        <f t="shared" ca="1" si="14"/>
        <v>2.0918212222560104E-2</v>
      </c>
      <c r="D509">
        <f t="shared" ca="1" si="15"/>
        <v>818.7395918367348</v>
      </c>
    </row>
    <row r="510" spans="1:4" x14ac:dyDescent="0.25">
      <c r="A510" s="2">
        <f ca="1">IFERROR(__xludf.DUMMYFUNCTION("""COMPUTED_VALUE"""),45125.6458333333)</f>
        <v>45125.645833333299</v>
      </c>
      <c r="B510" s="1">
        <f ca="1">IFERROR(__xludf.DUMMYFUNCTION("""COMPUTED_VALUE"""),838.75)</f>
        <v>838.75</v>
      </c>
      <c r="C510" s="3">
        <f t="shared" ca="1" si="14"/>
        <v>-8.3387932574905646E-4</v>
      </c>
      <c r="D510">
        <f t="shared" ca="1" si="15"/>
        <v>819.09102040816322</v>
      </c>
    </row>
    <row r="511" spans="1:4" x14ac:dyDescent="0.25">
      <c r="A511" s="2">
        <f ca="1">IFERROR(__xludf.DUMMYFUNCTION("""COMPUTED_VALUE"""),45126.6458333333)</f>
        <v>45126.645833333299</v>
      </c>
      <c r="B511" s="1">
        <f ca="1">IFERROR(__xludf.DUMMYFUNCTION("""COMPUTED_VALUE"""),842.55)</f>
        <v>842.55</v>
      </c>
      <c r="C511" s="3">
        <f t="shared" ca="1" si="14"/>
        <v>4.5305514157972628E-3</v>
      </c>
      <c r="D511">
        <f t="shared" ca="1" si="15"/>
        <v>819.42775510204092</v>
      </c>
    </row>
    <row r="512" spans="1:4" x14ac:dyDescent="0.25">
      <c r="A512" s="2">
        <f ca="1">IFERROR(__xludf.DUMMYFUNCTION("""COMPUTED_VALUE"""),45127.6458333333)</f>
        <v>45127.645833333299</v>
      </c>
      <c r="B512" s="1">
        <f ca="1">IFERROR(__xludf.DUMMYFUNCTION("""COMPUTED_VALUE"""),844.38)</f>
        <v>844.38</v>
      </c>
      <c r="C512" s="3">
        <f t="shared" ca="1" si="14"/>
        <v>2.1719779241588522E-3</v>
      </c>
      <c r="D512">
        <f t="shared" ca="1" si="15"/>
        <v>819.76448979591851</v>
      </c>
    </row>
    <row r="513" spans="1:4" x14ac:dyDescent="0.25">
      <c r="A513" s="2">
        <f ca="1">IFERROR(__xludf.DUMMYFUNCTION("""COMPUTED_VALUE"""),45128.6458333333)</f>
        <v>45128.645833333299</v>
      </c>
      <c r="B513" s="1">
        <f ca="1">IFERROR(__xludf.DUMMYFUNCTION("""COMPUTED_VALUE"""),837.88)</f>
        <v>837.88</v>
      </c>
      <c r="C513" s="3">
        <f t="shared" ca="1" si="14"/>
        <v>-7.6979558966342168E-3</v>
      </c>
      <c r="D513">
        <f t="shared" ca="1" si="15"/>
        <v>820.12734693877564</v>
      </c>
    </row>
    <row r="514" spans="1:4" x14ac:dyDescent="0.25">
      <c r="A514" s="2">
        <f ca="1">IFERROR(__xludf.DUMMYFUNCTION("""COMPUTED_VALUE"""),45131.6458333333)</f>
        <v>45131.645833333299</v>
      </c>
      <c r="B514" s="1">
        <f ca="1">IFERROR(__xludf.DUMMYFUNCTION("""COMPUTED_VALUE"""),839.2)</f>
        <v>839.2</v>
      </c>
      <c r="C514" s="3">
        <f t="shared" ca="1" si="14"/>
        <v>1.5754045925431446E-3</v>
      </c>
      <c r="D514">
        <f t="shared" ca="1" si="15"/>
        <v>820.20857142857142</v>
      </c>
    </row>
    <row r="515" spans="1:4" x14ac:dyDescent="0.25">
      <c r="A515" s="2">
        <f ca="1">IFERROR(__xludf.DUMMYFUNCTION("""COMPUTED_VALUE"""),45132.6458333333)</f>
        <v>45132.645833333299</v>
      </c>
      <c r="B515" s="1">
        <f ca="1">IFERROR(__xludf.DUMMYFUNCTION("""COMPUTED_VALUE"""),848.3)</f>
        <v>848.3</v>
      </c>
      <c r="C515" s="3">
        <f t="shared" ca="1" si="14"/>
        <v>1.084366062917053E-2</v>
      </c>
      <c r="D515">
        <f t="shared" ca="1" si="15"/>
        <v>820.23510204081629</v>
      </c>
    </row>
    <row r="516" spans="1:4" x14ac:dyDescent="0.25">
      <c r="A516" s="2">
        <f ca="1">IFERROR(__xludf.DUMMYFUNCTION("""COMPUTED_VALUE"""),45133.6458333333)</f>
        <v>45133.645833333299</v>
      </c>
      <c r="B516" s="1">
        <f ca="1">IFERROR(__xludf.DUMMYFUNCTION("""COMPUTED_VALUE"""),845.35)</f>
        <v>845.35</v>
      </c>
      <c r="C516" s="3">
        <f t="shared" ref="C516:C579" ca="1" si="16">(B516-B515)/B515</f>
        <v>-3.4775433219379134E-3</v>
      </c>
      <c r="D516">
        <f t="shared" ca="1" si="15"/>
        <v>820.73816326530607</v>
      </c>
    </row>
    <row r="517" spans="1:4" x14ac:dyDescent="0.25">
      <c r="A517" s="2">
        <f ca="1">IFERROR(__xludf.DUMMYFUNCTION("""COMPUTED_VALUE"""),45134.6458333333)</f>
        <v>45134.645833333299</v>
      </c>
      <c r="B517" s="1">
        <f ca="1">IFERROR(__xludf.DUMMYFUNCTION("""COMPUTED_VALUE"""),836.58)</f>
        <v>836.58</v>
      </c>
      <c r="C517" s="3">
        <f t="shared" ca="1" si="16"/>
        <v>-1.0374401135624276E-2</v>
      </c>
      <c r="D517">
        <f t="shared" ca="1" si="15"/>
        <v>821.27122448979594</v>
      </c>
    </row>
    <row r="518" spans="1:4" x14ac:dyDescent="0.25">
      <c r="A518" s="2">
        <f ca="1">IFERROR(__xludf.DUMMYFUNCTION("""COMPUTED_VALUE"""),45135.6458333333)</f>
        <v>45135.645833333299</v>
      </c>
      <c r="B518" s="1">
        <f ca="1">IFERROR(__xludf.DUMMYFUNCTION("""COMPUTED_VALUE"""),821.75)</f>
        <v>821.75</v>
      </c>
      <c r="C518" s="3">
        <f t="shared" ca="1" si="16"/>
        <v>-1.7726935857897679E-2</v>
      </c>
      <c r="D518">
        <f t="shared" ca="1" si="15"/>
        <v>821.55857142857144</v>
      </c>
    </row>
    <row r="519" spans="1:4" x14ac:dyDescent="0.25">
      <c r="A519" s="2">
        <f ca="1">IFERROR(__xludf.DUMMYFUNCTION("""COMPUTED_VALUE"""),45138.6458333333)</f>
        <v>45138.645833333299</v>
      </c>
      <c r="B519" s="1">
        <f ca="1">IFERROR(__xludf.DUMMYFUNCTION("""COMPUTED_VALUE"""),825.6)</f>
        <v>825.6</v>
      </c>
      <c r="C519" s="3">
        <f t="shared" ca="1" si="16"/>
        <v>4.6851232126559452E-3</v>
      </c>
      <c r="D519">
        <f t="shared" ca="1" si="15"/>
        <v>821.52387755102041</v>
      </c>
    </row>
    <row r="520" spans="1:4" x14ac:dyDescent="0.25">
      <c r="A520" s="2">
        <f ca="1">IFERROR(__xludf.DUMMYFUNCTION("""COMPUTED_VALUE"""),45139.6458333333)</f>
        <v>45139.645833333299</v>
      </c>
      <c r="B520" s="1">
        <f ca="1">IFERROR(__xludf.DUMMYFUNCTION("""COMPUTED_VALUE"""),831.13)</f>
        <v>831.13</v>
      </c>
      <c r="C520" s="3">
        <f t="shared" ca="1" si="16"/>
        <v>6.6981589147286488E-3</v>
      </c>
      <c r="D520">
        <f t="shared" ca="1" si="15"/>
        <v>821.62734693877542</v>
      </c>
    </row>
    <row r="521" spans="1:4" x14ac:dyDescent="0.25">
      <c r="A521" s="2">
        <f ca="1">IFERROR(__xludf.DUMMYFUNCTION("""COMPUTED_VALUE"""),45140.6458333333)</f>
        <v>45140.645833333299</v>
      </c>
      <c r="B521" s="1">
        <f ca="1">IFERROR(__xludf.DUMMYFUNCTION("""COMPUTED_VALUE"""),820.25)</f>
        <v>820.25</v>
      </c>
      <c r="C521" s="3">
        <f t="shared" ca="1" si="16"/>
        <v>-1.3090611577009609E-2</v>
      </c>
      <c r="D521">
        <f t="shared" ca="1" si="15"/>
        <v>821.88306122448955</v>
      </c>
    </row>
    <row r="522" spans="1:4" x14ac:dyDescent="0.25">
      <c r="A522" s="2">
        <f ca="1">IFERROR(__xludf.DUMMYFUNCTION("""COMPUTED_VALUE"""),45141.6458333333)</f>
        <v>45141.645833333299</v>
      </c>
      <c r="B522" s="1">
        <f ca="1">IFERROR(__xludf.DUMMYFUNCTION("""COMPUTED_VALUE"""),814.33)</f>
        <v>814.33</v>
      </c>
      <c r="C522" s="3">
        <f t="shared" ca="1" si="16"/>
        <v>-7.2173117951843451E-3</v>
      </c>
      <c r="D522">
        <f t="shared" ca="1" si="15"/>
        <v>822.13510204081626</v>
      </c>
    </row>
    <row r="523" spans="1:4" x14ac:dyDescent="0.25">
      <c r="A523" s="2">
        <f ca="1">IFERROR(__xludf.DUMMYFUNCTION("""COMPUTED_VALUE"""),45142.6458333333)</f>
        <v>45142.645833333299</v>
      </c>
      <c r="B523" s="1">
        <f ca="1">IFERROR(__xludf.DUMMYFUNCTION("""COMPUTED_VALUE"""),826.1)</f>
        <v>826.1</v>
      </c>
      <c r="C523" s="3">
        <f t="shared" ca="1" si="16"/>
        <v>1.4453599891935679E-2</v>
      </c>
      <c r="D523">
        <f t="shared" ca="1" si="15"/>
        <v>822.32959183673461</v>
      </c>
    </row>
    <row r="524" spans="1:4" x14ac:dyDescent="0.25">
      <c r="A524" s="2">
        <f ca="1">IFERROR(__xludf.DUMMYFUNCTION("""COMPUTED_VALUE"""),45145.6458333333)</f>
        <v>45145.645833333299</v>
      </c>
      <c r="B524" s="1">
        <f ca="1">IFERROR(__xludf.DUMMYFUNCTION("""COMPUTED_VALUE"""),825.63)</f>
        <v>825.63</v>
      </c>
      <c r="C524" s="3">
        <f t="shared" ca="1" si="16"/>
        <v>-5.6893838518342482E-4</v>
      </c>
      <c r="D524">
        <f t="shared" ca="1" si="15"/>
        <v>822.70102040816323</v>
      </c>
    </row>
    <row r="525" spans="1:4" x14ac:dyDescent="0.25">
      <c r="A525" s="2">
        <f ca="1">IFERROR(__xludf.DUMMYFUNCTION("""COMPUTED_VALUE"""),45146.6458333333)</f>
        <v>45146.645833333299</v>
      </c>
      <c r="B525" s="1">
        <f ca="1">IFERROR(__xludf.DUMMYFUNCTION("""COMPUTED_VALUE"""),824.95)</f>
        <v>824.95</v>
      </c>
      <c r="C525" s="3">
        <f t="shared" ca="1" si="16"/>
        <v>-8.236134830371353E-4</v>
      </c>
      <c r="D525">
        <f t="shared" ca="1" si="15"/>
        <v>822.86183673469395</v>
      </c>
    </row>
    <row r="526" spans="1:4" x14ac:dyDescent="0.25">
      <c r="A526" s="2">
        <f ca="1">IFERROR(__xludf.DUMMYFUNCTION("""COMPUTED_VALUE"""),45147.6458333333)</f>
        <v>45147.645833333299</v>
      </c>
      <c r="B526" s="1">
        <f ca="1">IFERROR(__xludf.DUMMYFUNCTION("""COMPUTED_VALUE"""),825.25)</f>
        <v>825.25</v>
      </c>
      <c r="C526" s="3">
        <f t="shared" ca="1" si="16"/>
        <v>3.6365840353955333E-4</v>
      </c>
      <c r="D526">
        <f t="shared" ca="1" si="15"/>
        <v>822.9959183673468</v>
      </c>
    </row>
    <row r="527" spans="1:4" x14ac:dyDescent="0.25">
      <c r="A527" s="2">
        <f ca="1">IFERROR(__xludf.DUMMYFUNCTION("""COMPUTED_VALUE"""),45148.6458333333)</f>
        <v>45148.645833333299</v>
      </c>
      <c r="B527" s="1">
        <f ca="1">IFERROR(__xludf.DUMMYFUNCTION("""COMPUTED_VALUE"""),817.93)</f>
        <v>817.93</v>
      </c>
      <c r="C527" s="3">
        <f t="shared" ca="1" si="16"/>
        <v>-8.8700393820055137E-3</v>
      </c>
      <c r="D527">
        <f t="shared" ca="1" si="15"/>
        <v>823.40040816326507</v>
      </c>
    </row>
    <row r="528" spans="1:4" x14ac:dyDescent="0.25">
      <c r="A528" s="2">
        <f ca="1">IFERROR(__xludf.DUMMYFUNCTION("""COMPUTED_VALUE"""),45149.6458333333)</f>
        <v>45149.645833333299</v>
      </c>
      <c r="B528" s="1">
        <f ca="1">IFERROR(__xludf.DUMMYFUNCTION("""COMPUTED_VALUE"""),809.4)</f>
        <v>809.4</v>
      </c>
      <c r="C528" s="3">
        <f t="shared" ca="1" si="16"/>
        <v>-1.0428765297763834E-2</v>
      </c>
      <c r="D528">
        <f t="shared" ca="1" si="15"/>
        <v>823.7255102040815</v>
      </c>
    </row>
    <row r="529" spans="1:4" x14ac:dyDescent="0.25">
      <c r="A529" s="2">
        <f ca="1">IFERROR(__xludf.DUMMYFUNCTION("""COMPUTED_VALUE"""),45152.6458333333)</f>
        <v>45152.645833333299</v>
      </c>
      <c r="B529" s="1">
        <f ca="1">IFERROR(__xludf.DUMMYFUNCTION("""COMPUTED_VALUE"""),805.45)</f>
        <v>805.45</v>
      </c>
      <c r="C529" s="3">
        <f t="shared" ca="1" si="16"/>
        <v>-4.8801581418333731E-3</v>
      </c>
      <c r="D529">
        <f t="shared" ca="1" si="15"/>
        <v>823.85102040816321</v>
      </c>
    </row>
    <row r="530" spans="1:4" x14ac:dyDescent="0.25">
      <c r="A530" s="2">
        <f ca="1">IFERROR(__xludf.DUMMYFUNCTION("""COMPUTED_VALUE"""),45154.6458333333)</f>
        <v>45154.645833333299</v>
      </c>
      <c r="B530" s="1">
        <f ca="1">IFERROR(__xludf.DUMMYFUNCTION("""COMPUTED_VALUE"""),803.1)</f>
        <v>803.1</v>
      </c>
      <c r="C530" s="3">
        <f t="shared" ca="1" si="16"/>
        <v>-2.9176236886212957E-3</v>
      </c>
      <c r="D530">
        <f t="shared" ca="1" si="15"/>
        <v>823.91734693877549</v>
      </c>
    </row>
    <row r="531" spans="1:4" x14ac:dyDescent="0.25">
      <c r="A531" s="2">
        <f ca="1">IFERROR(__xludf.DUMMYFUNCTION("""COMPUTED_VALUE"""),45155.6458333333)</f>
        <v>45155.645833333299</v>
      </c>
      <c r="B531" s="1">
        <f ca="1">IFERROR(__xludf.DUMMYFUNCTION("""COMPUTED_VALUE"""),798.65)</f>
        <v>798.65</v>
      </c>
      <c r="C531" s="3">
        <f t="shared" ca="1" si="16"/>
        <v>-5.5410285145063446E-3</v>
      </c>
      <c r="D531">
        <f t="shared" ca="1" si="15"/>
        <v>823.98673469387734</v>
      </c>
    </row>
    <row r="532" spans="1:4" x14ac:dyDescent="0.25">
      <c r="A532" s="2">
        <f ca="1">IFERROR(__xludf.DUMMYFUNCTION("""COMPUTED_VALUE"""),45156.6458333333)</f>
        <v>45156.645833333299</v>
      </c>
      <c r="B532" s="1">
        <f ca="1">IFERROR(__xludf.DUMMYFUNCTION("""COMPUTED_VALUE"""),795.38)</f>
        <v>795.38</v>
      </c>
      <c r="C532" s="3">
        <f t="shared" ca="1" si="16"/>
        <v>-4.0944093157202557E-3</v>
      </c>
      <c r="D532">
        <f t="shared" ca="1" si="15"/>
        <v>823.88061224489786</v>
      </c>
    </row>
    <row r="533" spans="1:4" x14ac:dyDescent="0.25">
      <c r="A533" s="2">
        <f ca="1">IFERROR(__xludf.DUMMYFUNCTION("""COMPUTED_VALUE"""),45159.6458333333)</f>
        <v>45159.645833333299</v>
      </c>
      <c r="B533" s="1">
        <f ca="1">IFERROR(__xludf.DUMMYFUNCTION("""COMPUTED_VALUE"""),794.75)</f>
        <v>794.75</v>
      </c>
      <c r="C533" s="3">
        <f t="shared" ca="1" si="16"/>
        <v>-7.9207422867056689E-4</v>
      </c>
      <c r="D533">
        <f t="shared" ca="1" si="15"/>
        <v>823.69755102040801</v>
      </c>
    </row>
    <row r="534" spans="1:4" x14ac:dyDescent="0.25">
      <c r="A534" s="2">
        <f ca="1">IFERROR(__xludf.DUMMYFUNCTION("""COMPUTED_VALUE"""),45160.6458333333)</f>
        <v>45160.645833333299</v>
      </c>
      <c r="B534" s="1">
        <f ca="1">IFERROR(__xludf.DUMMYFUNCTION("""COMPUTED_VALUE"""),791.35)</f>
        <v>791.35</v>
      </c>
      <c r="C534" s="3">
        <f t="shared" ca="1" si="16"/>
        <v>-4.2780748663101319E-3</v>
      </c>
      <c r="D534">
        <f t="shared" ca="1" si="15"/>
        <v>823.48224489795916</v>
      </c>
    </row>
    <row r="535" spans="1:4" x14ac:dyDescent="0.25">
      <c r="A535" s="2">
        <f ca="1">IFERROR(__xludf.DUMMYFUNCTION("""COMPUTED_VALUE"""),45161.6458333333)</f>
        <v>45161.645833333299</v>
      </c>
      <c r="B535" s="1">
        <f ca="1">IFERROR(__xludf.DUMMYFUNCTION("""COMPUTED_VALUE"""),793.3)</f>
        <v>793.3</v>
      </c>
      <c r="C535" s="3">
        <f t="shared" ca="1" si="16"/>
        <v>2.4641435521576189E-3</v>
      </c>
      <c r="D535">
        <f t="shared" ca="1" si="15"/>
        <v>823.29755102040804</v>
      </c>
    </row>
    <row r="536" spans="1:4" x14ac:dyDescent="0.25">
      <c r="A536" s="2">
        <f ca="1">IFERROR(__xludf.DUMMYFUNCTION("""COMPUTED_VALUE"""),45162.6458333333)</f>
        <v>45162.645833333299</v>
      </c>
      <c r="B536" s="1">
        <f ca="1">IFERROR(__xludf.DUMMYFUNCTION("""COMPUTED_VALUE"""),789.65)</f>
        <v>789.65</v>
      </c>
      <c r="C536" s="3">
        <f t="shared" ca="1" si="16"/>
        <v>-4.6010336568763112E-3</v>
      </c>
      <c r="D536">
        <f t="shared" ca="1" si="15"/>
        <v>823.12510204081639</v>
      </c>
    </row>
    <row r="537" spans="1:4" x14ac:dyDescent="0.25">
      <c r="A537" s="2">
        <f ca="1">IFERROR(__xludf.DUMMYFUNCTION("""COMPUTED_VALUE"""),45163.6458333333)</f>
        <v>45163.645833333299</v>
      </c>
      <c r="B537" s="1">
        <f ca="1">IFERROR(__xludf.DUMMYFUNCTION("""COMPUTED_VALUE"""),780.75)</f>
        <v>780.75</v>
      </c>
      <c r="C537" s="3">
        <f t="shared" ca="1" si="16"/>
        <v>-1.1270816184385459E-2</v>
      </c>
      <c r="D537">
        <f t="shared" ca="1" si="15"/>
        <v>822.89591836734701</v>
      </c>
    </row>
    <row r="538" spans="1:4" x14ac:dyDescent="0.25">
      <c r="A538" s="2">
        <f ca="1">IFERROR(__xludf.DUMMYFUNCTION("""COMPUTED_VALUE"""),45166.6458333333)</f>
        <v>45166.645833333299</v>
      </c>
      <c r="B538" s="1">
        <f ca="1">IFERROR(__xludf.DUMMYFUNCTION("""COMPUTED_VALUE"""),788.88)</f>
        <v>788.88</v>
      </c>
      <c r="C538" s="3">
        <f t="shared" ca="1" si="16"/>
        <v>1.0413064361191156E-2</v>
      </c>
      <c r="D538">
        <f t="shared" ca="1" si="15"/>
        <v>822.68612244897963</v>
      </c>
    </row>
    <row r="539" spans="1:4" x14ac:dyDescent="0.25">
      <c r="A539" s="2">
        <f ca="1">IFERROR(__xludf.DUMMYFUNCTION("""COMPUTED_VALUE"""),45167.6458333333)</f>
        <v>45167.645833333299</v>
      </c>
      <c r="B539" s="1">
        <f ca="1">IFERROR(__xludf.DUMMYFUNCTION("""COMPUTED_VALUE"""),795.15)</f>
        <v>795.15</v>
      </c>
      <c r="C539" s="3">
        <f t="shared" ca="1" si="16"/>
        <v>7.9479768786126937E-3</v>
      </c>
      <c r="D539">
        <f t="shared" ca="1" si="15"/>
        <v>822.43102040816336</v>
      </c>
    </row>
    <row r="540" spans="1:4" x14ac:dyDescent="0.25">
      <c r="A540" s="2">
        <f ca="1">IFERROR(__xludf.DUMMYFUNCTION("""COMPUTED_VALUE"""),45168.6458333333)</f>
        <v>45168.645833333299</v>
      </c>
      <c r="B540" s="1">
        <f ca="1">IFERROR(__xludf.DUMMYFUNCTION("""COMPUTED_VALUE"""),789.35)</f>
        <v>789.35</v>
      </c>
      <c r="C540" s="3">
        <f t="shared" ca="1" si="16"/>
        <v>-7.2942212161226875E-3</v>
      </c>
      <c r="D540">
        <f t="shared" ca="1" si="15"/>
        <v>822.28959183673487</v>
      </c>
    </row>
    <row r="541" spans="1:4" x14ac:dyDescent="0.25">
      <c r="A541" s="2">
        <f ca="1">IFERROR(__xludf.DUMMYFUNCTION("""COMPUTED_VALUE"""),45169.6458333333)</f>
        <v>45169.645833333299</v>
      </c>
      <c r="B541" s="1">
        <f ca="1">IFERROR(__xludf.DUMMYFUNCTION("""COMPUTED_VALUE"""),785.73)</f>
        <v>785.73</v>
      </c>
      <c r="C541" s="3">
        <f t="shared" ca="1" si="16"/>
        <v>-4.5860518147843215E-3</v>
      </c>
      <c r="D541">
        <f t="shared" ca="1" si="15"/>
        <v>821.99571428571426</v>
      </c>
    </row>
    <row r="542" spans="1:4" x14ac:dyDescent="0.25">
      <c r="A542" s="2">
        <f ca="1">IFERROR(__xludf.DUMMYFUNCTION("""COMPUTED_VALUE"""),45170.6458333333)</f>
        <v>45170.645833333299</v>
      </c>
      <c r="B542" s="1">
        <f ca="1">IFERROR(__xludf.DUMMYFUNCTION("""COMPUTED_VALUE"""),787.35)</f>
        <v>787.35</v>
      </c>
      <c r="C542" s="3">
        <f t="shared" ca="1" si="16"/>
        <v>2.061776946279262E-3</v>
      </c>
      <c r="D542">
        <f t="shared" ca="1" si="15"/>
        <v>821.3412244897961</v>
      </c>
    </row>
    <row r="543" spans="1:4" x14ac:dyDescent="0.25">
      <c r="A543" s="2">
        <f ca="1">IFERROR(__xludf.DUMMYFUNCTION("""COMPUTED_VALUE"""),45173.6458333333)</f>
        <v>45173.645833333299</v>
      </c>
      <c r="B543" s="1">
        <f ca="1">IFERROR(__xludf.DUMMYFUNCTION("""COMPUTED_VALUE"""),792.28)</f>
        <v>792.28</v>
      </c>
      <c r="C543" s="3">
        <f t="shared" ca="1" si="16"/>
        <v>6.2615101289133805E-3</v>
      </c>
      <c r="D543">
        <f t="shared" ca="1" si="15"/>
        <v>820.63816326530616</v>
      </c>
    </row>
    <row r="544" spans="1:4" x14ac:dyDescent="0.25">
      <c r="A544" s="2">
        <f ca="1">IFERROR(__xludf.DUMMYFUNCTION("""COMPUTED_VALUE"""),45174.6458333333)</f>
        <v>45174.645833333299</v>
      </c>
      <c r="B544" s="1">
        <f ca="1">IFERROR(__xludf.DUMMYFUNCTION("""COMPUTED_VALUE"""),787.45)</f>
        <v>787.45</v>
      </c>
      <c r="C544" s="3">
        <f t="shared" ca="1" si="16"/>
        <v>-6.0963295804512636E-3</v>
      </c>
      <c r="D544">
        <f t="shared" ca="1" si="15"/>
        <v>820.03673469387763</v>
      </c>
    </row>
    <row r="545" spans="1:4" x14ac:dyDescent="0.25">
      <c r="A545" s="2">
        <f ca="1">IFERROR(__xludf.DUMMYFUNCTION("""COMPUTED_VALUE"""),45175.6458333333)</f>
        <v>45175.645833333299</v>
      </c>
      <c r="B545" s="1">
        <f ca="1">IFERROR(__xludf.DUMMYFUNCTION("""COMPUTED_VALUE"""),797.75)</f>
        <v>797.75</v>
      </c>
      <c r="C545" s="3">
        <f t="shared" ca="1" si="16"/>
        <v>1.308019556797251E-2</v>
      </c>
      <c r="D545">
        <f t="shared" ca="1" si="15"/>
        <v>819.41775510204081</v>
      </c>
    </row>
    <row r="546" spans="1:4" x14ac:dyDescent="0.25">
      <c r="A546" s="2">
        <f ca="1">IFERROR(__xludf.DUMMYFUNCTION("""COMPUTED_VALUE"""),45176.6458333333)</f>
        <v>45176.645833333299</v>
      </c>
      <c r="B546" s="1">
        <f ca="1">IFERROR(__xludf.DUMMYFUNCTION("""COMPUTED_VALUE"""),805.43)</f>
        <v>805.43</v>
      </c>
      <c r="C546" s="3">
        <f t="shared" ca="1" si="16"/>
        <v>9.6270761516765273E-3</v>
      </c>
      <c r="D546">
        <f t="shared" ca="1" si="15"/>
        <v>818.77387755102041</v>
      </c>
    </row>
    <row r="547" spans="1:4" x14ac:dyDescent="0.25">
      <c r="A547" s="2">
        <f ca="1">IFERROR(__xludf.DUMMYFUNCTION("""COMPUTED_VALUE"""),45177.6458333333)</f>
        <v>45177.645833333299</v>
      </c>
      <c r="B547" s="1">
        <f ca="1">IFERROR(__xludf.DUMMYFUNCTION("""COMPUTED_VALUE"""),811.7)</f>
        <v>811.7</v>
      </c>
      <c r="C547" s="3">
        <f t="shared" ca="1" si="16"/>
        <v>7.7846616093268138E-3</v>
      </c>
      <c r="D547">
        <f t="shared" ca="1" si="15"/>
        <v>818.10755102040821</v>
      </c>
    </row>
    <row r="548" spans="1:4" x14ac:dyDescent="0.25">
      <c r="A548" s="2">
        <f ca="1">IFERROR(__xludf.DUMMYFUNCTION("""COMPUTED_VALUE"""),45180.6458333333)</f>
        <v>45180.645833333299</v>
      </c>
      <c r="B548" s="1">
        <f ca="1">IFERROR(__xludf.DUMMYFUNCTION("""COMPUTED_VALUE"""),815.9)</f>
        <v>815.9</v>
      </c>
      <c r="C548" s="3">
        <f t="shared" ca="1" si="16"/>
        <v>5.1743254897128636E-3</v>
      </c>
      <c r="D548">
        <f t="shared" ca="1" si="15"/>
        <v>817.31163265306111</v>
      </c>
    </row>
    <row r="549" spans="1:4" x14ac:dyDescent="0.25">
      <c r="A549" s="2">
        <f ca="1">IFERROR(__xludf.DUMMYFUNCTION("""COMPUTED_VALUE"""),45181.6458333333)</f>
        <v>45181.645833333299</v>
      </c>
      <c r="B549" s="1">
        <f ca="1">IFERROR(__xludf.DUMMYFUNCTION("""COMPUTED_VALUE"""),818.45)</f>
        <v>818.45</v>
      </c>
      <c r="C549" s="3">
        <f t="shared" ca="1" si="16"/>
        <v>3.1253830126241797E-3</v>
      </c>
      <c r="D549">
        <f t="shared" ca="1" si="15"/>
        <v>816.41367346938773</v>
      </c>
    </row>
    <row r="550" spans="1:4" x14ac:dyDescent="0.25">
      <c r="A550" s="2">
        <f ca="1">IFERROR(__xludf.DUMMYFUNCTION("""COMPUTED_VALUE"""),45182.6458333333)</f>
        <v>45182.645833333299</v>
      </c>
      <c r="B550" s="1">
        <f ca="1">IFERROR(__xludf.DUMMYFUNCTION("""COMPUTED_VALUE"""),821.95)</f>
        <v>821.95</v>
      </c>
      <c r="C550" s="3">
        <f t="shared" ca="1" si="16"/>
        <v>4.2763760767304052E-3</v>
      </c>
      <c r="D550">
        <f t="shared" ca="1" si="15"/>
        <v>815.48204081632639</v>
      </c>
    </row>
    <row r="551" spans="1:4" x14ac:dyDescent="0.25">
      <c r="A551" s="2">
        <f ca="1">IFERROR(__xludf.DUMMYFUNCTION("""COMPUTED_VALUE"""),45183.6458333333)</f>
        <v>45183.645833333299</v>
      </c>
      <c r="B551" s="1">
        <f ca="1">IFERROR(__xludf.DUMMYFUNCTION("""COMPUTED_VALUE"""),821.45)</f>
        <v>821.45</v>
      </c>
      <c r="C551" s="3">
        <f t="shared" ca="1" si="16"/>
        <v>-6.0830950787760804E-4</v>
      </c>
      <c r="D551">
        <f t="shared" ca="1" si="15"/>
        <v>815.18204081632632</v>
      </c>
    </row>
    <row r="552" spans="1:4" x14ac:dyDescent="0.25">
      <c r="A552" s="2">
        <f ca="1">IFERROR(__xludf.DUMMYFUNCTION("""COMPUTED_VALUE"""),45184.6458333333)</f>
        <v>45184.645833333299</v>
      </c>
      <c r="B552" s="1">
        <f ca="1">IFERROR(__xludf.DUMMYFUNCTION("""COMPUTED_VALUE"""),830.88)</f>
        <v>830.88</v>
      </c>
      <c r="C552" s="3">
        <f t="shared" ca="1" si="16"/>
        <v>1.1479700529551341E-2</v>
      </c>
      <c r="D552">
        <f t="shared" ca="1" si="15"/>
        <v>814.85448979591808</v>
      </c>
    </row>
    <row r="553" spans="1:4" x14ac:dyDescent="0.25">
      <c r="A553" s="2">
        <f ca="1">IFERROR(__xludf.DUMMYFUNCTION("""COMPUTED_VALUE"""),45187.6458333333)</f>
        <v>45187.645833333299</v>
      </c>
      <c r="B553" s="1">
        <f ca="1">IFERROR(__xludf.DUMMYFUNCTION("""COMPUTED_VALUE"""),814.53)</f>
        <v>814.53</v>
      </c>
      <c r="C553" s="3">
        <f t="shared" ca="1" si="16"/>
        <v>-1.9677931831311408E-2</v>
      </c>
      <c r="D553">
        <f t="shared" ca="1" si="15"/>
        <v>814.8683673469385</v>
      </c>
    </row>
    <row r="554" spans="1:4" x14ac:dyDescent="0.25">
      <c r="A554" s="2">
        <f ca="1">IFERROR(__xludf.DUMMYFUNCTION("""COMPUTED_VALUE"""),45189.6458333333)</f>
        <v>45189.645833333299</v>
      </c>
      <c r="B554" s="1">
        <f ca="1">IFERROR(__xludf.DUMMYFUNCTION("""COMPUTED_VALUE"""),781.85)</f>
        <v>781.85</v>
      </c>
      <c r="C554" s="3">
        <f t="shared" ca="1" si="16"/>
        <v>-4.0121296944249998E-2</v>
      </c>
      <c r="D554">
        <f t="shared" ca="1" si="15"/>
        <v>814.58877551020373</v>
      </c>
    </row>
    <row r="555" spans="1:4" x14ac:dyDescent="0.25">
      <c r="A555" s="2">
        <f ca="1">IFERROR(__xludf.DUMMYFUNCTION("""COMPUTED_VALUE"""),45190.6458333333)</f>
        <v>45190.645833333299</v>
      </c>
      <c r="B555" s="1">
        <f ca="1">IFERROR(__xludf.DUMMYFUNCTION("""COMPUTED_VALUE"""),776.68)</f>
        <v>776.68</v>
      </c>
      <c r="C555" s="3">
        <f t="shared" ca="1" si="16"/>
        <v>-6.6125215834240232E-3</v>
      </c>
      <c r="D555">
        <f t="shared" ca="1" si="15"/>
        <v>813.72448979591809</v>
      </c>
    </row>
    <row r="556" spans="1:4" x14ac:dyDescent="0.25">
      <c r="A556" s="2">
        <f ca="1">IFERROR(__xludf.DUMMYFUNCTION("""COMPUTED_VALUE"""),45191.6458333333)</f>
        <v>45191.645833333299</v>
      </c>
      <c r="B556" s="1">
        <f ca="1">IFERROR(__xludf.DUMMYFUNCTION("""COMPUTED_VALUE"""),764.83)</f>
        <v>764.83</v>
      </c>
      <c r="C556" s="3">
        <f t="shared" ca="1" si="16"/>
        <v>-1.5257248802595547E-2</v>
      </c>
      <c r="D556">
        <f t="shared" ca="1" si="15"/>
        <v>812.912244897959</v>
      </c>
    </row>
    <row r="557" spans="1:4" x14ac:dyDescent="0.25">
      <c r="A557" s="2">
        <f ca="1">IFERROR(__xludf.DUMMYFUNCTION("""COMPUTED_VALUE"""),45194.6458333333)</f>
        <v>45194.645833333299</v>
      </c>
      <c r="B557" s="1">
        <f ca="1">IFERROR(__xludf.DUMMYFUNCTION("""COMPUTED_VALUE"""),765.5)</f>
        <v>765.5</v>
      </c>
      <c r="C557" s="3">
        <f t="shared" ca="1" si="16"/>
        <v>8.7601166272238153E-4</v>
      </c>
      <c r="D557">
        <f t="shared" ca="1" si="15"/>
        <v>811.77510204081614</v>
      </c>
    </row>
    <row r="558" spans="1:4" x14ac:dyDescent="0.25">
      <c r="A558" s="2">
        <f ca="1">IFERROR(__xludf.DUMMYFUNCTION("""COMPUTED_VALUE"""),45195.6458333333)</f>
        <v>45195.645833333299</v>
      </c>
      <c r="B558" s="1">
        <f ca="1">IFERROR(__xludf.DUMMYFUNCTION("""COMPUTED_VALUE"""),768.83)</f>
        <v>768.83</v>
      </c>
      <c r="C558" s="3">
        <f t="shared" ca="1" si="16"/>
        <v>4.3500979751796747E-3</v>
      </c>
      <c r="D558">
        <f t="shared" ca="1" si="15"/>
        <v>810.61693877551011</v>
      </c>
    </row>
    <row r="559" spans="1:4" x14ac:dyDescent="0.25">
      <c r="A559" s="2">
        <f ca="1">IFERROR(__xludf.DUMMYFUNCTION("""COMPUTED_VALUE"""),45196.6458333333)</f>
        <v>45196.645833333299</v>
      </c>
      <c r="B559" s="1">
        <f ca="1">IFERROR(__xludf.DUMMYFUNCTION("""COMPUTED_VALUE"""),763.43)</f>
        <v>763.43</v>
      </c>
      <c r="C559" s="3">
        <f t="shared" ca="1" si="16"/>
        <v>-7.0236593265092292E-3</v>
      </c>
      <c r="D559">
        <f t="shared" ca="1" si="15"/>
        <v>809.17571428571409</v>
      </c>
    </row>
    <row r="560" spans="1:4" x14ac:dyDescent="0.25">
      <c r="A560" s="2">
        <f ca="1">IFERROR(__xludf.DUMMYFUNCTION("""COMPUTED_VALUE"""),45197.6458333333)</f>
        <v>45197.645833333299</v>
      </c>
      <c r="B560" s="1">
        <f ca="1">IFERROR(__xludf.DUMMYFUNCTION("""COMPUTED_VALUE"""),761.85)</f>
        <v>761.85</v>
      </c>
      <c r="C560" s="3">
        <f t="shared" ca="1" si="16"/>
        <v>-2.0696069056756051E-3</v>
      </c>
      <c r="D560">
        <f t="shared" ca="1" si="15"/>
        <v>807.63857142857148</v>
      </c>
    </row>
    <row r="561" spans="1:4" x14ac:dyDescent="0.25">
      <c r="A561" s="2">
        <f ca="1">IFERROR(__xludf.DUMMYFUNCTION("""COMPUTED_VALUE"""),45198.6458333333)</f>
        <v>45198.645833333299</v>
      </c>
      <c r="B561" s="1">
        <f ca="1">IFERROR(__xludf.DUMMYFUNCTION("""COMPUTED_VALUE"""),763.15)</f>
        <v>763.15</v>
      </c>
      <c r="C561" s="3">
        <f t="shared" ca="1" si="16"/>
        <v>1.706372645533838E-3</v>
      </c>
      <c r="D561">
        <f t="shared" ca="1" si="15"/>
        <v>805.99163265306129</v>
      </c>
    </row>
    <row r="562" spans="1:4" x14ac:dyDescent="0.25">
      <c r="A562" s="2">
        <f ca="1">IFERROR(__xludf.DUMMYFUNCTION("""COMPUTED_VALUE"""),45202.6458333333)</f>
        <v>45202.645833333299</v>
      </c>
      <c r="B562" s="1">
        <f ca="1">IFERROR(__xludf.DUMMYFUNCTION("""COMPUTED_VALUE"""),754.03)</f>
        <v>754.03</v>
      </c>
      <c r="C562" s="3">
        <f t="shared" ca="1" si="16"/>
        <v>-1.1950468453121935E-2</v>
      </c>
      <c r="D562">
        <f t="shared" ca="1" si="15"/>
        <v>804.33387755102058</v>
      </c>
    </row>
    <row r="563" spans="1:4" x14ac:dyDescent="0.25">
      <c r="A563" s="2">
        <f ca="1">IFERROR(__xludf.DUMMYFUNCTION("""COMPUTED_VALUE"""),45203.6458333333)</f>
        <v>45203.645833333299</v>
      </c>
      <c r="B563" s="1">
        <f ca="1">IFERROR(__xludf.DUMMYFUNCTION("""COMPUTED_VALUE"""),764.78)</f>
        <v>764.78</v>
      </c>
      <c r="C563" s="3">
        <f t="shared" ca="1" si="16"/>
        <v>1.4256727185920985E-2</v>
      </c>
      <c r="D563">
        <f t="shared" ca="1" si="15"/>
        <v>802.6226530612247</v>
      </c>
    </row>
    <row r="564" spans="1:4" x14ac:dyDescent="0.25">
      <c r="A564" s="2">
        <f ca="1">IFERROR(__xludf.DUMMYFUNCTION("""COMPUTED_VALUE"""),45204.6458333333)</f>
        <v>45204.645833333299</v>
      </c>
      <c r="B564" s="1">
        <f ca="1">IFERROR(__xludf.DUMMYFUNCTION("""COMPUTED_VALUE"""),767.88)</f>
        <v>767.88</v>
      </c>
      <c r="C564" s="3">
        <f t="shared" ca="1" si="16"/>
        <v>4.053453280682056E-3</v>
      </c>
      <c r="D564">
        <f t="shared" ref="D564:D627" ca="1" si="17">AVERAGE(B515:B563)</f>
        <v>801.10387755102045</v>
      </c>
    </row>
    <row r="565" spans="1:4" x14ac:dyDescent="0.25">
      <c r="A565" s="2">
        <f ca="1">IFERROR(__xludf.DUMMYFUNCTION("""COMPUTED_VALUE"""),45205.6458333333)</f>
        <v>45205.645833333299</v>
      </c>
      <c r="B565" s="1">
        <f ca="1">IFERROR(__xludf.DUMMYFUNCTION("""COMPUTED_VALUE"""),767.03)</f>
        <v>767.03</v>
      </c>
      <c r="C565" s="3">
        <f t="shared" ca="1" si="16"/>
        <v>-1.1069437933010663E-3</v>
      </c>
      <c r="D565">
        <f t="shared" ca="1" si="17"/>
        <v>799.4626530612245</v>
      </c>
    </row>
    <row r="566" spans="1:4" x14ac:dyDescent="0.25">
      <c r="A566" s="2">
        <f ca="1">IFERROR(__xludf.DUMMYFUNCTION("""COMPUTED_VALUE"""),45208.6458333333)</f>
        <v>45208.645833333299</v>
      </c>
      <c r="B566" s="1">
        <f ca="1">IFERROR(__xludf.DUMMYFUNCTION("""COMPUTED_VALUE"""),758.13)</f>
        <v>758.13</v>
      </c>
      <c r="C566" s="3">
        <f t="shared" ca="1" si="16"/>
        <v>-1.1603196745889962E-2</v>
      </c>
      <c r="D566">
        <f t="shared" ca="1" si="17"/>
        <v>797.86428571428564</v>
      </c>
    </row>
    <row r="567" spans="1:4" x14ac:dyDescent="0.25">
      <c r="A567" s="2">
        <f ca="1">IFERROR(__xludf.DUMMYFUNCTION("""COMPUTED_VALUE"""),45209.6458333333)</f>
        <v>45209.645833333299</v>
      </c>
      <c r="B567" s="1">
        <f ca="1">IFERROR(__xludf.DUMMYFUNCTION("""COMPUTED_VALUE"""),762.43)</f>
        <v>762.43</v>
      </c>
      <c r="C567" s="3">
        <f t="shared" ca="1" si="16"/>
        <v>5.6718504741930208E-3</v>
      </c>
      <c r="D567">
        <f t="shared" ca="1" si="17"/>
        <v>796.26326530612232</v>
      </c>
    </row>
    <row r="568" spans="1:4" x14ac:dyDescent="0.25">
      <c r="A568" s="2">
        <f ca="1">IFERROR(__xludf.DUMMYFUNCTION("""COMPUTED_VALUE"""),45210.6458333333)</f>
        <v>45210.645833333299</v>
      </c>
      <c r="B568" s="1">
        <f ca="1">IFERROR(__xludf.DUMMYFUNCTION("""COMPUTED_VALUE"""),769.8)</f>
        <v>769.8</v>
      </c>
      <c r="C568" s="3">
        <f t="shared" ca="1" si="16"/>
        <v>9.6664611833217548E-3</v>
      </c>
      <c r="D568">
        <f t="shared" ca="1" si="17"/>
        <v>795.05265306122442</v>
      </c>
    </row>
    <row r="569" spans="1:4" x14ac:dyDescent="0.25">
      <c r="A569" s="2">
        <f ca="1">IFERROR(__xludf.DUMMYFUNCTION("""COMPUTED_VALUE"""),45211.6458333333)</f>
        <v>45211.645833333299</v>
      </c>
      <c r="B569" s="1">
        <f ca="1">IFERROR(__xludf.DUMMYFUNCTION("""COMPUTED_VALUE"""),774.93)</f>
        <v>774.93</v>
      </c>
      <c r="C569" s="3">
        <f t="shared" ca="1" si="16"/>
        <v>6.6640685892439535E-3</v>
      </c>
      <c r="D569">
        <f t="shared" ca="1" si="17"/>
        <v>793.91387755102039</v>
      </c>
    </row>
    <row r="570" spans="1:4" x14ac:dyDescent="0.25">
      <c r="A570" s="2">
        <f ca="1">IFERROR(__xludf.DUMMYFUNCTION("""COMPUTED_VALUE"""),45212.6458333333)</f>
        <v>45212.645833333299</v>
      </c>
      <c r="B570" s="1">
        <f ca="1">IFERROR(__xludf.DUMMYFUNCTION("""COMPUTED_VALUE"""),767.88)</f>
        <v>767.88</v>
      </c>
      <c r="C570" s="3">
        <f t="shared" ca="1" si="16"/>
        <v>-9.0975959118887572E-3</v>
      </c>
      <c r="D570">
        <f t="shared" ca="1" si="17"/>
        <v>792.7669387755102</v>
      </c>
    </row>
    <row r="571" spans="1:4" x14ac:dyDescent="0.25">
      <c r="A571" s="2">
        <f ca="1">IFERROR(__xludf.DUMMYFUNCTION("""COMPUTED_VALUE"""),45215.6458333333)</f>
        <v>45215.645833333299</v>
      </c>
      <c r="B571" s="1">
        <f ca="1">IFERROR(__xludf.DUMMYFUNCTION("""COMPUTED_VALUE"""),764.8)</f>
        <v>764.8</v>
      </c>
      <c r="C571" s="3">
        <f t="shared" ca="1" si="16"/>
        <v>-4.0110433921967505E-3</v>
      </c>
      <c r="D571">
        <f t="shared" ca="1" si="17"/>
        <v>791.69816326530611</v>
      </c>
    </row>
    <row r="572" spans="1:4" x14ac:dyDescent="0.25">
      <c r="A572" s="2">
        <f ca="1">IFERROR(__xludf.DUMMYFUNCTION("""COMPUTED_VALUE"""),45216.6458333333)</f>
        <v>45216.645833333299</v>
      </c>
      <c r="B572" s="1">
        <f ca="1">IFERROR(__xludf.DUMMYFUNCTION("""COMPUTED_VALUE"""),770.6)</f>
        <v>770.6</v>
      </c>
      <c r="C572" s="3">
        <f t="shared" ca="1" si="16"/>
        <v>7.5836820083682909E-3</v>
      </c>
      <c r="D572">
        <f t="shared" ca="1" si="17"/>
        <v>790.68734693877548</v>
      </c>
    </row>
    <row r="573" spans="1:4" x14ac:dyDescent="0.25">
      <c r="A573" s="2">
        <f ca="1">IFERROR(__xludf.DUMMYFUNCTION("""COMPUTED_VALUE"""),45217.6458333333)</f>
        <v>45217.645833333299</v>
      </c>
      <c r="B573" s="1">
        <f ca="1">IFERROR(__xludf.DUMMYFUNCTION("""COMPUTED_VALUE"""),759.88)</f>
        <v>759.88</v>
      </c>
      <c r="C573" s="3">
        <f t="shared" ca="1" si="16"/>
        <v>-1.3911237996366503E-2</v>
      </c>
      <c r="D573">
        <f t="shared" ca="1" si="17"/>
        <v>789.55469387755113</v>
      </c>
    </row>
    <row r="574" spans="1:4" x14ac:dyDescent="0.25">
      <c r="A574" s="2">
        <f ca="1">IFERROR(__xludf.DUMMYFUNCTION("""COMPUTED_VALUE"""),45218.6458333333)</f>
        <v>45218.645833333299</v>
      </c>
      <c r="B574" s="1">
        <f ca="1">IFERROR(__xludf.DUMMYFUNCTION("""COMPUTED_VALUE"""),757.48)</f>
        <v>757.48</v>
      </c>
      <c r="C574" s="3">
        <f t="shared" ca="1" si="16"/>
        <v>-3.1583934305416347E-3</v>
      </c>
      <c r="D574">
        <f t="shared" ca="1" si="17"/>
        <v>788.21285714285716</v>
      </c>
    </row>
    <row r="575" spans="1:4" x14ac:dyDescent="0.25">
      <c r="A575" s="2">
        <f ca="1">IFERROR(__xludf.DUMMYFUNCTION("""COMPUTED_VALUE"""),45219.6458333333)</f>
        <v>45219.645833333299</v>
      </c>
      <c r="B575" s="1">
        <f ca="1">IFERROR(__xludf.DUMMYFUNCTION("""COMPUTED_VALUE"""),761.4)</f>
        <v>761.4</v>
      </c>
      <c r="C575" s="3">
        <f t="shared" ca="1" si="16"/>
        <v>5.175054126841579E-3</v>
      </c>
      <c r="D575">
        <f t="shared" ca="1" si="17"/>
        <v>786.83591836734706</v>
      </c>
    </row>
    <row r="576" spans="1:4" x14ac:dyDescent="0.25">
      <c r="A576" s="2">
        <f ca="1">IFERROR(__xludf.DUMMYFUNCTION("""COMPUTED_VALUE"""),45222.6458333333)</f>
        <v>45222.645833333299</v>
      </c>
      <c r="B576" s="1">
        <f ca="1">IFERROR(__xludf.DUMMYFUNCTION("""COMPUTED_VALUE"""),753.03)</f>
        <v>753.03</v>
      </c>
      <c r="C576" s="3">
        <f t="shared" ca="1" si="16"/>
        <v>-1.0992907801418445E-2</v>
      </c>
      <c r="D576">
        <f t="shared" ca="1" si="17"/>
        <v>785.53285714285732</v>
      </c>
    </row>
    <row r="577" spans="1:4" x14ac:dyDescent="0.25">
      <c r="A577" s="2">
        <f ca="1">IFERROR(__xludf.DUMMYFUNCTION("""COMPUTED_VALUE"""),45224.6458333333)</f>
        <v>45224.645833333299</v>
      </c>
      <c r="B577" s="1">
        <f ca="1">IFERROR(__xludf.DUMMYFUNCTION("""COMPUTED_VALUE"""),748.25)</f>
        <v>748.25</v>
      </c>
      <c r="C577" s="3">
        <f t="shared" ca="1" si="16"/>
        <v>-6.3476886711020452E-3</v>
      </c>
      <c r="D577">
        <f t="shared" ca="1" si="17"/>
        <v>784.20836734693887</v>
      </c>
    </row>
    <row r="578" spans="1:4" x14ac:dyDescent="0.25">
      <c r="A578" s="2">
        <f ca="1">IFERROR(__xludf.DUMMYFUNCTION("""COMPUTED_VALUE"""),45225.6458333333)</f>
        <v>45225.645833333299</v>
      </c>
      <c r="B578" s="1">
        <f ca="1">IFERROR(__xludf.DUMMYFUNCTION("""COMPUTED_VALUE"""),731.7)</f>
        <v>731.7</v>
      </c>
      <c r="C578" s="3">
        <f t="shared" ca="1" si="16"/>
        <v>-2.211827597728026E-2</v>
      </c>
      <c r="D578">
        <f t="shared" ca="1" si="17"/>
        <v>782.96040816326536</v>
      </c>
    </row>
    <row r="579" spans="1:4" x14ac:dyDescent="0.25">
      <c r="A579" s="2">
        <f ca="1">IFERROR(__xludf.DUMMYFUNCTION("""COMPUTED_VALUE"""),45226.6458333333)</f>
        <v>45226.645833333299</v>
      </c>
      <c r="B579" s="1">
        <f ca="1">IFERROR(__xludf.DUMMYFUNCTION("""COMPUTED_VALUE"""),734.58)</f>
        <v>734.58</v>
      </c>
      <c r="C579" s="3">
        <f t="shared" ca="1" si="16"/>
        <v>3.9360393603935975E-3</v>
      </c>
      <c r="D579">
        <f t="shared" ca="1" si="17"/>
        <v>781.45530612244909</v>
      </c>
    </row>
    <row r="580" spans="1:4" x14ac:dyDescent="0.25">
      <c r="A580" s="2">
        <f ca="1">IFERROR(__xludf.DUMMYFUNCTION("""COMPUTED_VALUE"""),45229.6458333333)</f>
        <v>45229.645833333299</v>
      </c>
      <c r="B580" s="1">
        <f ca="1">IFERROR(__xludf.DUMMYFUNCTION("""COMPUTED_VALUE"""),742.55)</f>
        <v>742.55</v>
      </c>
      <c r="C580" s="3">
        <f t="shared" ref="C580:C643" ca="1" si="18">(B580-B579)/B579</f>
        <v>1.0849737264831487E-2</v>
      </c>
      <c r="D580">
        <f t="shared" ca="1" si="17"/>
        <v>780.05693877551028</v>
      </c>
    </row>
    <row r="581" spans="1:4" x14ac:dyDescent="0.25">
      <c r="A581" s="2">
        <f ca="1">IFERROR(__xludf.DUMMYFUNCTION("""COMPUTED_VALUE"""),45230.6458333333)</f>
        <v>45230.645833333299</v>
      </c>
      <c r="B581" s="1">
        <f ca="1">IFERROR(__xludf.DUMMYFUNCTION("""COMPUTED_VALUE"""),738.25)</f>
        <v>738.25</v>
      </c>
      <c r="C581" s="3">
        <f t="shared" ca="1" si="18"/>
        <v>-5.7908558346238702E-3</v>
      </c>
      <c r="D581">
        <f t="shared" ca="1" si="17"/>
        <v>778.91204081632668</v>
      </c>
    </row>
    <row r="582" spans="1:4" x14ac:dyDescent="0.25">
      <c r="A582" s="2">
        <f ca="1">IFERROR(__xludf.DUMMYFUNCTION("""COMPUTED_VALUE"""),45231.6458333333)</f>
        <v>45231.645833333299</v>
      </c>
      <c r="B582" s="1">
        <f ca="1">IFERROR(__xludf.DUMMYFUNCTION("""COMPUTED_VALUE"""),737.25)</f>
        <v>737.25</v>
      </c>
      <c r="C582" s="3">
        <f t="shared" ca="1" si="18"/>
        <v>-1.3545546901456147E-3</v>
      </c>
      <c r="D582">
        <f t="shared" ca="1" si="17"/>
        <v>777.74612244897969</v>
      </c>
    </row>
    <row r="583" spans="1:4" x14ac:dyDescent="0.25">
      <c r="A583" s="2">
        <f ca="1">IFERROR(__xludf.DUMMYFUNCTION("""COMPUTED_VALUE"""),45232.6458333333)</f>
        <v>45232.645833333299</v>
      </c>
      <c r="B583" s="1">
        <f ca="1">IFERROR(__xludf.DUMMYFUNCTION("""COMPUTED_VALUE"""),738.38)</f>
        <v>738.38</v>
      </c>
      <c r="C583" s="3">
        <f t="shared" ca="1" si="18"/>
        <v>1.5327229569345479E-3</v>
      </c>
      <c r="D583">
        <f t="shared" ca="1" si="17"/>
        <v>776.57265306122463</v>
      </c>
    </row>
    <row r="584" spans="1:4" x14ac:dyDescent="0.25">
      <c r="A584" s="2">
        <f ca="1">IFERROR(__xludf.DUMMYFUNCTION("""COMPUTED_VALUE"""),45233.6458333333)</f>
        <v>45233.645833333299</v>
      </c>
      <c r="B584" s="1">
        <f ca="1">IFERROR(__xludf.DUMMYFUNCTION("""COMPUTED_VALUE"""),741.88)</f>
        <v>741.88</v>
      </c>
      <c r="C584" s="3">
        <f t="shared" ca="1" si="18"/>
        <v>4.7401067201170129E-3</v>
      </c>
      <c r="D584">
        <f t="shared" ca="1" si="17"/>
        <v>775.49163265306129</v>
      </c>
    </row>
    <row r="585" spans="1:4" x14ac:dyDescent="0.25">
      <c r="A585" s="2">
        <f ca="1">IFERROR(__xludf.DUMMYFUNCTION("""COMPUTED_VALUE"""),45236.6458333333)</f>
        <v>45236.645833333299</v>
      </c>
      <c r="B585" s="1">
        <f ca="1">IFERROR(__xludf.DUMMYFUNCTION("""COMPUTED_VALUE"""),747.25)</f>
        <v>747.25</v>
      </c>
      <c r="C585" s="3">
        <f t="shared" ca="1" si="18"/>
        <v>7.2383673909527206E-3</v>
      </c>
      <c r="D585">
        <f t="shared" ca="1" si="17"/>
        <v>774.4422448979592</v>
      </c>
    </row>
    <row r="586" spans="1:4" x14ac:dyDescent="0.25">
      <c r="A586" s="2">
        <f ca="1">IFERROR(__xludf.DUMMYFUNCTION("""COMPUTED_VALUE"""),45237.6458333333)</f>
        <v>45237.645833333299</v>
      </c>
      <c r="B586" s="1">
        <f ca="1">IFERROR(__xludf.DUMMYFUNCTION("""COMPUTED_VALUE"""),743.63)</f>
        <v>743.63</v>
      </c>
      <c r="C586" s="3">
        <f t="shared" ca="1" si="18"/>
        <v>-4.8444295751087383E-3</v>
      </c>
      <c r="D586">
        <f t="shared" ca="1" si="17"/>
        <v>773.57693877551026</v>
      </c>
    </row>
    <row r="587" spans="1:4" x14ac:dyDescent="0.25">
      <c r="A587" s="2">
        <f ca="1">IFERROR(__xludf.DUMMYFUNCTION("""COMPUTED_VALUE"""),45238.6458333333)</f>
        <v>45238.645833333299</v>
      </c>
      <c r="B587" s="1">
        <f ca="1">IFERROR(__xludf.DUMMYFUNCTION("""COMPUTED_VALUE"""),745.78)</f>
        <v>745.78</v>
      </c>
      <c r="C587" s="3">
        <f t="shared" ca="1" si="18"/>
        <v>2.8912227855250289E-3</v>
      </c>
      <c r="D587">
        <f t="shared" ca="1" si="17"/>
        <v>772.81938775510196</v>
      </c>
    </row>
    <row r="588" spans="1:4" x14ac:dyDescent="0.25">
      <c r="A588" s="2">
        <f ca="1">IFERROR(__xludf.DUMMYFUNCTION("""COMPUTED_VALUE"""),45239.6458333333)</f>
        <v>45239.645833333299</v>
      </c>
      <c r="B588" s="1">
        <f ca="1">IFERROR(__xludf.DUMMYFUNCTION("""COMPUTED_VALUE"""),742.83)</f>
        <v>742.83</v>
      </c>
      <c r="C588" s="3">
        <f t="shared" ca="1" si="18"/>
        <v>-3.9555901204107536E-3</v>
      </c>
      <c r="D588">
        <f t="shared" ca="1" si="17"/>
        <v>771.93979591836728</v>
      </c>
    </row>
    <row r="589" spans="1:4" x14ac:dyDescent="0.25">
      <c r="A589" s="2">
        <f ca="1">IFERROR(__xludf.DUMMYFUNCTION("""COMPUTED_VALUE"""),45240.6458333333)</f>
        <v>45240.645833333299</v>
      </c>
      <c r="B589" s="1">
        <f ca="1">IFERROR(__xludf.DUMMYFUNCTION("""COMPUTED_VALUE"""),745.75)</f>
        <v>745.75</v>
      </c>
      <c r="C589" s="3">
        <f t="shared" ca="1" si="18"/>
        <v>3.9309128602775315E-3</v>
      </c>
      <c r="D589">
        <f t="shared" ca="1" si="17"/>
        <v>770.87204081632649</v>
      </c>
    </row>
    <row r="590" spans="1:4" x14ac:dyDescent="0.25">
      <c r="A590" s="2">
        <f ca="1">IFERROR(__xludf.DUMMYFUNCTION("""COMPUTED_VALUE"""),45243.6458333333)</f>
        <v>45243.645833333299</v>
      </c>
      <c r="B590" s="1">
        <f ca="1">IFERROR(__xludf.DUMMYFUNCTION("""COMPUTED_VALUE"""),744.4)</f>
        <v>744.4</v>
      </c>
      <c r="C590" s="3">
        <f t="shared" ca="1" si="18"/>
        <v>-1.8102581293999635E-3</v>
      </c>
      <c r="D590">
        <f t="shared" ca="1" si="17"/>
        <v>769.98224489795916</v>
      </c>
    </row>
    <row r="591" spans="1:4" x14ac:dyDescent="0.25">
      <c r="A591" s="2">
        <f ca="1">IFERROR(__xludf.DUMMYFUNCTION("""COMPUTED_VALUE"""),45245.6458333333)</f>
        <v>45245.645833333299</v>
      </c>
      <c r="B591" s="1">
        <f ca="1">IFERROR(__xludf.DUMMYFUNCTION("""COMPUTED_VALUE"""),752.2)</f>
        <v>752.2</v>
      </c>
      <c r="C591" s="3">
        <f t="shared" ca="1" si="18"/>
        <v>1.0478237506716911E-2</v>
      </c>
      <c r="D591">
        <f t="shared" ca="1" si="17"/>
        <v>769.13877551020414</v>
      </c>
    </row>
    <row r="592" spans="1:4" x14ac:dyDescent="0.25">
      <c r="A592" s="2">
        <f ca="1">IFERROR(__xludf.DUMMYFUNCTION("""COMPUTED_VALUE"""),45246.6458333333)</f>
        <v>45246.645833333299</v>
      </c>
      <c r="B592" s="1">
        <f ca="1">IFERROR(__xludf.DUMMYFUNCTION("""COMPUTED_VALUE"""),754.18)</f>
        <v>754.18</v>
      </c>
      <c r="C592" s="3">
        <f t="shared" ca="1" si="18"/>
        <v>2.632278649295273E-3</v>
      </c>
      <c r="D592">
        <f t="shared" ca="1" si="17"/>
        <v>768.42142857142858</v>
      </c>
    </row>
    <row r="593" spans="1:4" x14ac:dyDescent="0.25">
      <c r="A593" s="2">
        <f ca="1">IFERROR(__xludf.DUMMYFUNCTION("""COMPUTED_VALUE"""),45247.6458333333)</f>
        <v>45247.645833333299</v>
      </c>
      <c r="B593" s="1">
        <f ca="1">IFERROR(__xludf.DUMMYFUNCTION("""COMPUTED_VALUE"""),752.55)</f>
        <v>752.55</v>
      </c>
      <c r="C593" s="3">
        <f t="shared" ca="1" si="18"/>
        <v>-2.1612877562385579E-3</v>
      </c>
      <c r="D593">
        <f t="shared" ca="1" si="17"/>
        <v>767.64387755102052</v>
      </c>
    </row>
    <row r="594" spans="1:4" x14ac:dyDescent="0.25">
      <c r="A594" s="2">
        <f ca="1">IFERROR(__xludf.DUMMYFUNCTION("""COMPUTED_VALUE"""),45250.6458333333)</f>
        <v>45250.645833333299</v>
      </c>
      <c r="B594" s="1">
        <f ca="1">IFERROR(__xludf.DUMMYFUNCTION("""COMPUTED_VALUE"""),752.6)</f>
        <v>752.6</v>
      </c>
      <c r="C594" s="3">
        <f t="shared" ca="1" si="18"/>
        <v>6.6440768055369366E-5</v>
      </c>
      <c r="D594">
        <f t="shared" ca="1" si="17"/>
        <v>766.93163265306146</v>
      </c>
    </row>
    <row r="595" spans="1:4" x14ac:dyDescent="0.25">
      <c r="A595" s="2">
        <f ca="1">IFERROR(__xludf.DUMMYFUNCTION("""COMPUTED_VALUE"""),45251.6458333333)</f>
        <v>45251.645833333299</v>
      </c>
      <c r="B595" s="1">
        <f ca="1">IFERROR(__xludf.DUMMYFUNCTION("""COMPUTED_VALUE"""),758.98)</f>
        <v>758.98</v>
      </c>
      <c r="C595" s="3">
        <f t="shared" ca="1" si="18"/>
        <v>8.4772787669412635E-3</v>
      </c>
      <c r="D595">
        <f t="shared" ca="1" si="17"/>
        <v>766.01020408163276</v>
      </c>
    </row>
    <row r="596" spans="1:4" x14ac:dyDescent="0.25">
      <c r="A596" s="2">
        <f ca="1">IFERROR(__xludf.DUMMYFUNCTION("""COMPUTED_VALUE"""),45252.6458333333)</f>
        <v>45252.645833333299</v>
      </c>
      <c r="B596" s="1">
        <f ca="1">IFERROR(__xludf.DUMMYFUNCTION("""COMPUTED_VALUE"""),756.28)</f>
        <v>756.28</v>
      </c>
      <c r="C596" s="3">
        <f t="shared" ca="1" si="18"/>
        <v>-3.5574059922528203E-3</v>
      </c>
      <c r="D596">
        <f t="shared" ca="1" si="17"/>
        <v>765.06224489795943</v>
      </c>
    </row>
    <row r="597" spans="1:4" x14ac:dyDescent="0.25">
      <c r="A597" s="2">
        <f ca="1">IFERROR(__xludf.DUMMYFUNCTION("""COMPUTED_VALUE"""),45253.6458333333)</f>
        <v>45253.645833333299</v>
      </c>
      <c r="B597" s="1">
        <f ca="1">IFERROR(__xludf.DUMMYFUNCTION("""COMPUTED_VALUE"""),760.65)</f>
        <v>760.65</v>
      </c>
      <c r="C597" s="3">
        <f t="shared" ca="1" si="18"/>
        <v>5.778283175543456E-3</v>
      </c>
      <c r="D597">
        <f t="shared" ca="1" si="17"/>
        <v>763.93122448979602</v>
      </c>
    </row>
    <row r="598" spans="1:4" x14ac:dyDescent="0.25">
      <c r="A598" s="2">
        <f ca="1">IFERROR(__xludf.DUMMYFUNCTION("""COMPUTED_VALUE"""),45254.6458333333)</f>
        <v>45254.645833333299</v>
      </c>
      <c r="B598" s="1">
        <f ca="1">IFERROR(__xludf.DUMMYFUNCTION("""COMPUTED_VALUE"""),766.05)</f>
        <v>766.05</v>
      </c>
      <c r="C598" s="3">
        <f t="shared" ca="1" si="18"/>
        <v>7.0991914809701928E-3</v>
      </c>
      <c r="D598">
        <f t="shared" ca="1" si="17"/>
        <v>762.80367346938795</v>
      </c>
    </row>
    <row r="599" spans="1:4" x14ac:dyDescent="0.25">
      <c r="A599" s="2">
        <f ca="1">IFERROR(__xludf.DUMMYFUNCTION("""COMPUTED_VALUE"""),45258.6458333333)</f>
        <v>45258.645833333299</v>
      </c>
      <c r="B599" s="1">
        <f ca="1">IFERROR(__xludf.DUMMYFUNCTION("""COMPUTED_VALUE"""),764.33)</f>
        <v>764.33</v>
      </c>
      <c r="C599" s="3">
        <f t="shared" ca="1" si="18"/>
        <v>-2.2452842503751891E-3</v>
      </c>
      <c r="D599">
        <f t="shared" ca="1" si="17"/>
        <v>761.73428571428587</v>
      </c>
    </row>
    <row r="600" spans="1:4" x14ac:dyDescent="0.25">
      <c r="A600" s="2">
        <f ca="1">IFERROR(__xludf.DUMMYFUNCTION("""COMPUTED_VALUE"""),45259.6458333333)</f>
        <v>45259.645833333299</v>
      </c>
      <c r="B600" s="1">
        <f ca="1">IFERROR(__xludf.DUMMYFUNCTION("""COMPUTED_VALUE"""),779.58)</f>
        <v>779.58</v>
      </c>
      <c r="C600" s="3">
        <f t="shared" ca="1" si="18"/>
        <v>1.9952114924181964E-2</v>
      </c>
      <c r="D600">
        <f t="shared" ca="1" si="17"/>
        <v>760.55836734693912</v>
      </c>
    </row>
    <row r="601" spans="1:4" x14ac:dyDescent="0.25">
      <c r="A601" s="2">
        <f ca="1">IFERROR(__xludf.DUMMYFUNCTION("""COMPUTED_VALUE"""),45260.6458333333)</f>
        <v>45260.645833333299</v>
      </c>
      <c r="B601" s="1">
        <f ca="1">IFERROR(__xludf.DUMMYFUNCTION("""COMPUTED_VALUE"""),779.4)</f>
        <v>779.4</v>
      </c>
      <c r="C601" s="3">
        <f t="shared" ca="1" si="18"/>
        <v>-2.308935580698115E-4</v>
      </c>
      <c r="D601">
        <f t="shared" ca="1" si="17"/>
        <v>759.7038775510207</v>
      </c>
    </row>
    <row r="602" spans="1:4" x14ac:dyDescent="0.25">
      <c r="A602" s="2">
        <f ca="1">IFERROR(__xludf.DUMMYFUNCTION("""COMPUTED_VALUE"""),45261.6458333333)</f>
        <v>45261.645833333299</v>
      </c>
      <c r="B602" s="1">
        <f ca="1">IFERROR(__xludf.DUMMYFUNCTION("""COMPUTED_VALUE"""),777.7)</f>
        <v>777.7</v>
      </c>
      <c r="C602" s="3">
        <f t="shared" ca="1" si="18"/>
        <v>-2.1811649987168742E-3</v>
      </c>
      <c r="D602">
        <f t="shared" ca="1" si="17"/>
        <v>758.65326530612276</v>
      </c>
    </row>
    <row r="603" spans="1:4" x14ac:dyDescent="0.25">
      <c r="A603" s="2">
        <f ca="1">IFERROR(__xludf.DUMMYFUNCTION("""COMPUTED_VALUE"""),45264.6458333333)</f>
        <v>45264.645833333299</v>
      </c>
      <c r="B603" s="1">
        <f ca="1">IFERROR(__xludf.DUMMYFUNCTION("""COMPUTED_VALUE"""),804.7)</f>
        <v>804.7</v>
      </c>
      <c r="C603" s="3">
        <f t="shared" ca="1" si="18"/>
        <v>3.4717757490034716E-2</v>
      </c>
      <c r="D603">
        <f t="shared" ca="1" si="17"/>
        <v>757.90163265306137</v>
      </c>
    </row>
    <row r="604" spans="1:4" x14ac:dyDescent="0.25">
      <c r="A604" s="2">
        <f ca="1">IFERROR(__xludf.DUMMYFUNCTION("""COMPUTED_VALUE"""),45265.6458333333)</f>
        <v>45265.645833333299</v>
      </c>
      <c r="B604" s="1">
        <f ca="1">IFERROR(__xludf.DUMMYFUNCTION("""COMPUTED_VALUE"""),811.85)</f>
        <v>811.85</v>
      </c>
      <c r="C604" s="3">
        <f t="shared" ca="1" si="18"/>
        <v>8.8852988691437516E-3</v>
      </c>
      <c r="D604">
        <f t="shared" ca="1" si="17"/>
        <v>758.36795918367341</v>
      </c>
    </row>
    <row r="605" spans="1:4" x14ac:dyDescent="0.25">
      <c r="A605" s="2">
        <f ca="1">IFERROR(__xludf.DUMMYFUNCTION("""COMPUTED_VALUE"""),45266.6458333333)</f>
        <v>45266.645833333299</v>
      </c>
      <c r="B605" s="1">
        <f ca="1">IFERROR(__xludf.DUMMYFUNCTION("""COMPUTED_VALUE"""),813.9)</f>
        <v>813.9</v>
      </c>
      <c r="C605" s="3">
        <f t="shared" ca="1" si="18"/>
        <v>2.5250970006774091E-3</v>
      </c>
      <c r="D605">
        <f t="shared" ca="1" si="17"/>
        <v>759.08571428571418</v>
      </c>
    </row>
    <row r="606" spans="1:4" x14ac:dyDescent="0.25">
      <c r="A606" s="2">
        <f ca="1">IFERROR(__xludf.DUMMYFUNCTION("""COMPUTED_VALUE"""),45267.6458333333)</f>
        <v>45267.645833333299</v>
      </c>
      <c r="B606" s="1">
        <f ca="1">IFERROR(__xludf.DUMMYFUNCTION("""COMPUTED_VALUE"""),815.23)</f>
        <v>815.23</v>
      </c>
      <c r="C606" s="3">
        <f t="shared" ca="1" si="18"/>
        <v>1.6341073841995835E-3</v>
      </c>
      <c r="D606">
        <f t="shared" ca="1" si="17"/>
        <v>760.08714285714279</v>
      </c>
    </row>
    <row r="607" spans="1:4" x14ac:dyDescent="0.25">
      <c r="A607" s="2">
        <f ca="1">IFERROR(__xludf.DUMMYFUNCTION("""COMPUTED_VALUE"""),45268.6458333333)</f>
        <v>45268.645833333299</v>
      </c>
      <c r="B607" s="1">
        <f ca="1">IFERROR(__xludf.DUMMYFUNCTION("""COMPUTED_VALUE"""),826.6)</f>
        <v>826.6</v>
      </c>
      <c r="C607" s="3">
        <f t="shared" ca="1" si="18"/>
        <v>1.3946984286643038E-2</v>
      </c>
      <c r="D607">
        <f t="shared" ca="1" si="17"/>
        <v>761.10204081632651</v>
      </c>
    </row>
    <row r="608" spans="1:4" x14ac:dyDescent="0.25">
      <c r="A608" s="2">
        <f ca="1">IFERROR(__xludf.DUMMYFUNCTION("""COMPUTED_VALUE"""),45271.6458333333)</f>
        <v>45271.645833333299</v>
      </c>
      <c r="B608" s="1">
        <f ca="1">IFERROR(__xludf.DUMMYFUNCTION("""COMPUTED_VALUE"""),825.5)</f>
        <v>825.5</v>
      </c>
      <c r="C608" s="3">
        <f t="shared" ca="1" si="18"/>
        <v>-1.3307524800387402E-3</v>
      </c>
      <c r="D608">
        <f t="shared" ca="1" si="17"/>
        <v>762.28102040816339</v>
      </c>
    </row>
    <row r="609" spans="1:4" x14ac:dyDescent="0.25">
      <c r="A609" s="2">
        <f ca="1">IFERROR(__xludf.DUMMYFUNCTION("""COMPUTED_VALUE"""),45272.6458333333)</f>
        <v>45272.645833333299</v>
      </c>
      <c r="B609" s="1">
        <f ca="1">IFERROR(__xludf.DUMMYFUNCTION("""COMPUTED_VALUE"""),817.3)</f>
        <v>817.3</v>
      </c>
      <c r="C609" s="3">
        <f t="shared" ca="1" si="18"/>
        <v>-9.9333737129013271E-3</v>
      </c>
      <c r="D609">
        <f t="shared" ca="1" si="17"/>
        <v>763.54775510204092</v>
      </c>
    </row>
    <row r="610" spans="1:4" x14ac:dyDescent="0.25">
      <c r="A610" s="2">
        <f ca="1">IFERROR(__xludf.DUMMYFUNCTION("""COMPUTED_VALUE"""),45273.6458333333)</f>
        <v>45273.645833333299</v>
      </c>
      <c r="B610" s="1">
        <f ca="1">IFERROR(__xludf.DUMMYFUNCTION("""COMPUTED_VALUE"""),815.45)</f>
        <v>815.45</v>
      </c>
      <c r="C610" s="3">
        <f t="shared" ca="1" si="18"/>
        <v>-2.2635507157713316E-3</v>
      </c>
      <c r="D610">
        <f t="shared" ca="1" si="17"/>
        <v>764.67938775510231</v>
      </c>
    </row>
    <row r="611" spans="1:4" x14ac:dyDescent="0.25">
      <c r="A611" s="2">
        <f ca="1">IFERROR(__xludf.DUMMYFUNCTION("""COMPUTED_VALUE"""),45274.6458333333)</f>
        <v>45274.645833333299</v>
      </c>
      <c r="B611" s="1">
        <f ca="1">IFERROR(__xludf.DUMMYFUNCTION("""COMPUTED_VALUE"""),825.08)</f>
        <v>825.08</v>
      </c>
      <c r="C611" s="3">
        <f t="shared" ca="1" si="18"/>
        <v>1.1809430375866081E-2</v>
      </c>
      <c r="D611">
        <f t="shared" ca="1" si="17"/>
        <v>765.74673469387778</v>
      </c>
    </row>
    <row r="612" spans="1:4" x14ac:dyDescent="0.25">
      <c r="A612" s="2">
        <f ca="1">IFERROR(__xludf.DUMMYFUNCTION("""COMPUTED_VALUE"""),45275.6458333333)</f>
        <v>45275.645833333299</v>
      </c>
      <c r="B612" s="1">
        <f ca="1">IFERROR(__xludf.DUMMYFUNCTION("""COMPUTED_VALUE"""),828.28)</f>
        <v>828.28</v>
      </c>
      <c r="C612" s="3">
        <f t="shared" ca="1" si="18"/>
        <v>3.8784117903717598E-3</v>
      </c>
      <c r="D612">
        <f t="shared" ca="1" si="17"/>
        <v>767.19673469387772</v>
      </c>
    </row>
    <row r="613" spans="1:4" x14ac:dyDescent="0.25">
      <c r="A613" s="2">
        <f ca="1">IFERROR(__xludf.DUMMYFUNCTION("""COMPUTED_VALUE"""),45278.6458333333)</f>
        <v>45278.645833333299</v>
      </c>
      <c r="B613" s="1">
        <f ca="1">IFERROR(__xludf.DUMMYFUNCTION("""COMPUTED_VALUE"""),827.85)</f>
        <v>827.85</v>
      </c>
      <c r="C613" s="3">
        <f t="shared" ca="1" si="18"/>
        <v>-5.1914811416423187E-4</v>
      </c>
      <c r="D613">
        <f t="shared" ca="1" si="17"/>
        <v>768.49265306122459</v>
      </c>
    </row>
    <row r="614" spans="1:4" x14ac:dyDescent="0.25">
      <c r="A614" s="2">
        <f ca="1">IFERROR(__xludf.DUMMYFUNCTION("""COMPUTED_VALUE"""),45279.6458333333)</f>
        <v>45279.645833333299</v>
      </c>
      <c r="B614" s="1">
        <f ca="1">IFERROR(__xludf.DUMMYFUNCTION("""COMPUTED_VALUE"""),826.45)</f>
        <v>826.45</v>
      </c>
      <c r="C614" s="3">
        <f t="shared" ca="1" si="18"/>
        <v>-1.6911276197378478E-3</v>
      </c>
      <c r="D614">
        <f t="shared" ca="1" si="17"/>
        <v>769.71653061224492</v>
      </c>
    </row>
    <row r="615" spans="1:4" x14ac:dyDescent="0.25">
      <c r="A615" s="2">
        <f ca="1">IFERROR(__xludf.DUMMYFUNCTION("""COMPUTED_VALUE"""),45280.6458333333)</f>
        <v>45280.645833333299</v>
      </c>
      <c r="B615" s="1">
        <f ca="1">IFERROR(__xludf.DUMMYFUNCTION("""COMPUTED_VALUE"""),828.5)</f>
        <v>828.5</v>
      </c>
      <c r="C615" s="3">
        <f t="shared" ca="1" si="18"/>
        <v>2.4804888378001746E-3</v>
      </c>
      <c r="D615">
        <f t="shared" ca="1" si="17"/>
        <v>770.92918367346931</v>
      </c>
    </row>
    <row r="616" spans="1:4" x14ac:dyDescent="0.25">
      <c r="A616" s="2">
        <f ca="1">IFERROR(__xludf.DUMMYFUNCTION("""COMPUTED_VALUE"""),45281.6458333333)</f>
        <v>45281.645833333299</v>
      </c>
      <c r="B616" s="1">
        <f ca="1">IFERROR(__xludf.DUMMYFUNCTION("""COMPUTED_VALUE"""),843.35)</f>
        <v>843.35</v>
      </c>
      <c r="C616" s="3">
        <f t="shared" ca="1" si="18"/>
        <v>1.7923958961979507E-2</v>
      </c>
      <c r="D616">
        <f t="shared" ca="1" si="17"/>
        <v>772.36530612244883</v>
      </c>
    </row>
    <row r="617" spans="1:4" x14ac:dyDescent="0.25">
      <c r="A617" s="2">
        <f ca="1">IFERROR(__xludf.DUMMYFUNCTION("""COMPUTED_VALUE"""),45282.6458333333)</f>
        <v>45282.645833333299</v>
      </c>
      <c r="B617" s="1">
        <f ca="1">IFERROR(__xludf.DUMMYFUNCTION("""COMPUTED_VALUE"""),835.43)</f>
        <v>835.43</v>
      </c>
      <c r="C617" s="3">
        <f t="shared" ca="1" si="18"/>
        <v>-9.3911187525939077E-3</v>
      </c>
      <c r="D617">
        <f t="shared" ca="1" si="17"/>
        <v>774.01673469387742</v>
      </c>
    </row>
    <row r="618" spans="1:4" x14ac:dyDescent="0.25">
      <c r="A618" s="2">
        <f ca="1">IFERROR(__xludf.DUMMYFUNCTION("""COMPUTED_VALUE"""),45286.6458333333)</f>
        <v>45286.645833333299</v>
      </c>
      <c r="B618" s="1">
        <f ca="1">IFERROR(__xludf.DUMMYFUNCTION("""COMPUTED_VALUE"""),841.23)</f>
        <v>841.23</v>
      </c>
      <c r="C618" s="3">
        <f t="shared" ca="1" si="18"/>
        <v>6.9425325880086526E-3</v>
      </c>
      <c r="D618">
        <f t="shared" ca="1" si="17"/>
        <v>775.35612244897936</v>
      </c>
    </row>
    <row r="619" spans="1:4" x14ac:dyDescent="0.25">
      <c r="A619" s="2">
        <f ca="1">IFERROR(__xludf.DUMMYFUNCTION("""COMPUTED_VALUE"""),45287.6458333333)</f>
        <v>45287.645833333299</v>
      </c>
      <c r="B619" s="1">
        <f ca="1">IFERROR(__xludf.DUMMYFUNCTION("""COMPUTED_VALUE"""),851.65)</f>
        <v>851.65</v>
      </c>
      <c r="C619" s="3">
        <f t="shared" ca="1" si="18"/>
        <v>1.2386624347681322E-2</v>
      </c>
      <c r="D619">
        <f t="shared" ca="1" si="17"/>
        <v>776.7091836734694</v>
      </c>
    </row>
    <row r="620" spans="1:4" x14ac:dyDescent="0.25">
      <c r="A620" s="2">
        <f ca="1">IFERROR(__xludf.DUMMYFUNCTION("""COMPUTED_VALUE"""),45288.6458333333)</f>
        <v>45288.645833333299</v>
      </c>
      <c r="B620" s="1">
        <f ca="1">IFERROR(__xludf.DUMMYFUNCTION("""COMPUTED_VALUE"""),852.63)</f>
        <v>852.63</v>
      </c>
      <c r="C620" s="3">
        <f t="shared" ca="1" si="18"/>
        <v>1.1507074502436661E-3</v>
      </c>
      <c r="D620">
        <f t="shared" ca="1" si="17"/>
        <v>778.41877551020411</v>
      </c>
    </row>
    <row r="621" spans="1:4" x14ac:dyDescent="0.25">
      <c r="A621" s="2">
        <f ca="1">IFERROR(__xludf.DUMMYFUNCTION("""COMPUTED_VALUE"""),45289.6458333333)</f>
        <v>45289.645833333299</v>
      </c>
      <c r="B621" s="1">
        <f ca="1">IFERROR(__xludf.DUMMYFUNCTION("""COMPUTED_VALUE"""),854.63)</f>
        <v>854.63</v>
      </c>
      <c r="C621" s="3">
        <f t="shared" ca="1" si="18"/>
        <v>2.3456833562037461E-3</v>
      </c>
      <c r="D621">
        <f t="shared" ca="1" si="17"/>
        <v>780.21122448979588</v>
      </c>
    </row>
    <row r="622" spans="1:4" x14ac:dyDescent="0.25">
      <c r="A622" s="2">
        <f ca="1">IFERROR(__xludf.DUMMYFUNCTION("""COMPUTED_VALUE"""),45292.6458333333)</f>
        <v>45292.645833333299</v>
      </c>
      <c r="B622" s="1">
        <f ca="1">IFERROR(__xludf.DUMMYFUNCTION("""COMPUTED_VALUE"""),849.05)</f>
        <v>849.05</v>
      </c>
      <c r="C622" s="3">
        <f t="shared" ca="1" si="18"/>
        <v>-6.5291412658109839E-3</v>
      </c>
      <c r="D622">
        <f t="shared" ca="1" si="17"/>
        <v>781.92612244897964</v>
      </c>
    </row>
    <row r="623" spans="1:4" x14ac:dyDescent="0.25">
      <c r="A623" s="2">
        <f ca="1">IFERROR(__xludf.DUMMYFUNCTION("""COMPUTED_VALUE"""),45293.6458333333)</f>
        <v>45293.645833333299</v>
      </c>
      <c r="B623" s="1">
        <f ca="1">IFERROR(__xludf.DUMMYFUNCTION("""COMPUTED_VALUE"""),849.55)</f>
        <v>849.55</v>
      </c>
      <c r="C623" s="3">
        <f t="shared" ca="1" si="18"/>
        <v>5.8889346917142692E-4</v>
      </c>
      <c r="D623">
        <f t="shared" ca="1" si="17"/>
        <v>783.74591836734714</v>
      </c>
    </row>
    <row r="624" spans="1:4" x14ac:dyDescent="0.25">
      <c r="A624" s="2">
        <f ca="1">IFERROR(__xludf.DUMMYFUNCTION("""COMPUTED_VALUE"""),45294.6458333333)</f>
        <v>45294.645833333299</v>
      </c>
      <c r="B624" s="1">
        <f ca="1">IFERROR(__xludf.DUMMYFUNCTION("""COMPUTED_VALUE"""),836.45)</f>
        <v>836.45</v>
      </c>
      <c r="C624" s="3">
        <f t="shared" ca="1" si="18"/>
        <v>-1.5419928197280807E-2</v>
      </c>
      <c r="D624">
        <f t="shared" ca="1" si="17"/>
        <v>785.62489795918384</v>
      </c>
    </row>
    <row r="625" spans="1:4" x14ac:dyDescent="0.25">
      <c r="A625" s="2">
        <f ca="1">IFERROR(__xludf.DUMMYFUNCTION("""COMPUTED_VALUE"""),45295.6458333333)</f>
        <v>45295.645833333299</v>
      </c>
      <c r="B625" s="1">
        <f ca="1">IFERROR(__xludf.DUMMYFUNCTION("""COMPUTED_VALUE"""),845.43)</f>
        <v>845.43</v>
      </c>
      <c r="C625" s="3">
        <f t="shared" ca="1" si="18"/>
        <v>1.0735847928746373E-2</v>
      </c>
      <c r="D625">
        <f t="shared" ca="1" si="17"/>
        <v>787.15653061224498</v>
      </c>
    </row>
    <row r="626" spans="1:4" x14ac:dyDescent="0.25">
      <c r="A626" s="2">
        <f ca="1">IFERROR(__xludf.DUMMYFUNCTION("""COMPUTED_VALUE"""),45296.6458333333)</f>
        <v>45296.645833333299</v>
      </c>
      <c r="B626" s="1">
        <f ca="1">IFERROR(__xludf.DUMMYFUNCTION("""COMPUTED_VALUE"""),841.1)</f>
        <v>841.1</v>
      </c>
      <c r="C626" s="3">
        <f t="shared" ca="1" si="18"/>
        <v>-5.1216540695266637E-3</v>
      </c>
      <c r="D626">
        <f t="shared" ca="1" si="17"/>
        <v>789.04224489795922</v>
      </c>
    </row>
    <row r="627" spans="1:4" x14ac:dyDescent="0.25">
      <c r="A627" s="2">
        <f ca="1">IFERROR(__xludf.DUMMYFUNCTION("""COMPUTED_VALUE"""),45299.6458333333)</f>
        <v>45299.645833333299</v>
      </c>
      <c r="B627" s="1">
        <f ca="1">IFERROR(__xludf.DUMMYFUNCTION("""COMPUTED_VALUE"""),831.73)</f>
        <v>831.73</v>
      </c>
      <c r="C627" s="3">
        <f t="shared" ca="1" si="18"/>
        <v>-1.1140173582213773E-2</v>
      </c>
      <c r="D627">
        <f t="shared" ca="1" si="17"/>
        <v>790.93714285714282</v>
      </c>
    </row>
    <row r="628" spans="1:4" x14ac:dyDescent="0.25">
      <c r="A628" s="2">
        <f ca="1">IFERROR(__xludf.DUMMYFUNCTION("""COMPUTED_VALUE"""),45300.6458333333)</f>
        <v>45300.645833333299</v>
      </c>
      <c r="B628" s="1">
        <f ca="1">IFERROR(__xludf.DUMMYFUNCTION("""COMPUTED_VALUE"""),825.25)</f>
        <v>825.25</v>
      </c>
      <c r="C628" s="3">
        <f t="shared" ca="1" si="18"/>
        <v>-7.7909898644993184E-3</v>
      </c>
      <c r="D628">
        <f t="shared" ref="D628:D691" ca="1" si="19">AVERAGE(B579:B627)</f>
        <v>792.97857142857151</v>
      </c>
    </row>
    <row r="629" spans="1:4" x14ac:dyDescent="0.25">
      <c r="A629" s="2">
        <f ca="1">IFERROR(__xludf.DUMMYFUNCTION("""COMPUTED_VALUE"""),45301.6458333333)</f>
        <v>45301.645833333299</v>
      </c>
      <c r="B629" s="1">
        <f ca="1">IFERROR(__xludf.DUMMYFUNCTION("""COMPUTED_VALUE"""),827.98)</f>
        <v>827.98</v>
      </c>
      <c r="C629" s="3">
        <f t="shared" ca="1" si="18"/>
        <v>3.3080884580430395E-3</v>
      </c>
      <c r="D629">
        <f t="shared" ca="1" si="19"/>
        <v>794.82897959183674</v>
      </c>
    </row>
    <row r="630" spans="1:4" x14ac:dyDescent="0.25">
      <c r="A630" s="2">
        <f ca="1">IFERROR(__xludf.DUMMYFUNCTION("""COMPUTED_VALUE"""),45302.6458333333)</f>
        <v>45302.645833333299</v>
      </c>
      <c r="B630" s="1">
        <f ca="1">IFERROR(__xludf.DUMMYFUNCTION("""COMPUTED_VALUE"""),824.5)</f>
        <v>824.5</v>
      </c>
      <c r="C630" s="3">
        <f t="shared" ca="1" si="18"/>
        <v>-4.2030000724655407E-3</v>
      </c>
      <c r="D630">
        <f t="shared" ca="1" si="19"/>
        <v>796.57244897959185</v>
      </c>
    </row>
    <row r="631" spans="1:4" x14ac:dyDescent="0.25">
      <c r="A631" s="2">
        <f ca="1">IFERROR(__xludf.DUMMYFUNCTION("""COMPUTED_VALUE"""),45303.6458333333)</f>
        <v>45303.645833333299</v>
      </c>
      <c r="B631" s="1">
        <f ca="1">IFERROR(__xludf.DUMMYFUNCTION("""COMPUTED_VALUE"""),820.6)</f>
        <v>820.6</v>
      </c>
      <c r="C631" s="3">
        <f t="shared" ca="1" si="18"/>
        <v>-4.7301394784717739E-3</v>
      </c>
      <c r="D631">
        <f t="shared" ca="1" si="19"/>
        <v>798.33265306122451</v>
      </c>
    </row>
    <row r="632" spans="1:4" x14ac:dyDescent="0.25">
      <c r="A632" s="2">
        <f ca="1">IFERROR(__xludf.DUMMYFUNCTION("""COMPUTED_VALUE"""),45306.6458333333)</f>
        <v>45306.645833333299</v>
      </c>
      <c r="B632" s="1">
        <f ca="1">IFERROR(__xludf.DUMMYFUNCTION("""COMPUTED_VALUE"""),836.4)</f>
        <v>836.4</v>
      </c>
      <c r="C632" s="3">
        <f t="shared" ca="1" si="18"/>
        <v>1.925420424079936E-2</v>
      </c>
      <c r="D632">
        <f t="shared" ca="1" si="19"/>
        <v>800.03367346938774</v>
      </c>
    </row>
    <row r="633" spans="1:4" x14ac:dyDescent="0.25">
      <c r="A633" s="2">
        <f ca="1">IFERROR(__xludf.DUMMYFUNCTION("""COMPUTED_VALUE"""),45307.6458333333)</f>
        <v>45307.645833333299</v>
      </c>
      <c r="B633" s="1">
        <f ca="1">IFERROR(__xludf.DUMMYFUNCTION("""COMPUTED_VALUE"""),839.58)</f>
        <v>839.58</v>
      </c>
      <c r="C633" s="3">
        <f t="shared" ca="1" si="18"/>
        <v>3.8020086083214535E-3</v>
      </c>
      <c r="D633">
        <f t="shared" ca="1" si="19"/>
        <v>802.03408163265317</v>
      </c>
    </row>
    <row r="634" spans="1:4" x14ac:dyDescent="0.25">
      <c r="A634" s="2">
        <f ca="1">IFERROR(__xludf.DUMMYFUNCTION("""COMPUTED_VALUE"""),45308.6458333333)</f>
        <v>45308.645833333299</v>
      </c>
      <c r="B634" s="1">
        <f ca="1">IFERROR(__xludf.DUMMYFUNCTION("""COMPUTED_VALUE"""),768.75)</f>
        <v>768.75</v>
      </c>
      <c r="C634" s="3">
        <f t="shared" ca="1" si="18"/>
        <v>-8.4363610376616924E-2</v>
      </c>
      <c r="D634">
        <f t="shared" ca="1" si="19"/>
        <v>804.02795918367372</v>
      </c>
    </row>
    <row r="635" spans="1:4" x14ac:dyDescent="0.25">
      <c r="A635" s="2">
        <f ca="1">IFERROR(__xludf.DUMMYFUNCTION("""COMPUTED_VALUE"""),45309.6458333333)</f>
        <v>45309.645833333299</v>
      </c>
      <c r="B635" s="1">
        <f ca="1">IFERROR(__xludf.DUMMYFUNCTION("""COMPUTED_VALUE"""),743.08)</f>
        <v>743.08</v>
      </c>
      <c r="C635" s="3">
        <f t="shared" ca="1" si="18"/>
        <v>-3.3391869918699135E-2</v>
      </c>
      <c r="D635">
        <f t="shared" ca="1" si="19"/>
        <v>804.4667346938777</v>
      </c>
    </row>
    <row r="636" spans="1:4" x14ac:dyDescent="0.25">
      <c r="A636" s="2">
        <f ca="1">IFERROR(__xludf.DUMMYFUNCTION("""COMPUTED_VALUE"""),45310.6458333333)</f>
        <v>45310.645833333299</v>
      </c>
      <c r="B636" s="1">
        <f ca="1">IFERROR(__xludf.DUMMYFUNCTION("""COMPUTED_VALUE"""),735.33)</f>
        <v>735.33</v>
      </c>
      <c r="C636" s="3">
        <f t="shared" ca="1" si="18"/>
        <v>-1.042956343866071E-2</v>
      </c>
      <c r="D636">
        <f t="shared" ca="1" si="19"/>
        <v>804.45551020408175</v>
      </c>
    </row>
    <row r="637" spans="1:4" x14ac:dyDescent="0.25">
      <c r="A637" s="2">
        <f ca="1">IFERROR(__xludf.DUMMYFUNCTION("""COMPUTED_VALUE"""),45314.6458333333)</f>
        <v>45314.645833333299</v>
      </c>
      <c r="B637" s="1">
        <f ca="1">IFERROR(__xludf.DUMMYFUNCTION("""COMPUTED_VALUE"""),713.68)</f>
        <v>713.68</v>
      </c>
      <c r="C637" s="3">
        <f t="shared" ca="1" si="18"/>
        <v>-2.9442563202915821E-2</v>
      </c>
      <c r="D637">
        <f t="shared" ca="1" si="19"/>
        <v>804.24224489795938</v>
      </c>
    </row>
    <row r="638" spans="1:4" x14ac:dyDescent="0.25">
      <c r="A638" s="2">
        <f ca="1">IFERROR(__xludf.DUMMYFUNCTION("""COMPUTED_VALUE"""),45315.6458333333)</f>
        <v>45315.645833333299</v>
      </c>
      <c r="B638" s="1">
        <f ca="1">IFERROR(__xludf.DUMMYFUNCTION("""COMPUTED_VALUE"""),727.95)</f>
        <v>727.95</v>
      </c>
      <c r="C638" s="3">
        <f t="shared" ca="1" si="18"/>
        <v>1.9994955722452776E-2</v>
      </c>
      <c r="D638">
        <f t="shared" ca="1" si="19"/>
        <v>803.64734693877563</v>
      </c>
    </row>
    <row r="639" spans="1:4" x14ac:dyDescent="0.25">
      <c r="A639" s="2">
        <f ca="1">IFERROR(__xludf.DUMMYFUNCTION("""COMPUTED_VALUE"""),45316.6458333333)</f>
        <v>45316.645833333299</v>
      </c>
      <c r="B639" s="1">
        <f ca="1">IFERROR(__xludf.DUMMYFUNCTION("""COMPUTED_VALUE"""),717.45)</f>
        <v>717.45</v>
      </c>
      <c r="C639" s="3">
        <f t="shared" ca="1" si="18"/>
        <v>-1.4424067587059549E-2</v>
      </c>
      <c r="D639">
        <f t="shared" ca="1" si="19"/>
        <v>803.28408163265317</v>
      </c>
    </row>
    <row r="640" spans="1:4" x14ac:dyDescent="0.25">
      <c r="A640" s="2">
        <f ca="1">IFERROR(__xludf.DUMMYFUNCTION("""COMPUTED_VALUE"""),45320.6458333333)</f>
        <v>45320.645833333299</v>
      </c>
      <c r="B640" s="1">
        <f ca="1">IFERROR(__xludf.DUMMYFUNCTION("""COMPUTED_VALUE"""),727.33)</f>
        <v>727.33</v>
      </c>
      <c r="C640" s="3">
        <f t="shared" ca="1" si="18"/>
        <v>1.3770994494389845E-2</v>
      </c>
      <c r="D640">
        <f t="shared" ca="1" si="19"/>
        <v>802.7340816326531</v>
      </c>
    </row>
    <row r="641" spans="1:4" x14ac:dyDescent="0.25">
      <c r="A641" s="2">
        <f ca="1">IFERROR(__xludf.DUMMYFUNCTION("""COMPUTED_VALUE"""),45321.6458333333)</f>
        <v>45321.645833333299</v>
      </c>
      <c r="B641" s="1">
        <f ca="1">IFERROR(__xludf.DUMMYFUNCTION("""COMPUTED_VALUE"""),722.15)</f>
        <v>722.15</v>
      </c>
      <c r="C641" s="3">
        <f t="shared" ca="1" si="18"/>
        <v>-7.1219391472922382E-3</v>
      </c>
      <c r="D641">
        <f t="shared" ca="1" si="19"/>
        <v>802.22653061224491</v>
      </c>
    </row>
    <row r="642" spans="1:4" x14ac:dyDescent="0.25">
      <c r="A642" s="2">
        <f ca="1">IFERROR(__xludf.DUMMYFUNCTION("""COMPUTED_VALUE"""),45322.6458333333)</f>
        <v>45322.645833333299</v>
      </c>
      <c r="B642" s="1">
        <f ca="1">IFERROR(__xludf.DUMMYFUNCTION("""COMPUTED_VALUE"""),731.28)</f>
        <v>731.28</v>
      </c>
      <c r="C642" s="3">
        <f t="shared" ca="1" si="18"/>
        <v>1.2642802741812637E-2</v>
      </c>
      <c r="D642">
        <f t="shared" ca="1" si="19"/>
        <v>801.57285714285717</v>
      </c>
    </row>
    <row r="643" spans="1:4" x14ac:dyDescent="0.25">
      <c r="A643" s="2">
        <f ca="1">IFERROR(__xludf.DUMMYFUNCTION("""COMPUTED_VALUE"""),45323.6458333333)</f>
        <v>45323.645833333299</v>
      </c>
      <c r="B643" s="1">
        <f ca="1">IFERROR(__xludf.DUMMYFUNCTION("""COMPUTED_VALUE"""),733.18)</f>
        <v>733.18</v>
      </c>
      <c r="C643" s="3">
        <f t="shared" ca="1" si="18"/>
        <v>2.5981840061262136E-3</v>
      </c>
      <c r="D643">
        <f t="shared" ca="1" si="19"/>
        <v>801.13877551020414</v>
      </c>
    </row>
    <row r="644" spans="1:4" x14ac:dyDescent="0.25">
      <c r="A644" s="2">
        <f ca="1">IFERROR(__xludf.DUMMYFUNCTION("""COMPUTED_VALUE"""),45324.6458333333)</f>
        <v>45324.645833333299</v>
      </c>
      <c r="B644" s="1">
        <f ca="1">IFERROR(__xludf.DUMMYFUNCTION("""COMPUTED_VALUE"""),723.08)</f>
        <v>723.08</v>
      </c>
      <c r="C644" s="3">
        <f t="shared" ref="C644:C707" ca="1" si="20">(B644-B643)/B643</f>
        <v>-1.3775607627049168E-2</v>
      </c>
      <c r="D644">
        <f t="shared" ca="1" si="19"/>
        <v>800.74244897959193</v>
      </c>
    </row>
    <row r="645" spans="1:4" x14ac:dyDescent="0.25">
      <c r="A645" s="2">
        <f ca="1">IFERROR(__xludf.DUMMYFUNCTION("""COMPUTED_VALUE"""),45327.6458333333)</f>
        <v>45327.645833333299</v>
      </c>
      <c r="B645" s="1">
        <f ca="1">IFERROR(__xludf.DUMMYFUNCTION("""COMPUTED_VALUE"""),722.43)</f>
        <v>722.43</v>
      </c>
      <c r="C645" s="3">
        <f t="shared" ca="1" si="20"/>
        <v>-8.9893234496887049E-4</v>
      </c>
      <c r="D645">
        <f t="shared" ca="1" si="19"/>
        <v>800.00979591836744</v>
      </c>
    </row>
    <row r="646" spans="1:4" x14ac:dyDescent="0.25">
      <c r="A646" s="2">
        <f ca="1">IFERROR(__xludf.DUMMYFUNCTION("""COMPUTED_VALUE"""),45328.6458333333)</f>
        <v>45328.645833333299</v>
      </c>
      <c r="B646" s="1">
        <f ca="1">IFERROR(__xludf.DUMMYFUNCTION("""COMPUTED_VALUE"""),722.05)</f>
        <v>722.05</v>
      </c>
      <c r="C646" s="3">
        <f t="shared" ca="1" si="20"/>
        <v>-5.2600251927521768E-4</v>
      </c>
      <c r="D646">
        <f t="shared" ca="1" si="19"/>
        <v>799.31897959183686</v>
      </c>
    </row>
    <row r="647" spans="1:4" x14ac:dyDescent="0.25">
      <c r="A647" s="2">
        <f ca="1">IFERROR(__xludf.DUMMYFUNCTION("""COMPUTED_VALUE"""),45329.6458333333)</f>
        <v>45329.645833333299</v>
      </c>
      <c r="B647" s="1">
        <f ca="1">IFERROR(__xludf.DUMMYFUNCTION("""COMPUTED_VALUE"""),714.98)</f>
        <v>714.98</v>
      </c>
      <c r="C647" s="3">
        <f t="shared" ca="1" si="20"/>
        <v>-9.791565681046931E-3</v>
      </c>
      <c r="D647">
        <f t="shared" ca="1" si="19"/>
        <v>798.53122448979616</v>
      </c>
    </row>
    <row r="648" spans="1:4" x14ac:dyDescent="0.25">
      <c r="A648" s="2">
        <f ca="1">IFERROR(__xludf.DUMMYFUNCTION("""COMPUTED_VALUE"""),45330.6458333333)</f>
        <v>45330.645833333299</v>
      </c>
      <c r="B648" s="1">
        <f ca="1">IFERROR(__xludf.DUMMYFUNCTION("""COMPUTED_VALUE"""),701.53)</f>
        <v>701.53</v>
      </c>
      <c r="C648" s="3">
        <f t="shared" ca="1" si="20"/>
        <v>-1.8811715013007421E-2</v>
      </c>
      <c r="D648">
        <f t="shared" ca="1" si="19"/>
        <v>797.48897959183716</v>
      </c>
    </row>
    <row r="649" spans="1:4" x14ac:dyDescent="0.25">
      <c r="A649" s="2">
        <f ca="1">IFERROR(__xludf.DUMMYFUNCTION("""COMPUTED_VALUE"""),45331.6458333333)</f>
        <v>45331.645833333299</v>
      </c>
      <c r="B649" s="1">
        <f ca="1">IFERROR(__xludf.DUMMYFUNCTION("""COMPUTED_VALUE"""),701.8)</f>
        <v>701.8</v>
      </c>
      <c r="C649" s="3">
        <f t="shared" ca="1" si="20"/>
        <v>3.8487306316192012E-4</v>
      </c>
      <c r="D649">
        <f t="shared" ca="1" si="19"/>
        <v>796.20734693877591</v>
      </c>
    </row>
    <row r="650" spans="1:4" x14ac:dyDescent="0.25">
      <c r="A650" s="2">
        <f ca="1">IFERROR(__xludf.DUMMYFUNCTION("""COMPUTED_VALUE"""),45334.6458333333)</f>
        <v>45334.645833333299</v>
      </c>
      <c r="B650" s="1">
        <f ca="1">IFERROR(__xludf.DUMMYFUNCTION("""COMPUTED_VALUE"""),695)</f>
        <v>695</v>
      </c>
      <c r="C650" s="3">
        <f t="shared" ca="1" si="20"/>
        <v>-9.6893701909375254E-3</v>
      </c>
      <c r="D650">
        <f t="shared" ca="1" si="19"/>
        <v>794.62000000000035</v>
      </c>
    </row>
    <row r="651" spans="1:4" x14ac:dyDescent="0.25">
      <c r="A651" s="2">
        <f ca="1">IFERROR(__xludf.DUMMYFUNCTION("""COMPUTED_VALUE"""),45335.6458333333)</f>
        <v>45335.645833333299</v>
      </c>
      <c r="B651" s="1">
        <f ca="1">IFERROR(__xludf.DUMMYFUNCTION("""COMPUTED_VALUE"""),697.23)</f>
        <v>697.23</v>
      </c>
      <c r="C651" s="3">
        <f t="shared" ca="1" si="20"/>
        <v>3.208633093525206E-3</v>
      </c>
      <c r="D651">
        <f t="shared" ca="1" si="19"/>
        <v>792.89755102040851</v>
      </c>
    </row>
    <row r="652" spans="1:4" x14ac:dyDescent="0.25">
      <c r="A652" s="2">
        <f ca="1">IFERROR(__xludf.DUMMYFUNCTION("""COMPUTED_VALUE"""),45336.6458333333)</f>
        <v>45336.645833333299</v>
      </c>
      <c r="B652" s="1">
        <f ca="1">IFERROR(__xludf.DUMMYFUNCTION("""COMPUTED_VALUE"""),692.03)</f>
        <v>692.03</v>
      </c>
      <c r="C652" s="3">
        <f t="shared" ca="1" si="20"/>
        <v>-7.4580841329260723E-3</v>
      </c>
      <c r="D652">
        <f t="shared" ca="1" si="19"/>
        <v>791.25530612244927</v>
      </c>
    </row>
    <row r="653" spans="1:4" x14ac:dyDescent="0.25">
      <c r="A653" s="2">
        <f ca="1">IFERROR(__xludf.DUMMYFUNCTION("""COMPUTED_VALUE"""),45337.6458333333)</f>
        <v>45337.645833333299</v>
      </c>
      <c r="B653" s="1">
        <f ca="1">IFERROR(__xludf.DUMMYFUNCTION("""COMPUTED_VALUE"""),707.03)</f>
        <v>707.03</v>
      </c>
      <c r="C653" s="3">
        <f t="shared" ca="1" si="20"/>
        <v>2.16753608947589E-2</v>
      </c>
      <c r="D653">
        <f t="shared" ca="1" si="19"/>
        <v>788.95591836734729</v>
      </c>
    </row>
    <row r="654" spans="1:4" x14ac:dyDescent="0.25">
      <c r="A654" s="2">
        <f ca="1">IFERROR(__xludf.DUMMYFUNCTION("""COMPUTED_VALUE"""),45338.6458333333)</f>
        <v>45338.645833333299</v>
      </c>
      <c r="B654" s="1">
        <f ca="1">IFERROR(__xludf.DUMMYFUNCTION("""COMPUTED_VALUE"""),709.95)</f>
        <v>709.95</v>
      </c>
      <c r="C654" s="3">
        <f t="shared" ca="1" si="20"/>
        <v>4.1299520529540085E-3</v>
      </c>
      <c r="D654">
        <f t="shared" ca="1" si="19"/>
        <v>786.81673469387783</v>
      </c>
    </row>
    <row r="655" spans="1:4" x14ac:dyDescent="0.25">
      <c r="A655" s="2">
        <f ca="1">IFERROR(__xludf.DUMMYFUNCTION("""COMPUTED_VALUE"""),45341.6458333333)</f>
        <v>45341.645833333299</v>
      </c>
      <c r="B655" s="1">
        <f ca="1">IFERROR(__xludf.DUMMYFUNCTION("""COMPUTED_VALUE"""),708.55)</f>
        <v>708.55</v>
      </c>
      <c r="C655" s="3">
        <f t="shared" ca="1" si="20"/>
        <v>-1.9719698570323132E-3</v>
      </c>
      <c r="D655">
        <f t="shared" ca="1" si="19"/>
        <v>784.6953061224491</v>
      </c>
    </row>
    <row r="656" spans="1:4" x14ac:dyDescent="0.25">
      <c r="A656" s="2">
        <f ca="1">IFERROR(__xludf.DUMMYFUNCTION("""COMPUTED_VALUE"""),45342.6458333333)</f>
        <v>45342.645833333299</v>
      </c>
      <c r="B656" s="1">
        <f ca="1">IFERROR(__xludf.DUMMYFUNCTION("""COMPUTED_VALUE"""),727.15)</f>
        <v>727.15</v>
      </c>
      <c r="C656" s="3">
        <f t="shared" ca="1" si="20"/>
        <v>2.6250793874814795E-2</v>
      </c>
      <c r="D656">
        <f t="shared" ca="1" si="19"/>
        <v>782.51816326530627</v>
      </c>
    </row>
    <row r="657" spans="1:4" x14ac:dyDescent="0.25">
      <c r="A657" s="2">
        <f ca="1">IFERROR(__xludf.DUMMYFUNCTION("""COMPUTED_VALUE"""),45343.6458333333)</f>
        <v>45343.645833333299</v>
      </c>
      <c r="B657" s="1">
        <f ca="1">IFERROR(__xludf.DUMMYFUNCTION("""COMPUTED_VALUE"""),719.58)</f>
        <v>719.58</v>
      </c>
      <c r="C657" s="3">
        <f t="shared" ca="1" si="20"/>
        <v>-1.041050677301786E-2</v>
      </c>
      <c r="D657">
        <f t="shared" ca="1" si="19"/>
        <v>780.48857142857162</v>
      </c>
    </row>
    <row r="658" spans="1:4" x14ac:dyDescent="0.25">
      <c r="A658" s="2">
        <f ca="1">IFERROR(__xludf.DUMMYFUNCTION("""COMPUTED_VALUE"""),45344.6458333333)</f>
        <v>45344.645833333299</v>
      </c>
      <c r="B658" s="1">
        <f ca="1">IFERROR(__xludf.DUMMYFUNCTION("""COMPUTED_VALUE"""),709.78)</f>
        <v>709.78</v>
      </c>
      <c r="C658" s="3">
        <f t="shared" ca="1" si="20"/>
        <v>-1.3619055560187981E-2</v>
      </c>
      <c r="D658">
        <f t="shared" ca="1" si="19"/>
        <v>778.32693877551048</v>
      </c>
    </row>
    <row r="659" spans="1:4" x14ac:dyDescent="0.25">
      <c r="A659" s="2">
        <f ca="1">IFERROR(__xludf.DUMMYFUNCTION("""COMPUTED_VALUE"""),45345.6458333333)</f>
        <v>45345.645833333299</v>
      </c>
      <c r="B659" s="1">
        <f ca="1">IFERROR(__xludf.DUMMYFUNCTION("""COMPUTED_VALUE"""),710.3)</f>
        <v>710.3</v>
      </c>
      <c r="C659" s="3">
        <f t="shared" ca="1" si="20"/>
        <v>7.3262137563749586E-4</v>
      </c>
      <c r="D659">
        <f t="shared" ca="1" si="19"/>
        <v>776.13265306122469</v>
      </c>
    </row>
    <row r="660" spans="1:4" x14ac:dyDescent="0.25">
      <c r="A660" s="2">
        <f ca="1">IFERROR(__xludf.DUMMYFUNCTION("""COMPUTED_VALUE"""),45348.6458333333)</f>
        <v>45348.645833333299</v>
      </c>
      <c r="B660" s="1">
        <f ca="1">IFERROR(__xludf.DUMMYFUNCTION("""COMPUTED_VALUE"""),711.15)</f>
        <v>711.15</v>
      </c>
      <c r="C660" s="3">
        <f t="shared" ca="1" si="20"/>
        <v>1.1966774602281047E-3</v>
      </c>
      <c r="D660">
        <f t="shared" ca="1" si="19"/>
        <v>773.98673469387768</v>
      </c>
    </row>
    <row r="661" spans="1:4" x14ac:dyDescent="0.25">
      <c r="A661" s="2">
        <f ca="1">IFERROR(__xludf.DUMMYFUNCTION("""COMPUTED_VALUE"""),45349.6458333333)</f>
        <v>45349.645833333299</v>
      </c>
      <c r="B661" s="1">
        <f ca="1">IFERROR(__xludf.DUMMYFUNCTION("""COMPUTED_VALUE"""),710.08)</f>
        <v>710.08</v>
      </c>
      <c r="C661" s="3">
        <f t="shared" ca="1" si="20"/>
        <v>-1.5046052169021111E-3</v>
      </c>
      <c r="D661">
        <f t="shared" ca="1" si="19"/>
        <v>771.66163265306147</v>
      </c>
    </row>
    <row r="662" spans="1:4" x14ac:dyDescent="0.25">
      <c r="A662" s="2">
        <f ca="1">IFERROR(__xludf.DUMMYFUNCTION("""COMPUTED_VALUE"""),45350.6458333333)</f>
        <v>45350.645833333299</v>
      </c>
      <c r="B662" s="1">
        <f ca="1">IFERROR(__xludf.DUMMYFUNCTION("""COMPUTED_VALUE"""),704.7)</f>
        <v>704.7</v>
      </c>
      <c r="C662" s="3">
        <f t="shared" ca="1" si="20"/>
        <v>-7.5766110860748014E-3</v>
      </c>
      <c r="D662">
        <f t="shared" ca="1" si="19"/>
        <v>769.24938775510236</v>
      </c>
    </row>
    <row r="663" spans="1:4" x14ac:dyDescent="0.25">
      <c r="A663" s="2">
        <f ca="1">IFERROR(__xludf.DUMMYFUNCTION("""COMPUTED_VALUE"""),45351.6458333333)</f>
        <v>45351.645833333299</v>
      </c>
      <c r="B663" s="1">
        <f ca="1">IFERROR(__xludf.DUMMYFUNCTION("""COMPUTED_VALUE"""),701.7)</f>
        <v>701.7</v>
      </c>
      <c r="C663" s="3">
        <f t="shared" ca="1" si="20"/>
        <v>-4.2571306939123031E-3</v>
      </c>
      <c r="D663">
        <f t="shared" ca="1" si="19"/>
        <v>766.7361224489797</v>
      </c>
    </row>
    <row r="664" spans="1:4" x14ac:dyDescent="0.25">
      <c r="A664" s="2">
        <f ca="1">IFERROR(__xludf.DUMMYFUNCTION("""COMPUTED_VALUE"""),45352.6458333333)</f>
        <v>45352.645833333299</v>
      </c>
      <c r="B664" s="1">
        <f ca="1">IFERROR(__xludf.DUMMYFUNCTION("""COMPUTED_VALUE"""),715.38)</f>
        <v>715.38</v>
      </c>
      <c r="C664" s="3">
        <f t="shared" ca="1" si="20"/>
        <v>1.949551090209484E-2</v>
      </c>
      <c r="D664">
        <f t="shared" ca="1" si="19"/>
        <v>764.19020408163283</v>
      </c>
    </row>
    <row r="665" spans="1:4" x14ac:dyDescent="0.25">
      <c r="A665" s="2">
        <f ca="1">IFERROR(__xludf.DUMMYFUNCTION("""COMPUTED_VALUE"""),45355.6458333333)</f>
        <v>45355.645833333299</v>
      </c>
      <c r="B665" s="1">
        <f ca="1">IFERROR(__xludf.DUMMYFUNCTION("""COMPUTED_VALUE"""),716.35)</f>
        <v>716.35</v>
      </c>
      <c r="C665" s="3">
        <f t="shared" ca="1" si="20"/>
        <v>1.3559227263832191E-3</v>
      </c>
      <c r="D665">
        <f t="shared" ca="1" si="19"/>
        <v>761.88163265306127</v>
      </c>
    </row>
    <row r="666" spans="1:4" x14ac:dyDescent="0.25">
      <c r="A666" s="2">
        <f ca="1">IFERROR(__xludf.DUMMYFUNCTION("""COMPUTED_VALUE"""),45356.6458333333)</f>
        <v>45356.645833333299</v>
      </c>
      <c r="B666" s="1">
        <f ca="1">IFERROR(__xludf.DUMMYFUNCTION("""COMPUTED_VALUE"""),720.43)</f>
        <v>720.43</v>
      </c>
      <c r="C666" s="3">
        <f t="shared" ca="1" si="20"/>
        <v>5.6955398897186107E-3</v>
      </c>
      <c r="D666">
        <f t="shared" ca="1" si="19"/>
        <v>759.2897959183673</v>
      </c>
    </row>
    <row r="667" spans="1:4" x14ac:dyDescent="0.25">
      <c r="A667" s="2">
        <f ca="1">IFERROR(__xludf.DUMMYFUNCTION("""COMPUTED_VALUE"""),45357.6458333333)</f>
        <v>45357.645833333299</v>
      </c>
      <c r="B667" s="1">
        <f ca="1">IFERROR(__xludf.DUMMYFUNCTION("""COMPUTED_VALUE"""),721.3)</f>
        <v>721.3</v>
      </c>
      <c r="C667" s="3">
        <f t="shared" ca="1" si="20"/>
        <v>1.2076121205391289E-3</v>
      </c>
      <c r="D667">
        <f t="shared" ca="1" si="19"/>
        <v>756.94285714285695</v>
      </c>
    </row>
    <row r="668" spans="1:4" x14ac:dyDescent="0.25">
      <c r="A668" s="2">
        <f ca="1">IFERROR(__xludf.DUMMYFUNCTION("""COMPUTED_VALUE"""),45358.6458333333)</f>
        <v>45358.645833333299</v>
      </c>
      <c r="B668" s="1">
        <f ca="1">IFERROR(__xludf.DUMMYFUNCTION("""COMPUTED_VALUE"""),723.05)</f>
        <v>723.05</v>
      </c>
      <c r="C668" s="3">
        <f t="shared" ca="1" si="20"/>
        <v>2.4261749618743936E-3</v>
      </c>
      <c r="D668">
        <f t="shared" ca="1" si="19"/>
        <v>754.49530612244894</v>
      </c>
    </row>
    <row r="669" spans="1:4" x14ac:dyDescent="0.25">
      <c r="A669" s="2">
        <f ca="1">IFERROR(__xludf.DUMMYFUNCTION("""COMPUTED_VALUE"""),45362.6458333333)</f>
        <v>45362.645833333299</v>
      </c>
      <c r="B669" s="1">
        <f ca="1">IFERROR(__xludf.DUMMYFUNCTION("""COMPUTED_VALUE"""),713.9)</f>
        <v>713.9</v>
      </c>
      <c r="C669" s="3">
        <f t="shared" ca="1" si="20"/>
        <v>-1.265472650577412E-2</v>
      </c>
      <c r="D669">
        <f t="shared" ca="1" si="19"/>
        <v>751.87081632653076</v>
      </c>
    </row>
    <row r="670" spans="1:4" x14ac:dyDescent="0.25">
      <c r="A670" s="2">
        <f ca="1">IFERROR(__xludf.DUMMYFUNCTION("""COMPUTED_VALUE"""),45363.6458333333)</f>
        <v>45363.645833333299</v>
      </c>
      <c r="B670" s="1">
        <f ca="1">IFERROR(__xludf.DUMMYFUNCTION("""COMPUTED_VALUE"""),729.78)</f>
        <v>729.78</v>
      </c>
      <c r="C670" s="3">
        <f t="shared" ca="1" si="20"/>
        <v>2.2244011766353825E-2</v>
      </c>
      <c r="D670">
        <f t="shared" ca="1" si="19"/>
        <v>749.03959183673487</v>
      </c>
    </row>
    <row r="671" spans="1:4" x14ac:dyDescent="0.25">
      <c r="A671" s="2">
        <f ca="1">IFERROR(__xludf.DUMMYFUNCTION("""COMPUTED_VALUE"""),45364.6458333333)</f>
        <v>45364.645833333299</v>
      </c>
      <c r="B671" s="1">
        <f ca="1">IFERROR(__xludf.DUMMYFUNCTION("""COMPUTED_VALUE"""),730.2)</f>
        <v>730.2</v>
      </c>
      <c r="C671" s="3">
        <f t="shared" ca="1" si="20"/>
        <v>5.7551590890415297E-4</v>
      </c>
      <c r="D671">
        <f t="shared" ca="1" si="19"/>
        <v>746.4916326530614</v>
      </c>
    </row>
    <row r="672" spans="1:4" x14ac:dyDescent="0.25">
      <c r="A672" s="2">
        <f ca="1">IFERROR(__xludf.DUMMYFUNCTION("""COMPUTED_VALUE"""),45365.6458333333)</f>
        <v>45365.645833333299</v>
      </c>
      <c r="B672" s="1">
        <f ca="1">IFERROR(__xludf.DUMMYFUNCTION("""COMPUTED_VALUE"""),727.73)</f>
        <v>727.73</v>
      </c>
      <c r="C672" s="3">
        <f t="shared" ca="1" si="20"/>
        <v>-3.3826348945494755E-3</v>
      </c>
      <c r="D672">
        <f t="shared" ca="1" si="19"/>
        <v>744.06612244897974</v>
      </c>
    </row>
    <row r="673" spans="1:4" x14ac:dyDescent="0.25">
      <c r="A673" s="2">
        <f ca="1">IFERROR(__xludf.DUMMYFUNCTION("""COMPUTED_VALUE"""),45366.6458333333)</f>
        <v>45366.645833333299</v>
      </c>
      <c r="B673" s="1">
        <f ca="1">IFERROR(__xludf.DUMMYFUNCTION("""COMPUTED_VALUE"""),726.33)</f>
        <v>726.33</v>
      </c>
      <c r="C673" s="3">
        <f t="shared" ca="1" si="20"/>
        <v>-1.9237904167754211E-3</v>
      </c>
      <c r="D673">
        <f t="shared" ca="1" si="19"/>
        <v>741.58000000000015</v>
      </c>
    </row>
    <row r="674" spans="1:4" x14ac:dyDescent="0.25">
      <c r="A674" s="2">
        <f ca="1">IFERROR(__xludf.DUMMYFUNCTION("""COMPUTED_VALUE"""),45369.6458333333)</f>
        <v>45369.645833333299</v>
      </c>
      <c r="B674" s="1">
        <f ca="1">IFERROR(__xludf.DUMMYFUNCTION("""COMPUTED_VALUE"""),723.03)</f>
        <v>723.03</v>
      </c>
      <c r="C674" s="3">
        <f t="shared" ca="1" si="20"/>
        <v>-4.5433893684689716E-3</v>
      </c>
      <c r="D674">
        <f t="shared" ca="1" si="19"/>
        <v>739.33265306122451</v>
      </c>
    </row>
    <row r="675" spans="1:4" x14ac:dyDescent="0.25">
      <c r="A675" s="2">
        <f ca="1">IFERROR(__xludf.DUMMYFUNCTION("""COMPUTED_VALUE"""),45370.6458333333)</f>
        <v>45370.645833333299</v>
      </c>
      <c r="B675" s="1">
        <f ca="1">IFERROR(__xludf.DUMMYFUNCTION("""COMPUTED_VALUE"""),724.68)</f>
        <v>724.68</v>
      </c>
      <c r="C675" s="3">
        <f t="shared" ca="1" si="20"/>
        <v>2.2820629849383527E-3</v>
      </c>
      <c r="D675">
        <f t="shared" ca="1" si="19"/>
        <v>736.8346938775511</v>
      </c>
    </row>
    <row r="676" spans="1:4" x14ac:dyDescent="0.25">
      <c r="A676" s="2">
        <f ca="1">IFERROR(__xludf.DUMMYFUNCTION("""COMPUTED_VALUE"""),45371.6458333333)</f>
        <v>45371.645833333299</v>
      </c>
      <c r="B676" s="1">
        <f ca="1">IFERROR(__xludf.DUMMYFUNCTION("""COMPUTED_VALUE"""),715.53)</f>
        <v>715.53</v>
      </c>
      <c r="C676" s="3">
        <f t="shared" ca="1" si="20"/>
        <v>-1.2626262626262597E-2</v>
      </c>
      <c r="D676">
        <f t="shared" ca="1" si="19"/>
        <v>734.45877551020419</v>
      </c>
    </row>
    <row r="677" spans="1:4" x14ac:dyDescent="0.25">
      <c r="A677" s="2">
        <f ca="1">IFERROR(__xludf.DUMMYFUNCTION("""COMPUTED_VALUE"""),45372.6458333333)</f>
        <v>45372.645833333299</v>
      </c>
      <c r="B677" s="1">
        <f ca="1">IFERROR(__xludf.DUMMYFUNCTION("""COMPUTED_VALUE"""),722.88)</f>
        <v>722.88</v>
      </c>
      <c r="C677" s="3">
        <f t="shared" ca="1" si="20"/>
        <v>1.0272105991363079E-2</v>
      </c>
      <c r="D677">
        <f t="shared" ca="1" si="19"/>
        <v>732.08734693877568</v>
      </c>
    </row>
    <row r="678" spans="1:4" x14ac:dyDescent="0.25">
      <c r="A678" s="2">
        <f ca="1">IFERROR(__xludf.DUMMYFUNCTION("""COMPUTED_VALUE"""),45373.6458333333)</f>
        <v>45373.645833333299</v>
      </c>
      <c r="B678" s="1">
        <f ca="1">IFERROR(__xludf.DUMMYFUNCTION("""COMPUTED_VALUE"""),721.43)</f>
        <v>721.43</v>
      </c>
      <c r="C678" s="3">
        <f t="shared" ca="1" si="20"/>
        <v>-2.0058654271802312E-3</v>
      </c>
      <c r="D678">
        <f t="shared" ca="1" si="19"/>
        <v>729.99816326530606</v>
      </c>
    </row>
    <row r="679" spans="1:4" x14ac:dyDescent="0.25">
      <c r="A679" s="2">
        <f ca="1">IFERROR(__xludf.DUMMYFUNCTION("""COMPUTED_VALUE"""),45377.6458333333)</f>
        <v>45377.645833333299</v>
      </c>
      <c r="B679" s="1">
        <f ca="1">IFERROR(__xludf.DUMMYFUNCTION("""COMPUTED_VALUE"""),712.7)</f>
        <v>712.7</v>
      </c>
      <c r="C679" s="3">
        <f t="shared" ca="1" si="20"/>
        <v>-1.2100966136700588E-2</v>
      </c>
      <c r="D679">
        <f t="shared" ca="1" si="19"/>
        <v>727.82367346938781</v>
      </c>
    </row>
    <row r="680" spans="1:4" x14ac:dyDescent="0.25">
      <c r="A680" s="2">
        <f ca="1">IFERROR(__xludf.DUMMYFUNCTION("""COMPUTED_VALUE"""),45378.6458333333)</f>
        <v>45378.645833333299</v>
      </c>
      <c r="B680" s="1">
        <f ca="1">IFERROR(__xludf.DUMMYFUNCTION("""COMPUTED_VALUE"""),720.35)</f>
        <v>720.35</v>
      </c>
      <c r="C680" s="3">
        <f t="shared" ca="1" si="20"/>
        <v>1.0733829100603307E-2</v>
      </c>
      <c r="D680">
        <f t="shared" ca="1" si="19"/>
        <v>725.54204081632645</v>
      </c>
    </row>
    <row r="681" spans="1:4" x14ac:dyDescent="0.25">
      <c r="A681" s="2">
        <f ca="1">IFERROR(__xludf.DUMMYFUNCTION("""COMPUTED_VALUE"""),45379.6458333333)</f>
        <v>45379.645833333299</v>
      </c>
      <c r="B681" s="1">
        <f ca="1">IFERROR(__xludf.DUMMYFUNCTION("""COMPUTED_VALUE"""),723.95)</f>
        <v>723.95</v>
      </c>
      <c r="C681" s="3">
        <f t="shared" ca="1" si="20"/>
        <v>4.9975706253904666E-3</v>
      </c>
      <c r="D681">
        <f t="shared" ca="1" si="19"/>
        <v>723.49612244897958</v>
      </c>
    </row>
    <row r="682" spans="1:4" x14ac:dyDescent="0.25">
      <c r="A682" s="2">
        <f ca="1">IFERROR(__xludf.DUMMYFUNCTION("""COMPUTED_VALUE"""),45383.6458333333)</f>
        <v>45383.645833333299</v>
      </c>
      <c r="B682" s="1">
        <f ca="1">IFERROR(__xludf.DUMMYFUNCTION("""COMPUTED_VALUE"""),735.25)</f>
        <v>735.25</v>
      </c>
      <c r="C682" s="3">
        <f t="shared" ca="1" si="20"/>
        <v>1.5608812763312319E-2</v>
      </c>
      <c r="D682">
        <f t="shared" ca="1" si="19"/>
        <v>721.20122448979589</v>
      </c>
    </row>
    <row r="683" spans="1:4" x14ac:dyDescent="0.25">
      <c r="A683" s="2">
        <f ca="1">IFERROR(__xludf.DUMMYFUNCTION("""COMPUTED_VALUE"""),45384.6458333333)</f>
        <v>45384.645833333299</v>
      </c>
      <c r="B683" s="1">
        <f ca="1">IFERROR(__xludf.DUMMYFUNCTION("""COMPUTED_VALUE"""),740.08)</f>
        <v>740.08</v>
      </c>
      <c r="C683" s="3">
        <f t="shared" ca="1" si="20"/>
        <v>6.5691941516491546E-3</v>
      </c>
      <c r="D683">
        <f t="shared" ca="1" si="19"/>
        <v>719.07204081632653</v>
      </c>
    </row>
    <row r="684" spans="1:4" x14ac:dyDescent="0.25">
      <c r="A684" s="2">
        <f ca="1">IFERROR(__xludf.DUMMYFUNCTION("""COMPUTED_VALUE"""),45385.6458333333)</f>
        <v>45385.645833333299</v>
      </c>
      <c r="B684" s="1">
        <f ca="1">IFERROR(__xludf.DUMMYFUNCTION("""COMPUTED_VALUE"""),741.15)</f>
        <v>741.15</v>
      </c>
      <c r="C684" s="3">
        <f t="shared" ca="1" si="20"/>
        <v>1.4457896443626854E-3</v>
      </c>
      <c r="D684">
        <f t="shared" ca="1" si="19"/>
        <v>718.48693877551023</v>
      </c>
    </row>
    <row r="685" spans="1:4" x14ac:dyDescent="0.25">
      <c r="A685" s="2">
        <f ca="1">IFERROR(__xludf.DUMMYFUNCTION("""COMPUTED_VALUE"""),45386.6458333333)</f>
        <v>45386.645833333299</v>
      </c>
      <c r="B685" s="1">
        <f ca="1">IFERROR(__xludf.DUMMYFUNCTION("""COMPUTED_VALUE"""),763.8)</f>
        <v>763.8</v>
      </c>
      <c r="C685" s="3">
        <f t="shared" ca="1" si="20"/>
        <v>3.0560615260068782E-2</v>
      </c>
      <c r="D685">
        <f t="shared" ca="1" si="19"/>
        <v>718.44755102040835</v>
      </c>
    </row>
    <row r="686" spans="1:4" x14ac:dyDescent="0.25">
      <c r="A686" s="2">
        <f ca="1">IFERROR(__xludf.DUMMYFUNCTION("""COMPUTED_VALUE"""),45387.6458333333)</f>
        <v>45387.645833333299</v>
      </c>
      <c r="B686" s="1">
        <f ca="1">IFERROR(__xludf.DUMMYFUNCTION("""COMPUTED_VALUE"""),774.78)</f>
        <v>774.78</v>
      </c>
      <c r="C686" s="3">
        <f t="shared" ca="1" si="20"/>
        <v>1.4375490966221548E-2</v>
      </c>
      <c r="D686">
        <f t="shared" ca="1" si="19"/>
        <v>719.02857142857181</v>
      </c>
    </row>
    <row r="687" spans="1:4" x14ac:dyDescent="0.25">
      <c r="A687" s="2">
        <f ca="1">IFERROR(__xludf.DUMMYFUNCTION("""COMPUTED_VALUE"""),45390.6458333333)</f>
        <v>45390.645833333299</v>
      </c>
      <c r="B687" s="1">
        <f ca="1">IFERROR(__xludf.DUMMYFUNCTION("""COMPUTED_VALUE"""),773.3)</f>
        <v>773.3</v>
      </c>
      <c r="C687" s="3">
        <f t="shared" ca="1" si="20"/>
        <v>-1.9102196752626788E-3</v>
      </c>
      <c r="D687">
        <f t="shared" ca="1" si="19"/>
        <v>720.2755102040818</v>
      </c>
    </row>
    <row r="688" spans="1:4" x14ac:dyDescent="0.25">
      <c r="A688" s="2">
        <f ca="1">IFERROR(__xludf.DUMMYFUNCTION("""COMPUTED_VALUE"""),45391.6458333333)</f>
        <v>45391.645833333299</v>
      </c>
      <c r="B688" s="1">
        <f ca="1">IFERROR(__xludf.DUMMYFUNCTION("""COMPUTED_VALUE"""),774.28)</f>
        <v>774.28</v>
      </c>
      <c r="C688" s="3">
        <f t="shared" ca="1" si="20"/>
        <v>1.267296004138133E-3</v>
      </c>
      <c r="D688">
        <f t="shared" ca="1" si="19"/>
        <v>721.20102040816334</v>
      </c>
    </row>
    <row r="689" spans="1:4" x14ac:dyDescent="0.25">
      <c r="A689" s="2">
        <f ca="1">IFERROR(__xludf.DUMMYFUNCTION("""COMPUTED_VALUE"""),45392.6458333333)</f>
        <v>45392.645833333299</v>
      </c>
      <c r="B689" s="1">
        <f ca="1">IFERROR(__xludf.DUMMYFUNCTION("""COMPUTED_VALUE"""),768.18)</f>
        <v>768.18</v>
      </c>
      <c r="C689" s="3">
        <f t="shared" ca="1" si="20"/>
        <v>-7.8782869246267796E-3</v>
      </c>
      <c r="D689">
        <f t="shared" ca="1" si="19"/>
        <v>722.36081632653077</v>
      </c>
    </row>
    <row r="690" spans="1:4" x14ac:dyDescent="0.25">
      <c r="A690" s="2">
        <f ca="1">IFERROR(__xludf.DUMMYFUNCTION("""COMPUTED_VALUE"""),45394.6458333333)</f>
        <v>45394.645833333299</v>
      </c>
      <c r="B690" s="1">
        <f ca="1">IFERROR(__xludf.DUMMYFUNCTION("""COMPUTED_VALUE"""),759.48)</f>
        <v>759.48</v>
      </c>
      <c r="C690" s="3">
        <f t="shared" ca="1" si="20"/>
        <v>-1.1325470592829718E-2</v>
      </c>
      <c r="D690">
        <f t="shared" ca="1" si="19"/>
        <v>723.19448979591846</v>
      </c>
    </row>
    <row r="691" spans="1:4" x14ac:dyDescent="0.25">
      <c r="A691" s="2">
        <f ca="1">IFERROR(__xludf.DUMMYFUNCTION("""COMPUTED_VALUE"""),45397.6458333333)</f>
        <v>45397.645833333299</v>
      </c>
      <c r="B691" s="1">
        <f ca="1">IFERROR(__xludf.DUMMYFUNCTION("""COMPUTED_VALUE"""),747.35)</f>
        <v>747.35</v>
      </c>
      <c r="C691" s="3">
        <f t="shared" ca="1" si="20"/>
        <v>-1.5971454152841413E-2</v>
      </c>
      <c r="D691">
        <f t="shared" ca="1" si="19"/>
        <v>723.95632653061227</v>
      </c>
    </row>
    <row r="692" spans="1:4" x14ac:dyDescent="0.25">
      <c r="A692" s="2">
        <f ca="1">IFERROR(__xludf.DUMMYFUNCTION("""COMPUTED_VALUE"""),45398.6458333333)</f>
        <v>45398.645833333299</v>
      </c>
      <c r="B692" s="1">
        <f ca="1">IFERROR(__xludf.DUMMYFUNCTION("""COMPUTED_VALUE"""),754.63)</f>
        <v>754.63</v>
      </c>
      <c r="C692" s="3">
        <f t="shared" ca="1" si="20"/>
        <v>9.7410851675921225E-3</v>
      </c>
      <c r="D692">
        <f t="shared" ref="D692:D755" ca="1" si="21">AVERAGE(B643:B691)</f>
        <v>724.28428571428572</v>
      </c>
    </row>
    <row r="693" spans="1:4" x14ac:dyDescent="0.25">
      <c r="A693" s="2">
        <f ca="1">IFERROR(__xludf.DUMMYFUNCTION("""COMPUTED_VALUE"""),45400.6458333333)</f>
        <v>45400.645833333299</v>
      </c>
      <c r="B693" s="1">
        <f ca="1">IFERROR(__xludf.DUMMYFUNCTION("""COMPUTED_VALUE"""),747.35)</f>
        <v>747.35</v>
      </c>
      <c r="C693" s="3">
        <f t="shared" ca="1" si="20"/>
        <v>-9.6471118296383301E-3</v>
      </c>
      <c r="D693">
        <f t="shared" ca="1" si="21"/>
        <v>724.72204081632651</v>
      </c>
    </row>
    <row r="694" spans="1:4" x14ac:dyDescent="0.25">
      <c r="A694" s="2">
        <f ca="1">IFERROR(__xludf.DUMMYFUNCTION("""COMPUTED_VALUE"""),45401.6458333333)</f>
        <v>45401.645833333299</v>
      </c>
      <c r="B694" s="1">
        <f ca="1">IFERROR(__xludf.DUMMYFUNCTION("""COMPUTED_VALUE"""),765.65)</f>
        <v>765.65</v>
      </c>
      <c r="C694" s="3">
        <f t="shared" ca="1" si="20"/>
        <v>2.4486519033919789E-2</v>
      </c>
      <c r="D694">
        <f t="shared" ca="1" si="21"/>
        <v>725.21734693877534</v>
      </c>
    </row>
    <row r="695" spans="1:4" x14ac:dyDescent="0.25">
      <c r="A695" s="2">
        <f ca="1">IFERROR(__xludf.DUMMYFUNCTION("""COMPUTED_VALUE"""),45404.6458333333)</f>
        <v>45404.645833333299</v>
      </c>
      <c r="B695" s="1">
        <f ca="1">IFERROR(__xludf.DUMMYFUNCTION("""COMPUTED_VALUE"""),756.1)</f>
        <v>756.1</v>
      </c>
      <c r="C695" s="3">
        <f t="shared" ca="1" si="20"/>
        <v>-1.24730621040945E-2</v>
      </c>
      <c r="D695">
        <f t="shared" ca="1" si="21"/>
        <v>726.09938775510193</v>
      </c>
    </row>
    <row r="696" spans="1:4" x14ac:dyDescent="0.25">
      <c r="A696" s="2">
        <f ca="1">IFERROR(__xludf.DUMMYFUNCTION("""COMPUTED_VALUE"""),45405.6458333333)</f>
        <v>45405.645833333299</v>
      </c>
      <c r="B696" s="1">
        <f ca="1">IFERROR(__xludf.DUMMYFUNCTION("""COMPUTED_VALUE"""),753.8)</f>
        <v>753.8</v>
      </c>
      <c r="C696" s="3">
        <f t="shared" ca="1" si="20"/>
        <v>-3.0419256712076025E-3</v>
      </c>
      <c r="D696">
        <f t="shared" ca="1" si="21"/>
        <v>726.79428571428548</v>
      </c>
    </row>
    <row r="697" spans="1:4" x14ac:dyDescent="0.25">
      <c r="A697" s="2">
        <f ca="1">IFERROR(__xludf.DUMMYFUNCTION("""COMPUTED_VALUE"""),45406.6458333333)</f>
        <v>45406.645833333299</v>
      </c>
      <c r="B697" s="1">
        <f ca="1">IFERROR(__xludf.DUMMYFUNCTION("""COMPUTED_VALUE"""),755.85)</f>
        <v>755.85</v>
      </c>
      <c r="C697" s="3">
        <f t="shared" ca="1" si="20"/>
        <v>2.7195542584240759E-3</v>
      </c>
      <c r="D697">
        <f t="shared" ca="1" si="21"/>
        <v>727.58653061224481</v>
      </c>
    </row>
    <row r="698" spans="1:4" x14ac:dyDescent="0.25">
      <c r="A698" s="2">
        <f ca="1">IFERROR(__xludf.DUMMYFUNCTION("""COMPUTED_VALUE"""),45407.6458333333)</f>
        <v>45407.645833333299</v>
      </c>
      <c r="B698" s="1">
        <f ca="1">IFERROR(__xludf.DUMMYFUNCTION("""COMPUTED_VALUE"""),755.38)</f>
        <v>755.38</v>
      </c>
      <c r="C698" s="3">
        <f t="shared" ca="1" si="20"/>
        <v>-6.2181649798243998E-4</v>
      </c>
      <c r="D698">
        <f t="shared" ca="1" si="21"/>
        <v>728.69510204081632</v>
      </c>
    </row>
    <row r="699" spans="1:4" x14ac:dyDescent="0.25">
      <c r="A699" s="2">
        <f ca="1">IFERROR(__xludf.DUMMYFUNCTION("""COMPUTED_VALUE"""),45408.6458333333)</f>
        <v>45408.645833333299</v>
      </c>
      <c r="B699" s="1">
        <f ca="1">IFERROR(__xludf.DUMMYFUNCTION("""COMPUTED_VALUE"""),754.9)</f>
        <v>754.9</v>
      </c>
      <c r="C699" s="3">
        <f t="shared" ca="1" si="20"/>
        <v>-6.3544176440998989E-4</v>
      </c>
      <c r="D699">
        <f t="shared" ca="1" si="21"/>
        <v>729.78857142857146</v>
      </c>
    </row>
    <row r="700" spans="1:4" x14ac:dyDescent="0.25">
      <c r="A700" s="2">
        <f ca="1">IFERROR(__xludf.DUMMYFUNCTION("""COMPUTED_VALUE"""),45411.6458333333)</f>
        <v>45411.645833333299</v>
      </c>
      <c r="B700" s="1">
        <f ca="1">IFERROR(__xludf.DUMMYFUNCTION("""COMPUTED_VALUE"""),764.75)</f>
        <v>764.75</v>
      </c>
      <c r="C700" s="3">
        <f t="shared" ca="1" si="20"/>
        <v>1.3048085839184029E-2</v>
      </c>
      <c r="D700">
        <f t="shared" ca="1" si="21"/>
        <v>731.01102040816329</v>
      </c>
    </row>
    <row r="701" spans="1:4" x14ac:dyDescent="0.25">
      <c r="A701" s="2">
        <f ca="1">IFERROR(__xludf.DUMMYFUNCTION("""COMPUTED_VALUE"""),45412.6458333333)</f>
        <v>45412.645833333299</v>
      </c>
      <c r="B701" s="1">
        <f ca="1">IFERROR(__xludf.DUMMYFUNCTION("""COMPUTED_VALUE"""),760.05)</f>
        <v>760.05</v>
      </c>
      <c r="C701" s="3">
        <f t="shared" ca="1" si="20"/>
        <v>-6.1457992808107821E-3</v>
      </c>
      <c r="D701">
        <f t="shared" ca="1" si="21"/>
        <v>732.38897959183669</v>
      </c>
    </row>
    <row r="702" spans="1:4" x14ac:dyDescent="0.25">
      <c r="A702" s="2">
        <f ca="1">IFERROR(__xludf.DUMMYFUNCTION("""COMPUTED_VALUE"""),45414.6458333333)</f>
        <v>45414.645833333299</v>
      </c>
      <c r="B702" s="1">
        <f ca="1">IFERROR(__xludf.DUMMYFUNCTION("""COMPUTED_VALUE"""),766.13)</f>
        <v>766.13</v>
      </c>
      <c r="C702" s="3">
        <f t="shared" ca="1" si="20"/>
        <v>7.999473718834341E-3</v>
      </c>
      <c r="D702">
        <f t="shared" ca="1" si="21"/>
        <v>733.77714285714274</v>
      </c>
    </row>
    <row r="703" spans="1:4" x14ac:dyDescent="0.25">
      <c r="A703" s="2">
        <f ca="1">IFERROR(__xludf.DUMMYFUNCTION("""COMPUTED_VALUE"""),45415.6458333333)</f>
        <v>45415.645833333299</v>
      </c>
      <c r="B703" s="1">
        <f ca="1">IFERROR(__xludf.DUMMYFUNCTION("""COMPUTED_VALUE"""),759.8)</f>
        <v>759.8</v>
      </c>
      <c r="C703" s="3">
        <f t="shared" ca="1" si="20"/>
        <v>-8.2623053528775026E-3</v>
      </c>
      <c r="D703">
        <f t="shared" ca="1" si="21"/>
        <v>734.98326530612246</v>
      </c>
    </row>
    <row r="704" spans="1:4" x14ac:dyDescent="0.25">
      <c r="A704" s="2">
        <f ca="1">IFERROR(__xludf.DUMMYFUNCTION("""COMPUTED_VALUE"""),45418.6458333333)</f>
        <v>45418.645833333299</v>
      </c>
      <c r="B704" s="1">
        <f ca="1">IFERROR(__xludf.DUMMYFUNCTION("""COMPUTED_VALUE"""),761.33)</f>
        <v>761.33</v>
      </c>
      <c r="C704" s="3">
        <f t="shared" ca="1" si="20"/>
        <v>2.0136878125823722E-3</v>
      </c>
      <c r="D704">
        <f t="shared" ca="1" si="21"/>
        <v>736.00061224489798</v>
      </c>
    </row>
    <row r="705" spans="1:4" x14ac:dyDescent="0.25">
      <c r="A705" s="2">
        <f ca="1">IFERROR(__xludf.DUMMYFUNCTION("""COMPUTED_VALUE"""),45419.6458333333)</f>
        <v>45419.645833333299</v>
      </c>
      <c r="B705" s="1">
        <f ca="1">IFERROR(__xludf.DUMMYFUNCTION("""COMPUTED_VALUE"""),753.08)</f>
        <v>753.08</v>
      </c>
      <c r="C705" s="3">
        <f t="shared" ca="1" si="20"/>
        <v>-1.0836299633536049E-2</v>
      </c>
      <c r="D705">
        <f t="shared" ca="1" si="21"/>
        <v>737.0777551020409</v>
      </c>
    </row>
    <row r="706" spans="1:4" x14ac:dyDescent="0.25">
      <c r="A706" s="2">
        <f ca="1">IFERROR(__xludf.DUMMYFUNCTION("""COMPUTED_VALUE"""),45420.6458333333)</f>
        <v>45420.645833333299</v>
      </c>
      <c r="B706" s="1">
        <f ca="1">IFERROR(__xludf.DUMMYFUNCTION("""COMPUTED_VALUE"""),741.33)</f>
        <v>741.33</v>
      </c>
      <c r="C706" s="3">
        <f t="shared" ca="1" si="20"/>
        <v>-1.5602592022095926E-2</v>
      </c>
      <c r="D706">
        <f t="shared" ca="1" si="21"/>
        <v>737.60693877551034</v>
      </c>
    </row>
    <row r="707" spans="1:4" x14ac:dyDescent="0.25">
      <c r="A707" s="2">
        <f ca="1">IFERROR(__xludf.DUMMYFUNCTION("""COMPUTED_VALUE"""),45421.6458333333)</f>
        <v>45421.645833333299</v>
      </c>
      <c r="B707" s="1">
        <f ca="1">IFERROR(__xludf.DUMMYFUNCTION("""COMPUTED_VALUE"""),723.75)</f>
        <v>723.75</v>
      </c>
      <c r="C707" s="3">
        <f t="shared" ca="1" si="20"/>
        <v>-2.371413540528515E-2</v>
      </c>
      <c r="D707">
        <f t="shared" ca="1" si="21"/>
        <v>738.05081632653071</v>
      </c>
    </row>
    <row r="708" spans="1:4" x14ac:dyDescent="0.25">
      <c r="A708" s="2">
        <f ca="1">IFERROR(__xludf.DUMMYFUNCTION("""COMPUTED_VALUE"""),45422.6458333333)</f>
        <v>45422.645833333299</v>
      </c>
      <c r="B708" s="1">
        <f ca="1">IFERROR(__xludf.DUMMYFUNCTION("""COMPUTED_VALUE"""),718.95)</f>
        <v>718.95</v>
      </c>
      <c r="C708" s="3">
        <f t="shared" ref="C708:C771" ca="1" si="22">(B708-B707)/B707</f>
        <v>-6.6321243523315438E-3</v>
      </c>
      <c r="D708">
        <f t="shared" ca="1" si="21"/>
        <v>738.33591836734706</v>
      </c>
    </row>
    <row r="709" spans="1:4" x14ac:dyDescent="0.25">
      <c r="A709" s="2">
        <f ca="1">IFERROR(__xludf.DUMMYFUNCTION("""COMPUTED_VALUE"""),45425.6458333333)</f>
        <v>45425.645833333299</v>
      </c>
      <c r="B709" s="1">
        <f ca="1">IFERROR(__xludf.DUMMYFUNCTION("""COMPUTED_VALUE"""),727.63)</f>
        <v>727.63</v>
      </c>
      <c r="C709" s="3">
        <f t="shared" ca="1" si="22"/>
        <v>1.2073162250504137E-2</v>
      </c>
      <c r="D709">
        <f t="shared" ca="1" si="21"/>
        <v>738.5124489795918</v>
      </c>
    </row>
    <row r="710" spans="1:4" x14ac:dyDescent="0.25">
      <c r="A710" s="2">
        <f ca="1">IFERROR(__xludf.DUMMYFUNCTION("""COMPUTED_VALUE"""),45426.6458333333)</f>
        <v>45426.645833333299</v>
      </c>
      <c r="B710" s="1">
        <f ca="1">IFERROR(__xludf.DUMMYFUNCTION("""COMPUTED_VALUE"""),730.48)</f>
        <v>730.48</v>
      </c>
      <c r="C710" s="3">
        <f t="shared" ca="1" si="22"/>
        <v>3.9168258592966517E-3</v>
      </c>
      <c r="D710">
        <f t="shared" ca="1" si="21"/>
        <v>738.84877551020406</v>
      </c>
    </row>
    <row r="711" spans="1:4" x14ac:dyDescent="0.25">
      <c r="A711" s="2">
        <f ca="1">IFERROR(__xludf.DUMMYFUNCTION("""COMPUTED_VALUE"""),45427.6458333333)</f>
        <v>45427.645833333299</v>
      </c>
      <c r="B711" s="1">
        <f ca="1">IFERROR(__xludf.DUMMYFUNCTION("""COMPUTED_VALUE"""),719.25)</f>
        <v>719.25</v>
      </c>
      <c r="C711" s="3">
        <f t="shared" ca="1" si="22"/>
        <v>-1.5373453071952713E-2</v>
      </c>
      <c r="D711">
        <f t="shared" ca="1" si="21"/>
        <v>739.26510204081626</v>
      </c>
    </row>
    <row r="712" spans="1:4" x14ac:dyDescent="0.25">
      <c r="A712" s="2">
        <f ca="1">IFERROR(__xludf.DUMMYFUNCTION("""COMPUTED_VALUE"""),45428.6458333333)</f>
        <v>45428.645833333299</v>
      </c>
      <c r="B712" s="1">
        <f ca="1">IFERROR(__xludf.DUMMYFUNCTION("""COMPUTED_VALUE"""),730.13)</f>
        <v>730.13</v>
      </c>
      <c r="C712" s="3">
        <f t="shared" ca="1" si="22"/>
        <v>1.5126868265554391E-2</v>
      </c>
      <c r="D712">
        <f t="shared" ca="1" si="21"/>
        <v>739.56204081632654</v>
      </c>
    </row>
    <row r="713" spans="1:4" x14ac:dyDescent="0.25">
      <c r="A713" s="2">
        <f ca="1">IFERROR(__xludf.DUMMYFUNCTION("""COMPUTED_VALUE"""),45429.6458333333)</f>
        <v>45429.645833333299</v>
      </c>
      <c r="B713" s="1">
        <f ca="1">IFERROR(__xludf.DUMMYFUNCTION("""COMPUTED_VALUE"""),732.05)</f>
        <v>732.05</v>
      </c>
      <c r="C713" s="3">
        <f t="shared" ca="1" si="22"/>
        <v>2.6296686891374948E-3</v>
      </c>
      <c r="D713">
        <f t="shared" ca="1" si="21"/>
        <v>740.14224489795902</v>
      </c>
    </row>
    <row r="714" spans="1:4" x14ac:dyDescent="0.25">
      <c r="A714" s="2">
        <f ca="1">IFERROR(__xludf.DUMMYFUNCTION("""COMPUTED_VALUE"""),45433.6458333333)</f>
        <v>45433.645833333299</v>
      </c>
      <c r="B714" s="1">
        <f ca="1">IFERROR(__xludf.DUMMYFUNCTION("""COMPUTED_VALUE"""),729.4)</f>
        <v>729.4</v>
      </c>
      <c r="C714" s="3">
        <f t="shared" ca="1" si="22"/>
        <v>-3.6199713134348437E-3</v>
      </c>
      <c r="D714">
        <f t="shared" ca="1" si="21"/>
        <v>740.48244897959194</v>
      </c>
    </row>
    <row r="715" spans="1:4" x14ac:dyDescent="0.25">
      <c r="A715" s="2">
        <f ca="1">IFERROR(__xludf.DUMMYFUNCTION("""COMPUTED_VALUE"""),45434.6458333333)</f>
        <v>45434.645833333299</v>
      </c>
      <c r="B715" s="1">
        <f ca="1">IFERROR(__xludf.DUMMYFUNCTION("""COMPUTED_VALUE"""),729.6)</f>
        <v>729.6</v>
      </c>
      <c r="C715" s="3">
        <f t="shared" ca="1" si="22"/>
        <v>2.7419797093507746E-4</v>
      </c>
      <c r="D715">
        <f t="shared" ca="1" si="21"/>
        <v>740.74877551020427</v>
      </c>
    </row>
    <row r="716" spans="1:4" x14ac:dyDescent="0.25">
      <c r="A716" s="2">
        <f ca="1">IFERROR(__xludf.DUMMYFUNCTION("""COMPUTED_VALUE"""),45435.6458333333)</f>
        <v>45435.645833333299</v>
      </c>
      <c r="B716" s="1">
        <f ca="1">IFERROR(__xludf.DUMMYFUNCTION("""COMPUTED_VALUE"""),746.3)</f>
        <v>746.3</v>
      </c>
      <c r="C716" s="3">
        <f t="shared" ca="1" si="22"/>
        <v>2.2889254385964817E-2</v>
      </c>
      <c r="D716">
        <f t="shared" ca="1" si="21"/>
        <v>740.93591836734709</v>
      </c>
    </row>
    <row r="717" spans="1:4" x14ac:dyDescent="0.25">
      <c r="A717" s="2">
        <f ca="1">IFERROR(__xludf.DUMMYFUNCTION("""COMPUTED_VALUE"""),45436.6458333333)</f>
        <v>45436.645833333299</v>
      </c>
      <c r="B717" s="1">
        <f ca="1">IFERROR(__xludf.DUMMYFUNCTION("""COMPUTED_VALUE"""),758.6)</f>
        <v>758.6</v>
      </c>
      <c r="C717" s="3">
        <f t="shared" ca="1" si="22"/>
        <v>1.6481307785073118E-2</v>
      </c>
      <c r="D717">
        <f t="shared" ca="1" si="21"/>
        <v>741.44612244897974</v>
      </c>
    </row>
    <row r="718" spans="1:4" x14ac:dyDescent="0.25">
      <c r="A718" s="2">
        <f ca="1">IFERROR(__xludf.DUMMYFUNCTION("""COMPUTED_VALUE"""),45439.6458333333)</f>
        <v>45439.645833333299</v>
      </c>
      <c r="B718" s="1">
        <f ca="1">IFERROR(__xludf.DUMMYFUNCTION("""COMPUTED_VALUE"""),763.85)</f>
        <v>763.85</v>
      </c>
      <c r="C718" s="3">
        <f t="shared" ca="1" si="22"/>
        <v>6.9206432902715531E-3</v>
      </c>
      <c r="D718">
        <f t="shared" ca="1" si="21"/>
        <v>742.17163265306147</v>
      </c>
    </row>
    <row r="719" spans="1:4" x14ac:dyDescent="0.25">
      <c r="A719" s="2">
        <f ca="1">IFERROR(__xludf.DUMMYFUNCTION("""COMPUTED_VALUE"""),45440.6458333333)</f>
        <v>45440.645833333299</v>
      </c>
      <c r="B719" s="1">
        <f ca="1">IFERROR(__xludf.DUMMYFUNCTION("""COMPUTED_VALUE"""),765.25)</f>
        <v>765.25</v>
      </c>
      <c r="C719" s="3">
        <f t="shared" ca="1" si="22"/>
        <v>1.8328205799567679E-3</v>
      </c>
      <c r="D719">
        <f t="shared" ca="1" si="21"/>
        <v>743.19102040816324</v>
      </c>
    </row>
    <row r="720" spans="1:4" x14ac:dyDescent="0.25">
      <c r="A720" s="2">
        <f ca="1">IFERROR(__xludf.DUMMYFUNCTION("""COMPUTED_VALUE"""),45441.6458333333)</f>
        <v>45441.645833333299</v>
      </c>
      <c r="B720" s="1">
        <f ca="1">IFERROR(__xludf.DUMMYFUNCTION("""COMPUTED_VALUE"""),754.15)</f>
        <v>754.15</v>
      </c>
      <c r="C720" s="3">
        <f t="shared" ca="1" si="22"/>
        <v>-1.4505063704671705E-2</v>
      </c>
      <c r="D720">
        <f t="shared" ca="1" si="21"/>
        <v>743.9148979591838</v>
      </c>
    </row>
    <row r="721" spans="1:4" x14ac:dyDescent="0.25">
      <c r="A721" s="2">
        <f ca="1">IFERROR(__xludf.DUMMYFUNCTION("""COMPUTED_VALUE"""),45442.6458333333)</f>
        <v>45442.645833333299</v>
      </c>
      <c r="B721" s="1">
        <f ca="1">IFERROR(__xludf.DUMMYFUNCTION("""COMPUTED_VALUE"""),757.43)</f>
        <v>757.43</v>
      </c>
      <c r="C721" s="3">
        <f t="shared" ca="1" si="22"/>
        <v>4.3492673871245412E-3</v>
      </c>
      <c r="D721">
        <f t="shared" ca="1" si="21"/>
        <v>744.40367346938785</v>
      </c>
    </row>
    <row r="722" spans="1:4" x14ac:dyDescent="0.25">
      <c r="A722" s="2">
        <f ca="1">IFERROR(__xludf.DUMMYFUNCTION("""COMPUTED_VALUE"""),45443.6458333333)</f>
        <v>45443.645833333299</v>
      </c>
      <c r="B722" s="1">
        <f ca="1">IFERROR(__xludf.DUMMYFUNCTION("""COMPUTED_VALUE"""),765.78)</f>
        <v>765.78</v>
      </c>
      <c r="C722" s="3">
        <f t="shared" ca="1" si="22"/>
        <v>1.1024121040888298E-2</v>
      </c>
      <c r="D722">
        <f t="shared" ca="1" si="21"/>
        <v>745.00979591836744</v>
      </c>
    </row>
    <row r="723" spans="1:4" x14ac:dyDescent="0.25">
      <c r="A723" s="2">
        <f ca="1">IFERROR(__xludf.DUMMYFUNCTION("""COMPUTED_VALUE"""),45446.6458333333)</f>
        <v>45446.645833333299</v>
      </c>
      <c r="B723" s="1">
        <f ca="1">IFERROR(__xludf.DUMMYFUNCTION("""COMPUTED_VALUE"""),786.1)</f>
        <v>786.1</v>
      </c>
      <c r="C723" s="3">
        <f t="shared" ca="1" si="22"/>
        <v>2.6535036172268864E-2</v>
      </c>
      <c r="D723">
        <f t="shared" ca="1" si="21"/>
        <v>745.81489795918378</v>
      </c>
    </row>
    <row r="724" spans="1:4" x14ac:dyDescent="0.25">
      <c r="A724" s="2">
        <f ca="1">IFERROR(__xludf.DUMMYFUNCTION("""COMPUTED_VALUE"""),45447.6458333333)</f>
        <v>45447.645833333299</v>
      </c>
      <c r="B724" s="1">
        <f ca="1">IFERROR(__xludf.DUMMYFUNCTION("""COMPUTED_VALUE"""),741.58)</f>
        <v>741.58</v>
      </c>
      <c r="C724" s="3">
        <f t="shared" ca="1" si="22"/>
        <v>-5.6634016028495077E-2</v>
      </c>
      <c r="D724">
        <f t="shared" ca="1" si="21"/>
        <v>747.10204081632673</v>
      </c>
    </row>
    <row r="725" spans="1:4" x14ac:dyDescent="0.25">
      <c r="A725" s="2">
        <f ca="1">IFERROR(__xludf.DUMMYFUNCTION("""COMPUTED_VALUE"""),45448.6458333333)</f>
        <v>45448.645833333299</v>
      </c>
      <c r="B725" s="1">
        <f ca="1">IFERROR(__xludf.DUMMYFUNCTION("""COMPUTED_VALUE"""),775.9)</f>
        <v>775.9</v>
      </c>
      <c r="C725" s="3">
        <f t="shared" ca="1" si="22"/>
        <v>4.6279565252568752E-2</v>
      </c>
      <c r="D725">
        <f t="shared" ca="1" si="21"/>
        <v>747.44693877551026</v>
      </c>
    </row>
    <row r="726" spans="1:4" x14ac:dyDescent="0.25">
      <c r="A726" s="2">
        <f ca="1">IFERROR(__xludf.DUMMYFUNCTION("""COMPUTED_VALUE"""),45449.6458333333)</f>
        <v>45449.645833333299</v>
      </c>
      <c r="B726" s="1">
        <f ca="1">IFERROR(__xludf.DUMMYFUNCTION("""COMPUTED_VALUE"""),779.85)</f>
        <v>779.85</v>
      </c>
      <c r="C726" s="3">
        <f t="shared" ca="1" si="22"/>
        <v>5.0908622245135274E-3</v>
      </c>
      <c r="D726">
        <f t="shared" ca="1" si="21"/>
        <v>748.67897959183676</v>
      </c>
    </row>
    <row r="727" spans="1:4" x14ac:dyDescent="0.25">
      <c r="A727" s="2">
        <f ca="1">IFERROR(__xludf.DUMMYFUNCTION("""COMPUTED_VALUE"""),45450.6458333333)</f>
        <v>45450.645833333299</v>
      </c>
      <c r="B727" s="1">
        <f ca="1">IFERROR(__xludf.DUMMYFUNCTION("""COMPUTED_VALUE"""),786.68)</f>
        <v>786.68</v>
      </c>
      <c r="C727" s="3">
        <f t="shared" ca="1" si="22"/>
        <v>8.7580945053534996E-3</v>
      </c>
      <c r="D727">
        <f t="shared" ca="1" si="21"/>
        <v>749.8416326530612</v>
      </c>
    </row>
    <row r="728" spans="1:4" x14ac:dyDescent="0.25">
      <c r="A728" s="2">
        <f ca="1">IFERROR(__xludf.DUMMYFUNCTION("""COMPUTED_VALUE"""),45453.6458333333)</f>
        <v>45453.645833333299</v>
      </c>
      <c r="B728" s="1">
        <f ca="1">IFERROR(__xludf.DUMMYFUNCTION("""COMPUTED_VALUE"""),780.65)</f>
        <v>780.65</v>
      </c>
      <c r="C728" s="3">
        <f t="shared" ca="1" si="22"/>
        <v>-7.6651243199267463E-3</v>
      </c>
      <c r="D728">
        <f t="shared" ca="1" si="21"/>
        <v>751.17326530612252</v>
      </c>
    </row>
    <row r="729" spans="1:4" x14ac:dyDescent="0.25">
      <c r="A729" s="2">
        <f ca="1">IFERROR(__xludf.DUMMYFUNCTION("""COMPUTED_VALUE"""),45454.6458333333)</f>
        <v>45454.645833333299</v>
      </c>
      <c r="B729" s="1">
        <f ca="1">IFERROR(__xludf.DUMMYFUNCTION("""COMPUTED_VALUE"""),782.4)</f>
        <v>782.4</v>
      </c>
      <c r="C729" s="3">
        <f t="shared" ca="1" si="22"/>
        <v>2.2417216422212258E-3</v>
      </c>
      <c r="D729">
        <f t="shared" ca="1" si="21"/>
        <v>752.56000000000017</v>
      </c>
    </row>
    <row r="730" spans="1:4" x14ac:dyDescent="0.25">
      <c r="A730" s="2">
        <f ca="1">IFERROR(__xludf.DUMMYFUNCTION("""COMPUTED_VALUE"""),45455.6458333333)</f>
        <v>45455.645833333299</v>
      </c>
      <c r="B730" s="1">
        <f ca="1">IFERROR(__xludf.DUMMYFUNCTION("""COMPUTED_VALUE"""),787.08)</f>
        <v>787.08</v>
      </c>
      <c r="C730" s="3">
        <f t="shared" ca="1" si="22"/>
        <v>5.9815950920246216E-3</v>
      </c>
      <c r="D730">
        <f t="shared" ca="1" si="21"/>
        <v>753.82632653061239</v>
      </c>
    </row>
    <row r="731" spans="1:4" x14ac:dyDescent="0.25">
      <c r="A731" s="2">
        <f ca="1">IFERROR(__xludf.DUMMYFUNCTION("""COMPUTED_VALUE"""),45456.6458333333)</f>
        <v>45456.645833333299</v>
      </c>
      <c r="B731" s="1">
        <f ca="1">IFERROR(__xludf.DUMMYFUNCTION("""COMPUTED_VALUE"""),790.38)</f>
        <v>790.38</v>
      </c>
      <c r="C731" s="3">
        <f t="shared" ca="1" si="22"/>
        <v>4.1927123037047752E-3</v>
      </c>
      <c r="D731">
        <f t="shared" ca="1" si="21"/>
        <v>755.11469387755108</v>
      </c>
    </row>
    <row r="732" spans="1:4" x14ac:dyDescent="0.25">
      <c r="A732" s="2">
        <f ca="1">IFERROR(__xludf.DUMMYFUNCTION("""COMPUTED_VALUE"""),45457.6458333333)</f>
        <v>45457.645833333299</v>
      </c>
      <c r="B732" s="1">
        <f ca="1">IFERROR(__xludf.DUMMYFUNCTION("""COMPUTED_VALUE"""),798.45)</f>
        <v>798.45</v>
      </c>
      <c r="C732" s="3">
        <f t="shared" ca="1" si="22"/>
        <v>1.0210278600167072E-2</v>
      </c>
      <c r="D732">
        <f t="shared" ca="1" si="21"/>
        <v>756.23979591836735</v>
      </c>
    </row>
    <row r="733" spans="1:4" x14ac:dyDescent="0.25">
      <c r="A733" s="2">
        <f ca="1">IFERROR(__xludf.DUMMYFUNCTION("""COMPUTED_VALUE"""),45461.6458333333)</f>
        <v>45461.645833333299</v>
      </c>
      <c r="B733" s="1">
        <f ca="1">IFERROR(__xludf.DUMMYFUNCTION("""COMPUTED_VALUE"""),803.9)</f>
        <v>803.9</v>
      </c>
      <c r="C733" s="3">
        <f t="shared" ca="1" si="22"/>
        <v>6.8257248418810588E-3</v>
      </c>
      <c r="D733">
        <f t="shared" ca="1" si="21"/>
        <v>757.43102040816314</v>
      </c>
    </row>
    <row r="734" spans="1:4" x14ac:dyDescent="0.25">
      <c r="A734" s="2">
        <f ca="1">IFERROR(__xludf.DUMMYFUNCTION("""COMPUTED_VALUE"""),45462.6458333333)</f>
        <v>45462.645833333299</v>
      </c>
      <c r="B734" s="1">
        <f ca="1">IFERROR(__xludf.DUMMYFUNCTION("""COMPUTED_VALUE"""),828.93)</f>
        <v>828.93</v>
      </c>
      <c r="C734" s="3">
        <f t="shared" ca="1" si="22"/>
        <v>3.1135713397188673E-2</v>
      </c>
      <c r="D734">
        <f t="shared" ca="1" si="21"/>
        <v>758.71163265306109</v>
      </c>
    </row>
    <row r="735" spans="1:4" x14ac:dyDescent="0.25">
      <c r="A735" s="2">
        <f ca="1">IFERROR(__xludf.DUMMYFUNCTION("""COMPUTED_VALUE"""),45463.6458333333)</f>
        <v>45463.645833333299</v>
      </c>
      <c r="B735" s="1">
        <f ca="1">IFERROR(__xludf.DUMMYFUNCTION("""COMPUTED_VALUE"""),834.68)</f>
        <v>834.68</v>
      </c>
      <c r="C735" s="3">
        <f t="shared" ca="1" si="22"/>
        <v>6.9366532759099087E-3</v>
      </c>
      <c r="D735">
        <f t="shared" ca="1" si="21"/>
        <v>760.04081632653049</v>
      </c>
    </row>
    <row r="736" spans="1:4" x14ac:dyDescent="0.25">
      <c r="A736" s="2">
        <f ca="1">IFERROR(__xludf.DUMMYFUNCTION("""COMPUTED_VALUE"""),45464.6458333333)</f>
        <v>45464.645833333299</v>
      </c>
      <c r="B736" s="1">
        <f ca="1">IFERROR(__xludf.DUMMYFUNCTION("""COMPUTED_VALUE"""),832.88)</f>
        <v>832.88</v>
      </c>
      <c r="C736" s="3">
        <f t="shared" ca="1" si="22"/>
        <v>-2.1565150716441684E-3</v>
      </c>
      <c r="D736">
        <f t="shared" ca="1" si="21"/>
        <v>761.26326530612232</v>
      </c>
    </row>
    <row r="737" spans="1:4" x14ac:dyDescent="0.25">
      <c r="A737" s="2">
        <f ca="1">IFERROR(__xludf.DUMMYFUNCTION("""COMPUTED_VALUE"""),45467.6458333333)</f>
        <v>45467.645833333299</v>
      </c>
      <c r="B737" s="1">
        <f ca="1">IFERROR(__xludf.DUMMYFUNCTION("""COMPUTED_VALUE"""),836.2)</f>
        <v>836.2</v>
      </c>
      <c r="C737" s="3">
        <f t="shared" ca="1" si="22"/>
        <v>3.9861684756508139E-3</v>
      </c>
      <c r="D737">
        <f t="shared" ca="1" si="21"/>
        <v>762.47918367346927</v>
      </c>
    </row>
    <row r="738" spans="1:4" x14ac:dyDescent="0.25">
      <c r="A738" s="2">
        <f ca="1">IFERROR(__xludf.DUMMYFUNCTION("""COMPUTED_VALUE"""),45468.6458333333)</f>
        <v>45468.645833333299</v>
      </c>
      <c r="B738" s="1">
        <f ca="1">IFERROR(__xludf.DUMMYFUNCTION("""COMPUTED_VALUE"""),855.68)</f>
        <v>855.68</v>
      </c>
      <c r="C738" s="3">
        <f t="shared" ca="1" si="22"/>
        <v>2.3295862233915214E-2</v>
      </c>
      <c r="D738">
        <f t="shared" ca="1" si="21"/>
        <v>763.74285714285702</v>
      </c>
    </row>
    <row r="739" spans="1:4" x14ac:dyDescent="0.25">
      <c r="A739" s="2">
        <f ca="1">IFERROR(__xludf.DUMMYFUNCTION("""COMPUTED_VALUE"""),45469.6458333333)</f>
        <v>45469.645833333299</v>
      </c>
      <c r="B739" s="1">
        <f ca="1">IFERROR(__xludf.DUMMYFUNCTION("""COMPUTED_VALUE"""),850.75)</f>
        <v>850.75</v>
      </c>
      <c r="C739" s="3">
        <f t="shared" ca="1" si="22"/>
        <v>-5.7614996260283635E-3</v>
      </c>
      <c r="D739">
        <f t="shared" ca="1" si="21"/>
        <v>765.52857142857135</v>
      </c>
    </row>
    <row r="740" spans="1:4" x14ac:dyDescent="0.25">
      <c r="A740" s="2">
        <f ca="1">IFERROR(__xludf.DUMMYFUNCTION("""COMPUTED_VALUE"""),45470.6458333333)</f>
        <v>45470.645833333299</v>
      </c>
      <c r="B740" s="1">
        <f ca="1">IFERROR(__xludf.DUMMYFUNCTION("""COMPUTED_VALUE"""),848.08)</f>
        <v>848.08</v>
      </c>
      <c r="C740" s="3">
        <f t="shared" ca="1" si="22"/>
        <v>-3.1384072876872865E-3</v>
      </c>
      <c r="D740">
        <f t="shared" ca="1" si="21"/>
        <v>767.39122448979583</v>
      </c>
    </row>
    <row r="741" spans="1:4" x14ac:dyDescent="0.25">
      <c r="A741" s="2">
        <f ca="1">IFERROR(__xludf.DUMMYFUNCTION("""COMPUTED_VALUE"""),45471.6458333333)</f>
        <v>45471.645833333299</v>
      </c>
      <c r="B741" s="1">
        <f ca="1">IFERROR(__xludf.DUMMYFUNCTION("""COMPUTED_VALUE"""),841.9)</f>
        <v>841.9</v>
      </c>
      <c r="C741" s="3">
        <f t="shared" ca="1" si="22"/>
        <v>-7.287048391661239E-3</v>
      </c>
      <c r="D741">
        <f t="shared" ca="1" si="21"/>
        <v>769.44693877551026</v>
      </c>
    </row>
    <row r="742" spans="1:4" x14ac:dyDescent="0.25">
      <c r="A742" s="2">
        <f ca="1">IFERROR(__xludf.DUMMYFUNCTION("""COMPUTED_VALUE"""),45474.6458333333)</f>
        <v>45474.645833333299</v>
      </c>
      <c r="B742" s="1">
        <f ca="1">IFERROR(__xludf.DUMMYFUNCTION("""COMPUTED_VALUE"""),852.6)</f>
        <v>852.6</v>
      </c>
      <c r="C742" s="3">
        <f t="shared" ca="1" si="22"/>
        <v>1.2709347903551545E-2</v>
      </c>
      <c r="D742">
        <f t="shared" ca="1" si="21"/>
        <v>771.22795918367342</v>
      </c>
    </row>
    <row r="743" spans="1:4" x14ac:dyDescent="0.25">
      <c r="A743" s="2">
        <f ca="1">IFERROR(__xludf.DUMMYFUNCTION("""COMPUTED_VALUE"""),45475.6458333333)</f>
        <v>45475.645833333299</v>
      </c>
      <c r="B743" s="1">
        <f ca="1">IFERROR(__xludf.DUMMYFUNCTION("""COMPUTED_VALUE"""),865.3)</f>
        <v>865.3</v>
      </c>
      <c r="C743" s="3">
        <f t="shared" ca="1" si="22"/>
        <v>1.4895613417780826E-2</v>
      </c>
      <c r="D743">
        <f t="shared" ca="1" si="21"/>
        <v>773.37591836734703</v>
      </c>
    </row>
    <row r="744" spans="1:4" x14ac:dyDescent="0.25">
      <c r="A744" s="2">
        <f ca="1">IFERROR(__xludf.DUMMYFUNCTION("""COMPUTED_VALUE"""),45476.6458333333)</f>
        <v>45476.645833333299</v>
      </c>
      <c r="B744" s="1">
        <f ca="1">IFERROR(__xludf.DUMMYFUNCTION("""COMPUTED_VALUE"""),884.33)</f>
        <v>884.33</v>
      </c>
      <c r="C744" s="3">
        <f t="shared" ca="1" si="22"/>
        <v>2.1992372587541994E-2</v>
      </c>
      <c r="D744">
        <f t="shared" ca="1" si="21"/>
        <v>775.40959183673499</v>
      </c>
    </row>
    <row r="745" spans="1:4" x14ac:dyDescent="0.25">
      <c r="A745" s="2">
        <f ca="1">IFERROR(__xludf.DUMMYFUNCTION("""COMPUTED_VALUE"""),45477.6458333333)</f>
        <v>45477.645833333299</v>
      </c>
      <c r="B745" s="1">
        <f ca="1">IFERROR(__xludf.DUMMYFUNCTION("""COMPUTED_VALUE"""),863.58)</f>
        <v>863.58</v>
      </c>
      <c r="C745" s="3">
        <f t="shared" ca="1" si="22"/>
        <v>-2.3464091459070708E-2</v>
      </c>
      <c r="D745">
        <f t="shared" ca="1" si="21"/>
        <v>778.02653061224521</v>
      </c>
    </row>
    <row r="746" spans="1:4" x14ac:dyDescent="0.25">
      <c r="A746" s="2">
        <f ca="1">IFERROR(__xludf.DUMMYFUNCTION("""COMPUTED_VALUE"""),45478.6458333333)</f>
        <v>45478.645833333299</v>
      </c>
      <c r="B746" s="1">
        <f ca="1">IFERROR(__xludf.DUMMYFUNCTION("""COMPUTED_VALUE"""),824.05)</f>
        <v>824.05</v>
      </c>
      <c r="C746" s="3">
        <f t="shared" ca="1" si="22"/>
        <v>-4.5774566340119137E-2</v>
      </c>
      <c r="D746">
        <f t="shared" ca="1" si="21"/>
        <v>780.26693877551054</v>
      </c>
    </row>
    <row r="747" spans="1:4" x14ac:dyDescent="0.25">
      <c r="A747" s="2">
        <f ca="1">IFERROR(__xludf.DUMMYFUNCTION("""COMPUTED_VALUE"""),45481.6458333333)</f>
        <v>45481.645833333299</v>
      </c>
      <c r="B747" s="1">
        <f ca="1">IFERROR(__xludf.DUMMYFUNCTION("""COMPUTED_VALUE"""),817.68)</f>
        <v>817.68</v>
      </c>
      <c r="C747" s="3">
        <f t="shared" ca="1" si="22"/>
        <v>-7.7301134639888415E-3</v>
      </c>
      <c r="D747">
        <f t="shared" ca="1" si="21"/>
        <v>781.65877551020446</v>
      </c>
    </row>
    <row r="748" spans="1:4" x14ac:dyDescent="0.25">
      <c r="A748" s="2">
        <f ca="1">IFERROR(__xludf.DUMMYFUNCTION("""COMPUTED_VALUE"""),45482.6458333333)</f>
        <v>45482.645833333299</v>
      </c>
      <c r="B748" s="1">
        <f ca="1">IFERROR(__xludf.DUMMYFUNCTION("""COMPUTED_VALUE"""),818.25)</f>
        <v>818.25</v>
      </c>
      <c r="C748" s="3">
        <f t="shared" ca="1" si="22"/>
        <v>6.9709421778697052E-4</v>
      </c>
      <c r="D748">
        <f t="shared" ca="1" si="21"/>
        <v>782.93020408163295</v>
      </c>
    </row>
    <row r="749" spans="1:4" x14ac:dyDescent="0.25">
      <c r="A749" s="2">
        <f ca="1">IFERROR(__xludf.DUMMYFUNCTION("""COMPUTED_VALUE"""),45483.6458333333)</f>
        <v>45483.645833333299</v>
      </c>
      <c r="B749" s="1">
        <f ca="1">IFERROR(__xludf.DUMMYFUNCTION("""COMPUTED_VALUE"""),813.05)</f>
        <v>813.05</v>
      </c>
      <c r="C749" s="3">
        <f t="shared" ca="1" si="22"/>
        <v>-6.3550259700581061E-3</v>
      </c>
      <c r="D749">
        <f t="shared" ca="1" si="21"/>
        <v>784.22306122449027</v>
      </c>
    </row>
    <row r="750" spans="1:4" x14ac:dyDescent="0.25">
      <c r="A750" s="2">
        <f ca="1">IFERROR(__xludf.DUMMYFUNCTION("""COMPUTED_VALUE"""),45484.6458333333)</f>
        <v>45484.645833333299</v>
      </c>
      <c r="B750" s="1">
        <f ca="1">IFERROR(__xludf.DUMMYFUNCTION("""COMPUTED_VALUE"""),810.95)</f>
        <v>810.95</v>
      </c>
      <c r="C750" s="3">
        <f t="shared" ca="1" si="22"/>
        <v>-2.5828669823502971E-3</v>
      </c>
      <c r="D750">
        <f t="shared" ca="1" si="21"/>
        <v>785.20877551020442</v>
      </c>
    </row>
    <row r="751" spans="1:4" x14ac:dyDescent="0.25">
      <c r="A751" s="2">
        <f ca="1">IFERROR(__xludf.DUMMYFUNCTION("""COMPUTED_VALUE"""),45485.6458333333)</f>
        <v>45485.645833333299</v>
      </c>
      <c r="B751" s="1">
        <f ca="1">IFERROR(__xludf.DUMMYFUNCTION("""COMPUTED_VALUE"""),811.35)</f>
        <v>811.35</v>
      </c>
      <c r="C751" s="3">
        <f t="shared" ca="1" si="22"/>
        <v>4.9324865898018038E-4</v>
      </c>
      <c r="D751">
        <f t="shared" ca="1" si="21"/>
        <v>786.24755102040854</v>
      </c>
    </row>
    <row r="752" spans="1:4" x14ac:dyDescent="0.25">
      <c r="A752" s="2">
        <f ca="1">IFERROR(__xludf.DUMMYFUNCTION("""COMPUTED_VALUE"""),45488.6458333333)</f>
        <v>45488.645833333299</v>
      </c>
      <c r="B752" s="1">
        <f ca="1">IFERROR(__xludf.DUMMYFUNCTION("""COMPUTED_VALUE"""),811.05)</f>
        <v>811.05</v>
      </c>
      <c r="C752" s="3">
        <f t="shared" ca="1" si="22"/>
        <v>-3.6975411351459689E-4</v>
      </c>
      <c r="D752">
        <f t="shared" ca="1" si="21"/>
        <v>787.17040816326573</v>
      </c>
    </row>
    <row r="753" spans="1:4" x14ac:dyDescent="0.25">
      <c r="A753" s="2">
        <f ca="1">IFERROR(__xludf.DUMMYFUNCTION("""COMPUTED_VALUE"""),45489.6458333333)</f>
        <v>45489.645833333299</v>
      </c>
      <c r="B753" s="1">
        <f ca="1">IFERROR(__xludf.DUMMYFUNCTION("""COMPUTED_VALUE"""),809.88)</f>
        <v>809.88</v>
      </c>
      <c r="C753" s="3">
        <f t="shared" ca="1" si="22"/>
        <v>-1.4425744405399904E-3</v>
      </c>
      <c r="D753">
        <f t="shared" ca="1" si="21"/>
        <v>788.2163265306126</v>
      </c>
    </row>
    <row r="754" spans="1:4" x14ac:dyDescent="0.25">
      <c r="A754" s="2">
        <f ca="1">IFERROR(__xludf.DUMMYFUNCTION("""COMPUTED_VALUE"""),45491.6458333333)</f>
        <v>45491.645833333299</v>
      </c>
      <c r="B754" s="1">
        <f ca="1">IFERROR(__xludf.DUMMYFUNCTION("""COMPUTED_VALUE"""),807.4)</f>
        <v>807.4</v>
      </c>
      <c r="C754" s="3">
        <f t="shared" ca="1" si="22"/>
        <v>-3.0621820516619973E-3</v>
      </c>
      <c r="D754">
        <f t="shared" ca="1" si="21"/>
        <v>789.20714285714314</v>
      </c>
    </row>
    <row r="755" spans="1:4" x14ac:dyDescent="0.25">
      <c r="A755" s="2">
        <f ca="1">IFERROR(__xludf.DUMMYFUNCTION("""COMPUTED_VALUE"""),45492.6458333333)</f>
        <v>45492.645833333299</v>
      </c>
      <c r="B755" s="1">
        <f ca="1">IFERROR(__xludf.DUMMYFUNCTION("""COMPUTED_VALUE"""),803.65)</f>
        <v>803.65</v>
      </c>
      <c r="C755" s="3">
        <f t="shared" ca="1" si="22"/>
        <v>-4.6445380232846174E-3</v>
      </c>
      <c r="D755">
        <f t="shared" ca="1" si="21"/>
        <v>790.31571428571465</v>
      </c>
    </row>
    <row r="756" spans="1:4" x14ac:dyDescent="0.25">
      <c r="A756" s="2">
        <f ca="1">IFERROR(__xludf.DUMMYFUNCTION("""COMPUTED_VALUE"""),45495.6458333333)</f>
        <v>45495.645833333299</v>
      </c>
      <c r="B756" s="1">
        <f ca="1">IFERROR(__xludf.DUMMYFUNCTION("""COMPUTED_VALUE"""),821.28)</f>
        <v>821.28</v>
      </c>
      <c r="C756" s="3">
        <f t="shared" ca="1" si="22"/>
        <v>2.1937410564300375E-2</v>
      </c>
      <c r="D756">
        <f t="shared" ref="D756:D819" ca="1" si="23">AVERAGE(B707:B755)</f>
        <v>791.58755102040845</v>
      </c>
    </row>
    <row r="757" spans="1:4" x14ac:dyDescent="0.25">
      <c r="A757" s="2">
        <f ca="1">IFERROR(__xludf.DUMMYFUNCTION("""COMPUTED_VALUE"""),45496.6458333333)</f>
        <v>45496.645833333299</v>
      </c>
      <c r="B757" s="1">
        <f ca="1">IFERROR(__xludf.DUMMYFUNCTION("""COMPUTED_VALUE"""),809.2)</f>
        <v>809.2</v>
      </c>
      <c r="C757" s="3">
        <f t="shared" ca="1" si="22"/>
        <v>-1.4708747321254538E-2</v>
      </c>
      <c r="D757">
        <f t="shared" ca="1" si="23"/>
        <v>793.57795918367378</v>
      </c>
    </row>
    <row r="758" spans="1:4" x14ac:dyDescent="0.25">
      <c r="A758" s="2">
        <f ca="1">IFERROR(__xludf.DUMMYFUNCTION("""COMPUTED_VALUE"""),45497.6458333333)</f>
        <v>45497.645833333299</v>
      </c>
      <c r="B758" s="1">
        <f ca="1">IFERROR(__xludf.DUMMYFUNCTION("""COMPUTED_VALUE"""),802.03)</f>
        <v>802.03</v>
      </c>
      <c r="C758" s="3">
        <f t="shared" ca="1" si="22"/>
        <v>-8.860603064755404E-3</v>
      </c>
      <c r="D758">
        <f t="shared" ca="1" si="23"/>
        <v>795.41979591836753</v>
      </c>
    </row>
    <row r="759" spans="1:4" x14ac:dyDescent="0.25">
      <c r="A759" s="2">
        <f ca="1">IFERROR(__xludf.DUMMYFUNCTION("""COMPUTED_VALUE"""),45498.6458333333)</f>
        <v>45498.645833333299</v>
      </c>
      <c r="B759" s="1">
        <f ca="1">IFERROR(__xludf.DUMMYFUNCTION("""COMPUTED_VALUE"""),808.3)</f>
        <v>808.3</v>
      </c>
      <c r="C759" s="3">
        <f t="shared" ca="1" si="22"/>
        <v>7.8176626809470743E-3</v>
      </c>
      <c r="D759">
        <f t="shared" ca="1" si="23"/>
        <v>796.93816326530634</v>
      </c>
    </row>
    <row r="760" spans="1:4" x14ac:dyDescent="0.25">
      <c r="A760" s="2">
        <f ca="1">IFERROR(__xludf.DUMMYFUNCTION("""COMPUTED_VALUE"""),45499.6458333333)</f>
        <v>45499.645833333299</v>
      </c>
      <c r="B760" s="1">
        <f ca="1">IFERROR(__xludf.DUMMYFUNCTION("""COMPUTED_VALUE"""),809.08)</f>
        <v>809.08</v>
      </c>
      <c r="C760" s="3">
        <f t="shared" ca="1" si="22"/>
        <v>9.6498824693812496E-4</v>
      </c>
      <c r="D760">
        <f t="shared" ca="1" si="23"/>
        <v>798.52632653061244</v>
      </c>
    </row>
    <row r="761" spans="1:4" x14ac:dyDescent="0.25">
      <c r="A761" s="2">
        <f ca="1">IFERROR(__xludf.DUMMYFUNCTION("""COMPUTED_VALUE"""),45502.6458333333)</f>
        <v>45502.645833333299</v>
      </c>
      <c r="B761" s="1">
        <f ca="1">IFERROR(__xludf.DUMMYFUNCTION("""COMPUTED_VALUE"""),802.53)</f>
        <v>802.53</v>
      </c>
      <c r="C761" s="3">
        <f t="shared" ca="1" si="22"/>
        <v>-8.0956147723340935E-3</v>
      </c>
      <c r="D761">
        <f t="shared" ca="1" si="23"/>
        <v>800.35959183673492</v>
      </c>
    </row>
    <row r="762" spans="1:4" x14ac:dyDescent="0.25">
      <c r="A762" s="2">
        <f ca="1">IFERROR(__xludf.DUMMYFUNCTION("""COMPUTED_VALUE"""),45503.6458333333)</f>
        <v>45503.645833333299</v>
      </c>
      <c r="B762" s="1">
        <f ca="1">IFERROR(__xludf.DUMMYFUNCTION("""COMPUTED_VALUE"""),807.78)</f>
        <v>807.78</v>
      </c>
      <c r="C762" s="3">
        <f t="shared" ca="1" si="22"/>
        <v>6.5418115210646331E-3</v>
      </c>
      <c r="D762">
        <f t="shared" ca="1" si="23"/>
        <v>801.83714285714291</v>
      </c>
    </row>
    <row r="763" spans="1:4" x14ac:dyDescent="0.25">
      <c r="A763" s="2">
        <f ca="1">IFERROR(__xludf.DUMMYFUNCTION("""COMPUTED_VALUE"""),45504.6458333333)</f>
        <v>45504.645833333299</v>
      </c>
      <c r="B763" s="1">
        <f ca="1">IFERROR(__xludf.DUMMYFUNCTION("""COMPUTED_VALUE"""),807.88)</f>
        <v>807.88</v>
      </c>
      <c r="C763" s="3">
        <f t="shared" ca="1" si="22"/>
        <v>1.2379608309195911E-4</v>
      </c>
      <c r="D763">
        <f t="shared" ca="1" si="23"/>
        <v>803.38265306122446</v>
      </c>
    </row>
    <row r="764" spans="1:4" x14ac:dyDescent="0.25">
      <c r="A764" s="2">
        <f ca="1">IFERROR(__xludf.DUMMYFUNCTION("""COMPUTED_VALUE"""),45505.6458333333)</f>
        <v>45505.645833333299</v>
      </c>
      <c r="B764" s="1">
        <f ca="1">IFERROR(__xludf.DUMMYFUNCTION("""COMPUTED_VALUE"""),819.4)</f>
        <v>819.4</v>
      </c>
      <c r="C764" s="3">
        <f t="shared" ca="1" si="22"/>
        <v>1.4259543496558872E-2</v>
      </c>
      <c r="D764">
        <f t="shared" ca="1" si="23"/>
        <v>804.98428571428576</v>
      </c>
    </row>
    <row r="765" spans="1:4" x14ac:dyDescent="0.25">
      <c r="A765" s="2">
        <f ca="1">IFERROR(__xludf.DUMMYFUNCTION("""COMPUTED_VALUE"""),45506.6458333333)</f>
        <v>45506.645833333299</v>
      </c>
      <c r="B765" s="1">
        <f ca="1">IFERROR(__xludf.DUMMYFUNCTION("""COMPUTED_VALUE"""),829.58)</f>
        <v>829.58</v>
      </c>
      <c r="C765" s="3">
        <f t="shared" ca="1" si="22"/>
        <v>1.2423724676592706E-2</v>
      </c>
      <c r="D765">
        <f t="shared" ca="1" si="23"/>
        <v>806.81693877551038</v>
      </c>
    </row>
    <row r="766" spans="1:4" x14ac:dyDescent="0.25">
      <c r="A766" s="2">
        <f ca="1">IFERROR(__xludf.DUMMYFUNCTION("""COMPUTED_VALUE"""),45509.6458333333)</f>
        <v>45509.645833333299</v>
      </c>
      <c r="B766" s="1">
        <f ca="1">IFERROR(__xludf.DUMMYFUNCTION("""COMPUTED_VALUE"""),807.88)</f>
        <v>807.88</v>
      </c>
      <c r="C766" s="3">
        <f t="shared" ca="1" si="22"/>
        <v>-2.6157814797849569E-2</v>
      </c>
      <c r="D766">
        <f t="shared" ca="1" si="23"/>
        <v>808.51653061224499</v>
      </c>
    </row>
    <row r="767" spans="1:4" x14ac:dyDescent="0.25">
      <c r="A767" s="2">
        <f ca="1">IFERROR(__xludf.DUMMYFUNCTION("""COMPUTED_VALUE"""),45510.6458333333)</f>
        <v>45510.645833333299</v>
      </c>
      <c r="B767" s="1">
        <f ca="1">IFERROR(__xludf.DUMMYFUNCTION("""COMPUTED_VALUE"""),800.6)</f>
        <v>800.6</v>
      </c>
      <c r="C767" s="3">
        <f t="shared" ca="1" si="22"/>
        <v>-9.0112392929642682E-3</v>
      </c>
      <c r="D767">
        <f t="shared" ca="1" si="23"/>
        <v>809.52224489795924</v>
      </c>
    </row>
    <row r="768" spans="1:4" x14ac:dyDescent="0.25">
      <c r="A768" s="2">
        <f ca="1">IFERROR(__xludf.DUMMYFUNCTION("""COMPUTED_VALUE"""),45511.6458333333)</f>
        <v>45511.645833333299</v>
      </c>
      <c r="B768" s="1">
        <f ca="1">IFERROR(__xludf.DUMMYFUNCTION("""COMPUTED_VALUE"""),811.75)</f>
        <v>811.75</v>
      </c>
      <c r="C768" s="3">
        <f t="shared" ca="1" si="22"/>
        <v>1.3927054708968245E-2</v>
      </c>
      <c r="D768">
        <f t="shared" ca="1" si="23"/>
        <v>810.27224489795924</v>
      </c>
    </row>
    <row r="769" spans="1:4" x14ac:dyDescent="0.25">
      <c r="A769" s="2">
        <f ca="1">IFERROR(__xludf.DUMMYFUNCTION("""COMPUTED_VALUE"""),45512.6458333333)</f>
        <v>45512.645833333299</v>
      </c>
      <c r="B769" s="1">
        <f ca="1">IFERROR(__xludf.DUMMYFUNCTION("""COMPUTED_VALUE"""),821.35)</f>
        <v>821.35</v>
      </c>
      <c r="C769" s="3">
        <f t="shared" ca="1" si="22"/>
        <v>1.1826301201108743E-2</v>
      </c>
      <c r="D769">
        <f t="shared" ca="1" si="23"/>
        <v>811.22122448979587</v>
      </c>
    </row>
    <row r="770" spans="1:4" x14ac:dyDescent="0.25">
      <c r="A770" s="2">
        <f ca="1">IFERROR(__xludf.DUMMYFUNCTION("""COMPUTED_VALUE"""),45513.6458333333)</f>
        <v>45513.645833333299</v>
      </c>
      <c r="B770" s="1">
        <f ca="1">IFERROR(__xludf.DUMMYFUNCTION("""COMPUTED_VALUE"""),825.1)</f>
        <v>825.1</v>
      </c>
      <c r="C770" s="3">
        <f t="shared" ca="1" si="22"/>
        <v>4.565654106044926E-3</v>
      </c>
      <c r="D770">
        <f t="shared" ca="1" si="23"/>
        <v>812.5926530612245</v>
      </c>
    </row>
    <row r="771" spans="1:4" x14ac:dyDescent="0.25">
      <c r="A771" s="2">
        <f ca="1">IFERROR(__xludf.DUMMYFUNCTION("""COMPUTED_VALUE"""),45516.6458333333)</f>
        <v>45516.645833333299</v>
      </c>
      <c r="B771" s="1">
        <f ca="1">IFERROR(__xludf.DUMMYFUNCTION("""COMPUTED_VALUE"""),830.05)</f>
        <v>830.05</v>
      </c>
      <c r="C771" s="3">
        <f t="shared" ca="1" si="22"/>
        <v>5.9992728154162301E-3</v>
      </c>
      <c r="D771">
        <f t="shared" ca="1" si="23"/>
        <v>813.97367346938779</v>
      </c>
    </row>
    <row r="772" spans="1:4" x14ac:dyDescent="0.25">
      <c r="A772" s="2">
        <f ca="1">IFERROR(__xludf.DUMMYFUNCTION("""COMPUTED_VALUE"""),45517.6458333333)</f>
        <v>45517.645833333299</v>
      </c>
      <c r="B772" s="1">
        <f ca="1">IFERROR(__xludf.DUMMYFUNCTION("""COMPUTED_VALUE"""),801.6)</f>
        <v>801.6</v>
      </c>
      <c r="C772" s="3">
        <f t="shared" ref="C772:C835" ca="1" si="24">(B772-B771)/B771</f>
        <v>-3.4275043672067865E-2</v>
      </c>
      <c r="D772">
        <f t="shared" ca="1" si="23"/>
        <v>815.28530612244901</v>
      </c>
    </row>
    <row r="773" spans="1:4" x14ac:dyDescent="0.25">
      <c r="A773" s="2">
        <f ca="1">IFERROR(__xludf.DUMMYFUNCTION("""COMPUTED_VALUE"""),45518.6458333333)</f>
        <v>45518.645833333299</v>
      </c>
      <c r="B773" s="1">
        <f ca="1">IFERROR(__xludf.DUMMYFUNCTION("""COMPUTED_VALUE"""),803.9)</f>
        <v>803.9</v>
      </c>
      <c r="C773" s="3">
        <f t="shared" ca="1" si="24"/>
        <v>2.8692614770458513E-3</v>
      </c>
      <c r="D773">
        <f t="shared" ca="1" si="23"/>
        <v>815.60163265306119</v>
      </c>
    </row>
    <row r="774" spans="1:4" x14ac:dyDescent="0.25">
      <c r="A774" s="2">
        <f ca="1">IFERROR(__xludf.DUMMYFUNCTION("""COMPUTED_VALUE"""),45520.6458333333)</f>
        <v>45520.645833333299</v>
      </c>
      <c r="B774" s="1">
        <f ca="1">IFERROR(__xludf.DUMMYFUNCTION("""COMPUTED_VALUE"""),816.05)</f>
        <v>816.05</v>
      </c>
      <c r="C774" s="3">
        <f t="shared" ca="1" si="24"/>
        <v>1.5113820126881426E-2</v>
      </c>
      <c r="D774">
        <f t="shared" ca="1" si="23"/>
        <v>816.87346938775499</v>
      </c>
    </row>
    <row r="775" spans="1:4" x14ac:dyDescent="0.25">
      <c r="A775" s="2">
        <f ca="1">IFERROR(__xludf.DUMMYFUNCTION("""COMPUTED_VALUE"""),45523.6458333333)</f>
        <v>45523.645833333299</v>
      </c>
      <c r="B775" s="1">
        <f ca="1">IFERROR(__xludf.DUMMYFUNCTION("""COMPUTED_VALUE"""),815.78)</f>
        <v>815.78</v>
      </c>
      <c r="C775" s="3">
        <f t="shared" ca="1" si="24"/>
        <v>-3.3086207952941833E-4</v>
      </c>
      <c r="D775">
        <f t="shared" ca="1" si="23"/>
        <v>817.69285714285718</v>
      </c>
    </row>
    <row r="776" spans="1:4" x14ac:dyDescent="0.25">
      <c r="A776" s="2">
        <f ca="1">IFERROR(__xludf.DUMMYFUNCTION("""COMPUTED_VALUE"""),45524.6458333333)</f>
        <v>45524.645833333299</v>
      </c>
      <c r="B776" s="1">
        <f ca="1">IFERROR(__xludf.DUMMYFUNCTION("""COMPUTED_VALUE"""),818.85)</f>
        <v>818.85</v>
      </c>
      <c r="C776" s="3">
        <f t="shared" ca="1" si="24"/>
        <v>3.7632695089362942E-3</v>
      </c>
      <c r="D776">
        <f t="shared" ca="1" si="23"/>
        <v>818.42612244897964</v>
      </c>
    </row>
    <row r="777" spans="1:4" x14ac:dyDescent="0.25">
      <c r="A777" s="2">
        <f ca="1">IFERROR(__xludf.DUMMYFUNCTION("""COMPUTED_VALUE"""),45525.6458333333)</f>
        <v>45525.645833333299</v>
      </c>
      <c r="B777" s="1">
        <f ca="1">IFERROR(__xludf.DUMMYFUNCTION("""COMPUTED_VALUE"""),812.9)</f>
        <v>812.9</v>
      </c>
      <c r="C777" s="3">
        <f t="shared" ca="1" si="24"/>
        <v>-7.2662880869512675E-3</v>
      </c>
      <c r="D777">
        <f t="shared" ca="1" si="23"/>
        <v>819.08265306122451</v>
      </c>
    </row>
    <row r="778" spans="1:4" x14ac:dyDescent="0.25">
      <c r="A778" s="2">
        <f ca="1">IFERROR(__xludf.DUMMYFUNCTION("""COMPUTED_VALUE"""),45526.6458333333)</f>
        <v>45526.645833333299</v>
      </c>
      <c r="B778" s="1">
        <f ca="1">IFERROR(__xludf.DUMMYFUNCTION("""COMPUTED_VALUE"""),815.65)</f>
        <v>815.65</v>
      </c>
      <c r="C778" s="3">
        <f t="shared" ca="1" si="24"/>
        <v>3.3829499323410014E-3</v>
      </c>
      <c r="D778">
        <f t="shared" ca="1" si="23"/>
        <v>819.74081632653065</v>
      </c>
    </row>
    <row r="779" spans="1:4" x14ac:dyDescent="0.25">
      <c r="A779" s="2">
        <f ca="1">IFERROR(__xludf.DUMMYFUNCTION("""COMPUTED_VALUE"""),45527.6458333333)</f>
        <v>45527.645833333299</v>
      </c>
      <c r="B779" s="1">
        <f ca="1">IFERROR(__xludf.DUMMYFUNCTION("""COMPUTED_VALUE"""),812.53)</f>
        <v>812.53</v>
      </c>
      <c r="C779" s="3">
        <f t="shared" ca="1" si="24"/>
        <v>-3.825170109728443E-3</v>
      </c>
      <c r="D779">
        <f t="shared" ca="1" si="23"/>
        <v>820.41938775510221</v>
      </c>
    </row>
    <row r="780" spans="1:4" x14ac:dyDescent="0.25">
      <c r="A780" s="2">
        <f ca="1">IFERROR(__xludf.DUMMYFUNCTION("""COMPUTED_VALUE"""),45530.6458333333)</f>
        <v>45530.645833333299</v>
      </c>
      <c r="B780" s="1">
        <f ca="1">IFERROR(__xludf.DUMMYFUNCTION("""COMPUTED_VALUE"""),819.98)</f>
        <v>819.98</v>
      </c>
      <c r="C780" s="3">
        <f t="shared" ca="1" si="24"/>
        <v>9.1688922255178835E-3</v>
      </c>
      <c r="D780">
        <f t="shared" ca="1" si="23"/>
        <v>820.93877551020421</v>
      </c>
    </row>
    <row r="781" spans="1:4" x14ac:dyDescent="0.25">
      <c r="A781" s="2">
        <f ca="1">IFERROR(__xludf.DUMMYFUNCTION("""COMPUTED_VALUE"""),45531.6458333333)</f>
        <v>45531.645833333299</v>
      </c>
      <c r="B781" s="1">
        <f ca="1">IFERROR(__xludf.DUMMYFUNCTION("""COMPUTED_VALUE"""),818.88)</f>
        <v>818.88</v>
      </c>
      <c r="C781" s="3">
        <f t="shared" ca="1" si="24"/>
        <v>-1.3414961340520778E-3</v>
      </c>
      <c r="D781">
        <f t="shared" ca="1" si="23"/>
        <v>821.54285714285732</v>
      </c>
    </row>
    <row r="782" spans="1:4" x14ac:dyDescent="0.25">
      <c r="A782" s="2">
        <f ca="1">IFERROR(__xludf.DUMMYFUNCTION("""COMPUTED_VALUE"""),45532.6458333333)</f>
        <v>45532.645833333299</v>
      </c>
      <c r="B782" s="1">
        <f ca="1">IFERROR(__xludf.DUMMYFUNCTION("""COMPUTED_VALUE"""),818.55)</f>
        <v>818.55</v>
      </c>
      <c r="C782" s="3">
        <f t="shared" ca="1" si="24"/>
        <v>-4.0298944900356699E-4</v>
      </c>
      <c r="D782">
        <f t="shared" ca="1" si="23"/>
        <v>821.95979591836749</v>
      </c>
    </row>
    <row r="783" spans="1:4" x14ac:dyDescent="0.25">
      <c r="A783" s="2">
        <f ca="1">IFERROR(__xludf.DUMMYFUNCTION("""COMPUTED_VALUE"""),45533.6458333333)</f>
        <v>45533.645833333299</v>
      </c>
      <c r="B783" s="1">
        <f ca="1">IFERROR(__xludf.DUMMYFUNCTION("""COMPUTED_VALUE"""),819.28)</f>
        <v>819.28</v>
      </c>
      <c r="C783" s="3">
        <f t="shared" ca="1" si="24"/>
        <v>8.9182090281597734E-4</v>
      </c>
      <c r="D783">
        <f t="shared" ca="1" si="23"/>
        <v>822.25877551020403</v>
      </c>
    </row>
    <row r="784" spans="1:4" x14ac:dyDescent="0.25">
      <c r="A784" s="2">
        <f ca="1">IFERROR(__xludf.DUMMYFUNCTION("""COMPUTED_VALUE"""),45534.6458333333)</f>
        <v>45534.645833333299</v>
      </c>
      <c r="B784" s="1">
        <f ca="1">IFERROR(__xludf.DUMMYFUNCTION("""COMPUTED_VALUE"""),818.45)</f>
        <v>818.45</v>
      </c>
      <c r="C784" s="3">
        <f t="shared" ca="1" si="24"/>
        <v>-1.0130846597011123E-3</v>
      </c>
      <c r="D784">
        <f t="shared" ca="1" si="23"/>
        <v>822.06183673469388</v>
      </c>
    </row>
    <row r="785" spans="1:4" x14ac:dyDescent="0.25">
      <c r="A785" s="2">
        <f ca="1">IFERROR(__xludf.DUMMYFUNCTION("""COMPUTED_VALUE"""),45537.6458333333)</f>
        <v>45537.645833333299</v>
      </c>
      <c r="B785" s="1">
        <f ca="1">IFERROR(__xludf.DUMMYFUNCTION("""COMPUTED_VALUE"""),813.48)</f>
        <v>813.48</v>
      </c>
      <c r="C785" s="3">
        <f t="shared" ca="1" si="24"/>
        <v>-6.0724540289572079E-3</v>
      </c>
      <c r="D785">
        <f t="shared" ca="1" si="23"/>
        <v>821.73061224489788</v>
      </c>
    </row>
    <row r="786" spans="1:4" x14ac:dyDescent="0.25">
      <c r="A786" s="2">
        <f ca="1">IFERROR(__xludf.DUMMYFUNCTION("""COMPUTED_VALUE"""),45538.6458333333)</f>
        <v>45538.645833333299</v>
      </c>
      <c r="B786" s="1">
        <f ca="1">IFERROR(__xludf.DUMMYFUNCTION("""COMPUTED_VALUE"""),818.68)</f>
        <v>818.68</v>
      </c>
      <c r="C786" s="3">
        <f t="shared" ca="1" si="24"/>
        <v>6.3922899149332886E-3</v>
      </c>
      <c r="D786">
        <f t="shared" ca="1" si="23"/>
        <v>821.3346938775511</v>
      </c>
    </row>
    <row r="787" spans="1:4" x14ac:dyDescent="0.25">
      <c r="A787" s="2">
        <f ca="1">IFERROR(__xludf.DUMMYFUNCTION("""COMPUTED_VALUE"""),45539.6458333333)</f>
        <v>45539.645833333299</v>
      </c>
      <c r="B787" s="1">
        <f ca="1">IFERROR(__xludf.DUMMYFUNCTION("""COMPUTED_VALUE"""),820.9)</f>
        <v>820.9</v>
      </c>
      <c r="C787" s="3">
        <f t="shared" ca="1" si="24"/>
        <v>2.7116822201593144E-3</v>
      </c>
      <c r="D787">
        <f t="shared" ca="1" si="23"/>
        <v>820.97714285714278</v>
      </c>
    </row>
    <row r="788" spans="1:4" x14ac:dyDescent="0.25">
      <c r="A788" s="2">
        <f ca="1">IFERROR(__xludf.DUMMYFUNCTION("""COMPUTED_VALUE"""),45540.6458333333)</f>
        <v>45540.645833333299</v>
      </c>
      <c r="B788" s="1">
        <f ca="1">IFERROR(__xludf.DUMMYFUNCTION("""COMPUTED_VALUE"""),822.73)</f>
        <v>822.73</v>
      </c>
      <c r="C788" s="3">
        <f t="shared" ca="1" si="24"/>
        <v>2.2292605676696806E-3</v>
      </c>
      <c r="D788">
        <f t="shared" ca="1" si="23"/>
        <v>820.26734693877552</v>
      </c>
    </row>
    <row r="789" spans="1:4" x14ac:dyDescent="0.25">
      <c r="A789" s="2">
        <f ca="1">IFERROR(__xludf.DUMMYFUNCTION("""COMPUTED_VALUE"""),45541.6458333333)</f>
        <v>45541.645833333299</v>
      </c>
      <c r="B789" s="1">
        <f ca="1">IFERROR(__xludf.DUMMYFUNCTION("""COMPUTED_VALUE"""),818.48)</f>
        <v>818.48</v>
      </c>
      <c r="C789" s="3">
        <f t="shared" ca="1" si="24"/>
        <v>-5.1657287323909418E-3</v>
      </c>
      <c r="D789">
        <f t="shared" ca="1" si="23"/>
        <v>819.69551020408187</v>
      </c>
    </row>
    <row r="790" spans="1:4" x14ac:dyDescent="0.25">
      <c r="A790" s="2">
        <f ca="1">IFERROR(__xludf.DUMMYFUNCTION("""COMPUTED_VALUE"""),45544.6458333333)</f>
        <v>45544.645833333299</v>
      </c>
      <c r="B790" s="1">
        <f ca="1">IFERROR(__xludf.DUMMYFUNCTION("""COMPUTED_VALUE"""),823.25)</f>
        <v>823.25</v>
      </c>
      <c r="C790" s="3">
        <f t="shared" ca="1" si="24"/>
        <v>5.8278760629459263E-3</v>
      </c>
      <c r="D790">
        <f t="shared" ca="1" si="23"/>
        <v>819.09142857142865</v>
      </c>
    </row>
    <row r="791" spans="1:4" x14ac:dyDescent="0.25">
      <c r="A791" s="2">
        <f ca="1">IFERROR(__xludf.DUMMYFUNCTION("""COMPUTED_VALUE"""),45545.6458333333)</f>
        <v>45545.645833333299</v>
      </c>
      <c r="B791" s="1">
        <f ca="1">IFERROR(__xludf.DUMMYFUNCTION("""COMPUTED_VALUE"""),825.18)</f>
        <v>825.18</v>
      </c>
      <c r="C791" s="3">
        <f t="shared" ca="1" si="24"/>
        <v>2.3443668387488005E-3</v>
      </c>
      <c r="D791">
        <f t="shared" ca="1" si="23"/>
        <v>818.71081632653068</v>
      </c>
    </row>
    <row r="792" spans="1:4" x14ac:dyDescent="0.25">
      <c r="A792" s="2">
        <f ca="1">IFERROR(__xludf.DUMMYFUNCTION("""COMPUTED_VALUE"""),45546.6458333333)</f>
        <v>45546.645833333299</v>
      </c>
      <c r="B792" s="1">
        <f ca="1">IFERROR(__xludf.DUMMYFUNCTION("""COMPUTED_VALUE"""),821.95)</f>
        <v>821.95</v>
      </c>
      <c r="C792" s="3">
        <f t="shared" ca="1" si="24"/>
        <v>-3.9142974866088667E-3</v>
      </c>
      <c r="D792">
        <f t="shared" ca="1" si="23"/>
        <v>818.15122448979616</v>
      </c>
    </row>
    <row r="793" spans="1:4" x14ac:dyDescent="0.25">
      <c r="A793" s="2">
        <f ca="1">IFERROR(__xludf.DUMMYFUNCTION("""COMPUTED_VALUE"""),45547.6458333333)</f>
        <v>45547.645833333299</v>
      </c>
      <c r="B793" s="1">
        <f ca="1">IFERROR(__xludf.DUMMYFUNCTION("""COMPUTED_VALUE"""),833.3)</f>
        <v>833.3</v>
      </c>
      <c r="C793" s="3">
        <f t="shared" ca="1" si="24"/>
        <v>1.3808625828821593E-2</v>
      </c>
      <c r="D793">
        <f t="shared" ca="1" si="23"/>
        <v>817.26653061224499</v>
      </c>
    </row>
    <row r="794" spans="1:4" x14ac:dyDescent="0.25">
      <c r="A794" s="2">
        <f ca="1">IFERROR(__xludf.DUMMYFUNCTION("""COMPUTED_VALUE"""),45548.6458333333)</f>
        <v>45548.645833333299</v>
      </c>
      <c r="B794" s="1">
        <f ca="1">IFERROR(__xludf.DUMMYFUNCTION("""COMPUTED_VALUE"""),832.98)</f>
        <v>832.98</v>
      </c>
      <c r="C794" s="3">
        <f t="shared" ca="1" si="24"/>
        <v>-3.840153606143482E-4</v>
      </c>
      <c r="D794">
        <f t="shared" ca="1" si="23"/>
        <v>816.22510204081641</v>
      </c>
    </row>
    <row r="795" spans="1:4" x14ac:dyDescent="0.25">
      <c r="A795" s="2">
        <f ca="1">IFERROR(__xludf.DUMMYFUNCTION("""COMPUTED_VALUE"""),45551.6458333333)</f>
        <v>45551.645833333299</v>
      </c>
      <c r="B795" s="1">
        <f ca="1">IFERROR(__xludf.DUMMYFUNCTION("""COMPUTED_VALUE"""),835.48)</f>
        <v>835.48</v>
      </c>
      <c r="C795" s="3">
        <f t="shared" ca="1" si="24"/>
        <v>3.0012725395567718E-3</v>
      </c>
      <c r="D795">
        <f t="shared" ca="1" si="23"/>
        <v>815.600612244898</v>
      </c>
    </row>
    <row r="796" spans="1:4" x14ac:dyDescent="0.25">
      <c r="A796" s="2">
        <f ca="1">IFERROR(__xludf.DUMMYFUNCTION("""COMPUTED_VALUE"""),45552.6458333333)</f>
        <v>45552.645833333299</v>
      </c>
      <c r="B796" s="1">
        <f ca="1">IFERROR(__xludf.DUMMYFUNCTION("""COMPUTED_VALUE"""),834.4)</f>
        <v>834.4</v>
      </c>
      <c r="C796" s="3">
        <f t="shared" ca="1" si="24"/>
        <v>-1.2926700818691541E-3</v>
      </c>
      <c r="D796">
        <f t="shared" ca="1" si="23"/>
        <v>815.83387755102046</v>
      </c>
    </row>
    <row r="797" spans="1:4" x14ac:dyDescent="0.25">
      <c r="A797" s="2">
        <f ca="1">IFERROR(__xludf.DUMMYFUNCTION("""COMPUTED_VALUE"""),45553.6458333333)</f>
        <v>45553.645833333299</v>
      </c>
      <c r="B797" s="1">
        <f ca="1">IFERROR(__xludf.DUMMYFUNCTION("""COMPUTED_VALUE"""),847.4)</f>
        <v>847.4</v>
      </c>
      <c r="C797" s="3">
        <f t="shared" ca="1" si="24"/>
        <v>1.5580057526366252E-2</v>
      </c>
      <c r="D797">
        <f t="shared" ca="1" si="23"/>
        <v>816.17510204081634</v>
      </c>
    </row>
    <row r="798" spans="1:4" x14ac:dyDescent="0.25">
      <c r="A798" s="2">
        <f ca="1">IFERROR(__xludf.DUMMYFUNCTION("""COMPUTED_VALUE"""),45554.6458333333)</f>
        <v>45554.645833333299</v>
      </c>
      <c r="B798" s="1">
        <f ca="1">IFERROR(__xludf.DUMMYFUNCTION("""COMPUTED_VALUE"""),854.25)</f>
        <v>854.25</v>
      </c>
      <c r="C798" s="3">
        <f t="shared" ca="1" si="24"/>
        <v>8.0835496813783606E-3</v>
      </c>
      <c r="D798">
        <f t="shared" ca="1" si="23"/>
        <v>816.7700000000001</v>
      </c>
    </row>
    <row r="799" spans="1:4" x14ac:dyDescent="0.25">
      <c r="A799" s="2">
        <f ca="1">IFERROR(__xludf.DUMMYFUNCTION("""COMPUTED_VALUE"""),45555.6458333333)</f>
        <v>45555.645833333299</v>
      </c>
      <c r="B799" s="1">
        <f ca="1">IFERROR(__xludf.DUMMYFUNCTION("""COMPUTED_VALUE"""),870.6)</f>
        <v>870.6</v>
      </c>
      <c r="C799" s="3">
        <f t="shared" ca="1" si="24"/>
        <v>1.9139596136962273E-2</v>
      </c>
      <c r="D799">
        <f t="shared" ca="1" si="23"/>
        <v>817.61081632653077</v>
      </c>
    </row>
    <row r="800" spans="1:4" x14ac:dyDescent="0.25">
      <c r="A800" s="2">
        <f ca="1">IFERROR(__xludf.DUMMYFUNCTION("""COMPUTED_VALUE"""),45558.6458333333)</f>
        <v>45558.645833333299</v>
      </c>
      <c r="B800" s="1">
        <f ca="1">IFERROR(__xludf.DUMMYFUNCTION("""COMPUTED_VALUE"""),879.9)</f>
        <v>879.9</v>
      </c>
      <c r="C800" s="3">
        <f t="shared" ca="1" si="24"/>
        <v>1.0682288077188094E-2</v>
      </c>
      <c r="D800">
        <f t="shared" ca="1" si="23"/>
        <v>818.8281632653061</v>
      </c>
    </row>
    <row r="801" spans="1:4" x14ac:dyDescent="0.25">
      <c r="A801" s="2">
        <f ca="1">IFERROR(__xludf.DUMMYFUNCTION("""COMPUTED_VALUE"""),45559.6458333333)</f>
        <v>45559.645833333299</v>
      </c>
      <c r="B801" s="1">
        <f ca="1">IFERROR(__xludf.DUMMYFUNCTION("""COMPUTED_VALUE"""),884.03)</f>
        <v>884.03</v>
      </c>
      <c r="C801" s="3">
        <f t="shared" ca="1" si="24"/>
        <v>4.6937151949085071E-3</v>
      </c>
      <c r="D801">
        <f t="shared" ca="1" si="23"/>
        <v>820.22714285714312</v>
      </c>
    </row>
    <row r="802" spans="1:4" x14ac:dyDescent="0.25">
      <c r="A802" s="2">
        <f ca="1">IFERROR(__xludf.DUMMYFUNCTION("""COMPUTED_VALUE"""),45560.6458333333)</f>
        <v>45560.645833333299</v>
      </c>
      <c r="B802" s="1">
        <f ca="1">IFERROR(__xludf.DUMMYFUNCTION("""COMPUTED_VALUE"""),889.55)</f>
        <v>889.55</v>
      </c>
      <c r="C802" s="3">
        <f t="shared" ca="1" si="24"/>
        <v>6.2441319864710272E-3</v>
      </c>
      <c r="D802">
        <f t="shared" ca="1" si="23"/>
        <v>821.71653061224504</v>
      </c>
    </row>
    <row r="803" spans="1:4" x14ac:dyDescent="0.25">
      <c r="A803" s="2">
        <f ca="1">IFERROR(__xludf.DUMMYFUNCTION("""COMPUTED_VALUE"""),45561.6458333333)</f>
        <v>45561.645833333299</v>
      </c>
      <c r="B803" s="1">
        <f ca="1">IFERROR(__xludf.DUMMYFUNCTION("""COMPUTED_VALUE"""),891.73)</f>
        <v>891.73</v>
      </c>
      <c r="C803" s="3">
        <f t="shared" ca="1" si="24"/>
        <v>2.4506773087516875E-3</v>
      </c>
      <c r="D803">
        <f t="shared" ca="1" si="23"/>
        <v>823.34244897959195</v>
      </c>
    </row>
    <row r="804" spans="1:4" x14ac:dyDescent="0.25">
      <c r="A804" s="2">
        <f ca="1">IFERROR(__xludf.DUMMYFUNCTION("""COMPUTED_VALUE"""),45562.6458333333)</f>
        <v>45562.645833333299</v>
      </c>
      <c r="B804" s="1">
        <f ca="1">IFERROR(__xludf.DUMMYFUNCTION("""COMPUTED_VALUE"""),876.33)</f>
        <v>876.33</v>
      </c>
      <c r="C804" s="3">
        <f t="shared" ca="1" si="24"/>
        <v>-1.7269801397283905E-2</v>
      </c>
      <c r="D804">
        <f t="shared" ca="1" si="23"/>
        <v>825.06346938775528</v>
      </c>
    </row>
    <row r="805" spans="1:4" x14ac:dyDescent="0.25">
      <c r="A805" s="2">
        <f ca="1">IFERROR(__xludf.DUMMYFUNCTION("""COMPUTED_VALUE"""),45565.6458333333)</f>
        <v>45565.645833333299</v>
      </c>
      <c r="B805" s="1">
        <f ca="1">IFERROR(__xludf.DUMMYFUNCTION("""COMPUTED_VALUE"""),866.03)</f>
        <v>866.03</v>
      </c>
      <c r="C805" s="3">
        <f t="shared" ca="1" si="24"/>
        <v>-1.1753563155432391E-2</v>
      </c>
      <c r="D805">
        <f t="shared" ca="1" si="23"/>
        <v>826.54673469387774</v>
      </c>
    </row>
    <row r="806" spans="1:4" x14ac:dyDescent="0.25">
      <c r="A806" s="2">
        <f ca="1">IFERROR(__xludf.DUMMYFUNCTION("""COMPUTED_VALUE"""),45566.6458333333)</f>
        <v>45566.645833333299</v>
      </c>
      <c r="B806" s="1">
        <f ca="1">IFERROR(__xludf.DUMMYFUNCTION("""COMPUTED_VALUE"""),863.1)</f>
        <v>863.1</v>
      </c>
      <c r="C806" s="3">
        <f t="shared" ca="1" si="24"/>
        <v>-3.383254621664319E-3</v>
      </c>
      <c r="D806">
        <f t="shared" ca="1" si="23"/>
        <v>827.46000000000015</v>
      </c>
    </row>
    <row r="807" spans="1:4" x14ac:dyDescent="0.25">
      <c r="A807" s="2">
        <f ca="1">IFERROR(__xludf.DUMMYFUNCTION("""COMPUTED_VALUE"""),45568.6458333333)</f>
        <v>45568.645833333299</v>
      </c>
      <c r="B807" s="1">
        <f ca="1">IFERROR(__xludf.DUMMYFUNCTION("""COMPUTED_VALUE"""),841)</f>
        <v>841</v>
      </c>
      <c r="C807" s="3">
        <f t="shared" ca="1" si="24"/>
        <v>-2.5605375970339499E-2</v>
      </c>
      <c r="D807">
        <f t="shared" ca="1" si="23"/>
        <v>828.56000000000006</v>
      </c>
    </row>
    <row r="808" spans="1:4" x14ac:dyDescent="0.25">
      <c r="A808" s="2">
        <f ca="1">IFERROR(__xludf.DUMMYFUNCTION("""COMPUTED_VALUE"""),45569.6458333333)</f>
        <v>45569.645833333299</v>
      </c>
      <c r="B808" s="1">
        <f ca="1">IFERROR(__xludf.DUMMYFUNCTION("""COMPUTED_VALUE"""),828.83)</f>
        <v>828.83</v>
      </c>
      <c r="C808" s="3">
        <f t="shared" ca="1" si="24"/>
        <v>-1.447086801426868E-2</v>
      </c>
      <c r="D808">
        <f t="shared" ca="1" si="23"/>
        <v>829.35530612244906</v>
      </c>
    </row>
    <row r="809" spans="1:4" x14ac:dyDescent="0.25">
      <c r="A809" s="2">
        <f ca="1">IFERROR(__xludf.DUMMYFUNCTION("""COMPUTED_VALUE"""),45572.6458333333)</f>
        <v>45572.645833333299</v>
      </c>
      <c r="B809" s="1">
        <f ca="1">IFERROR(__xludf.DUMMYFUNCTION("""COMPUTED_VALUE"""),808.9)</f>
        <v>808.9</v>
      </c>
      <c r="C809" s="3">
        <f t="shared" ca="1" si="24"/>
        <v>-2.4045944282904894E-2</v>
      </c>
      <c r="D809">
        <f t="shared" ca="1" si="23"/>
        <v>829.77428571428595</v>
      </c>
    </row>
    <row r="810" spans="1:4" x14ac:dyDescent="0.25">
      <c r="A810" s="2">
        <f ca="1">IFERROR(__xludf.DUMMYFUNCTION("""COMPUTED_VALUE"""),45573.6458333333)</f>
        <v>45573.645833333299</v>
      </c>
      <c r="B810" s="1">
        <f ca="1">IFERROR(__xludf.DUMMYFUNCTION("""COMPUTED_VALUE"""),825.53)</f>
        <v>825.53</v>
      </c>
      <c r="C810" s="3">
        <f t="shared" ca="1" si="24"/>
        <v>2.0558783533193219E-2</v>
      </c>
      <c r="D810">
        <f t="shared" ca="1" si="23"/>
        <v>829.77061224489819</v>
      </c>
    </row>
    <row r="811" spans="1:4" x14ac:dyDescent="0.25">
      <c r="A811" s="2">
        <f ca="1">IFERROR(__xludf.DUMMYFUNCTION("""COMPUTED_VALUE"""),45574.6458333333)</f>
        <v>45574.645833333299</v>
      </c>
      <c r="B811" s="1">
        <f ca="1">IFERROR(__xludf.DUMMYFUNCTION("""COMPUTED_VALUE"""),816.58)</f>
        <v>816.58</v>
      </c>
      <c r="C811" s="3">
        <f t="shared" ca="1" si="24"/>
        <v>-1.0841519993216397E-2</v>
      </c>
      <c r="D811">
        <f t="shared" ca="1" si="23"/>
        <v>830.24000000000024</v>
      </c>
    </row>
    <row r="812" spans="1:4" x14ac:dyDescent="0.25">
      <c r="A812" s="2">
        <f ca="1">IFERROR(__xludf.DUMMYFUNCTION("""COMPUTED_VALUE"""),45575.6458333333)</f>
        <v>45575.645833333299</v>
      </c>
      <c r="B812" s="1">
        <f ca="1">IFERROR(__xludf.DUMMYFUNCTION("""COMPUTED_VALUE"""),831.2)</f>
        <v>831.2</v>
      </c>
      <c r="C812" s="3">
        <f t="shared" ca="1" si="24"/>
        <v>1.7903940826373414E-2</v>
      </c>
      <c r="D812">
        <f t="shared" ca="1" si="23"/>
        <v>830.41959183673498</v>
      </c>
    </row>
    <row r="813" spans="1:4" x14ac:dyDescent="0.25">
      <c r="A813" s="2">
        <f ca="1">IFERROR(__xludf.DUMMYFUNCTION("""COMPUTED_VALUE"""),45576.6458333333)</f>
        <v>45576.645833333299</v>
      </c>
      <c r="B813" s="1">
        <f ca="1">IFERROR(__xludf.DUMMYFUNCTION("""COMPUTED_VALUE"""),825.5)</f>
        <v>825.5</v>
      </c>
      <c r="C813" s="3">
        <f t="shared" ca="1" si="24"/>
        <v>-6.8575553416747419E-3</v>
      </c>
      <c r="D813">
        <f t="shared" ca="1" si="23"/>
        <v>830.89551020408169</v>
      </c>
    </row>
    <row r="814" spans="1:4" x14ac:dyDescent="0.25">
      <c r="A814" s="2">
        <f ca="1">IFERROR(__xludf.DUMMYFUNCTION("""COMPUTED_VALUE"""),45579.6458333333)</f>
        <v>45579.645833333299</v>
      </c>
      <c r="B814" s="1">
        <f ca="1">IFERROR(__xludf.DUMMYFUNCTION("""COMPUTED_VALUE"""),844.05)</f>
        <v>844.05</v>
      </c>
      <c r="C814" s="3">
        <f t="shared" ca="1" si="24"/>
        <v>2.2471229557843676E-2</v>
      </c>
      <c r="D814">
        <f t="shared" ca="1" si="23"/>
        <v>831.0200000000001</v>
      </c>
    </row>
    <row r="815" spans="1:4" x14ac:dyDescent="0.25">
      <c r="A815" s="2">
        <f ca="1">IFERROR(__xludf.DUMMYFUNCTION("""COMPUTED_VALUE"""),45580.6458333333)</f>
        <v>45580.645833333299</v>
      </c>
      <c r="B815" s="1">
        <f ca="1">IFERROR(__xludf.DUMMYFUNCTION("""COMPUTED_VALUE"""),842.05)</f>
        <v>842.05</v>
      </c>
      <c r="C815" s="3">
        <f t="shared" ca="1" si="24"/>
        <v>-2.3695278715715894E-3</v>
      </c>
      <c r="D815">
        <f t="shared" ca="1" si="23"/>
        <v>831.3153061224491</v>
      </c>
    </row>
    <row r="816" spans="1:4" x14ac:dyDescent="0.25">
      <c r="A816" s="2">
        <f ca="1">IFERROR(__xludf.DUMMYFUNCTION("""COMPUTED_VALUE"""),45581.6458333333)</f>
        <v>45581.645833333299</v>
      </c>
      <c r="B816" s="1">
        <f ca="1">IFERROR(__xludf.DUMMYFUNCTION("""COMPUTED_VALUE"""),849.9)</f>
        <v>849.9</v>
      </c>
      <c r="C816" s="3">
        <f t="shared" ca="1" si="24"/>
        <v>9.3224867881955033E-3</v>
      </c>
      <c r="D816">
        <f t="shared" ca="1" si="23"/>
        <v>832.01265306122468</v>
      </c>
    </row>
    <row r="817" spans="1:4" x14ac:dyDescent="0.25">
      <c r="A817" s="2">
        <f ca="1">IFERROR(__xludf.DUMMYFUNCTION("""COMPUTED_VALUE"""),45582.6458333333)</f>
        <v>45582.645833333299</v>
      </c>
      <c r="B817" s="1">
        <f ca="1">IFERROR(__xludf.DUMMYFUNCTION("""COMPUTED_VALUE"""),836.58)</f>
        <v>836.58</v>
      </c>
      <c r="C817" s="3">
        <f t="shared" ca="1" si="24"/>
        <v>-1.5672432050829434E-2</v>
      </c>
      <c r="D817">
        <f t="shared" ca="1" si="23"/>
        <v>833.01877551020425</v>
      </c>
    </row>
    <row r="818" spans="1:4" x14ac:dyDescent="0.25">
      <c r="A818" s="2">
        <f ca="1">IFERROR(__xludf.DUMMYFUNCTION("""COMPUTED_VALUE"""),45583.6458333333)</f>
        <v>45583.645833333299</v>
      </c>
      <c r="B818" s="1">
        <f ca="1">IFERROR(__xludf.DUMMYFUNCTION("""COMPUTED_VALUE"""),840.93)</f>
        <v>840.93</v>
      </c>
      <c r="C818" s="3">
        <f t="shared" ca="1" si="24"/>
        <v>5.1997418059240106E-3</v>
      </c>
      <c r="D818">
        <f t="shared" ca="1" si="23"/>
        <v>833.5255102040818</v>
      </c>
    </row>
    <row r="819" spans="1:4" x14ac:dyDescent="0.25">
      <c r="A819" s="2">
        <f ca="1">IFERROR(__xludf.DUMMYFUNCTION("""COMPUTED_VALUE"""),45586.6458333333)</f>
        <v>45586.645833333299</v>
      </c>
      <c r="B819" s="1">
        <f ca="1">IFERROR(__xludf.DUMMYFUNCTION("""COMPUTED_VALUE"""),864.35)</f>
        <v>864.35</v>
      </c>
      <c r="C819" s="3">
        <f t="shared" ca="1" si="24"/>
        <v>2.7850118321382369E-2</v>
      </c>
      <c r="D819">
        <f t="shared" ca="1" si="23"/>
        <v>833.92510204081645</v>
      </c>
    </row>
    <row r="820" spans="1:4" x14ac:dyDescent="0.25">
      <c r="A820" s="2">
        <f ca="1">IFERROR(__xludf.DUMMYFUNCTION("""COMPUTED_VALUE"""),45587.6458333333)</f>
        <v>45587.645833333299</v>
      </c>
      <c r="B820" s="1">
        <f ca="1">IFERROR(__xludf.DUMMYFUNCTION("""COMPUTED_VALUE"""),857.28)</f>
        <v>857.28</v>
      </c>
      <c r="C820" s="3">
        <f t="shared" ca="1" si="24"/>
        <v>-8.1795568924626014E-3</v>
      </c>
      <c r="D820">
        <f t="shared" ref="D820:D883" ca="1" si="25">AVERAGE(B771:B819)</f>
        <v>834.72612244897982</v>
      </c>
    </row>
    <row r="821" spans="1:4" x14ac:dyDescent="0.25">
      <c r="A821" s="2">
        <f ca="1">IFERROR(__xludf.DUMMYFUNCTION("""COMPUTED_VALUE"""),45588.6458333333)</f>
        <v>45588.645833333299</v>
      </c>
      <c r="B821" s="1">
        <f ca="1">IFERROR(__xludf.DUMMYFUNCTION("""COMPUTED_VALUE"""),867.9)</f>
        <v>867.9</v>
      </c>
      <c r="C821" s="3">
        <f t="shared" ca="1" si="24"/>
        <v>1.2388017917133265E-2</v>
      </c>
      <c r="D821">
        <f t="shared" ca="1" si="25"/>
        <v>835.28183673469402</v>
      </c>
    </row>
    <row r="822" spans="1:4" x14ac:dyDescent="0.25">
      <c r="A822" s="2">
        <f ca="1">IFERROR(__xludf.DUMMYFUNCTION("""COMPUTED_VALUE"""),45589.6458333333)</f>
        <v>45589.645833333299</v>
      </c>
      <c r="B822" s="1">
        <f ca="1">IFERROR(__xludf.DUMMYFUNCTION("""COMPUTED_VALUE"""),874.83)</f>
        <v>874.83</v>
      </c>
      <c r="C822" s="3">
        <f t="shared" ca="1" si="24"/>
        <v>7.9847908745247879E-3</v>
      </c>
      <c r="D822">
        <f t="shared" ca="1" si="25"/>
        <v>836.63489795918383</v>
      </c>
    </row>
    <row r="823" spans="1:4" x14ac:dyDescent="0.25">
      <c r="A823" s="2">
        <f ca="1">IFERROR(__xludf.DUMMYFUNCTION("""COMPUTED_VALUE"""),45590.6458333333)</f>
        <v>45590.645833333299</v>
      </c>
      <c r="B823" s="1">
        <f ca="1">IFERROR(__xludf.DUMMYFUNCTION("""COMPUTED_VALUE"""),871.7)</f>
        <v>871.7</v>
      </c>
      <c r="C823" s="3">
        <f t="shared" ca="1" si="24"/>
        <v>-3.5778379799503851E-3</v>
      </c>
      <c r="D823">
        <f t="shared" ca="1" si="25"/>
        <v>838.08244897959196</v>
      </c>
    </row>
    <row r="824" spans="1:4" x14ac:dyDescent="0.25">
      <c r="A824" s="2">
        <f ca="1">IFERROR(__xludf.DUMMYFUNCTION("""COMPUTED_VALUE"""),45593.6458333333)</f>
        <v>45593.645833333299</v>
      </c>
      <c r="B824" s="1">
        <f ca="1">IFERROR(__xludf.DUMMYFUNCTION("""COMPUTED_VALUE"""),867.1)</f>
        <v>867.1</v>
      </c>
      <c r="C824" s="3">
        <f t="shared" ca="1" si="24"/>
        <v>-5.2770448548812923E-3</v>
      </c>
      <c r="D824">
        <f t="shared" ca="1" si="25"/>
        <v>839.21816326530632</v>
      </c>
    </row>
    <row r="825" spans="1:4" x14ac:dyDescent="0.25">
      <c r="A825" s="2">
        <f ca="1">IFERROR(__xludf.DUMMYFUNCTION("""COMPUTED_VALUE"""),45594.6458333333)</f>
        <v>45594.645833333299</v>
      </c>
      <c r="B825" s="1">
        <f ca="1">IFERROR(__xludf.DUMMYFUNCTION("""COMPUTED_VALUE"""),875.93)</f>
        <v>875.93</v>
      </c>
      <c r="C825" s="3">
        <f t="shared" ca="1" si="24"/>
        <v>1.0183369853534687E-2</v>
      </c>
      <c r="D825">
        <f t="shared" ca="1" si="25"/>
        <v>840.26551020408169</v>
      </c>
    </row>
    <row r="826" spans="1:4" x14ac:dyDescent="0.25">
      <c r="A826" s="2">
        <f ca="1">IFERROR(__xludf.DUMMYFUNCTION("""COMPUTED_VALUE"""),45595.6458333333)</f>
        <v>45595.645833333299</v>
      </c>
      <c r="B826" s="1">
        <f ca="1">IFERROR(__xludf.DUMMYFUNCTION("""COMPUTED_VALUE"""),867.3)</f>
        <v>867.3</v>
      </c>
      <c r="C826" s="3">
        <f t="shared" ca="1" si="24"/>
        <v>-9.8523854645919152E-3</v>
      </c>
      <c r="D826">
        <f t="shared" ca="1" si="25"/>
        <v>841.43040816326527</v>
      </c>
    </row>
    <row r="827" spans="1:4" x14ac:dyDescent="0.25">
      <c r="A827" s="2">
        <f ca="1">IFERROR(__xludf.DUMMYFUNCTION("""COMPUTED_VALUE"""),45596.6458333333)</f>
        <v>45596.645833333299</v>
      </c>
      <c r="B827" s="1">
        <f ca="1">IFERROR(__xludf.DUMMYFUNCTION("""COMPUTED_VALUE"""),867.85)</f>
        <v>867.85</v>
      </c>
      <c r="C827" s="3">
        <f t="shared" ca="1" si="24"/>
        <v>6.3415196587117287E-4</v>
      </c>
      <c r="D827">
        <f t="shared" ca="1" si="25"/>
        <v>842.54061224489794</v>
      </c>
    </row>
    <row r="828" spans="1:4" x14ac:dyDescent="0.25">
      <c r="A828" s="2">
        <f ca="1">IFERROR(__xludf.DUMMYFUNCTION("""COMPUTED_VALUE"""),45600.6458333333)</f>
        <v>45600.645833333299</v>
      </c>
      <c r="B828" s="1">
        <f ca="1">IFERROR(__xludf.DUMMYFUNCTION("""COMPUTED_VALUE"""),857.05)</f>
        <v>857.05</v>
      </c>
      <c r="C828" s="3">
        <f t="shared" ca="1" si="24"/>
        <v>-1.2444546868698586E-2</v>
      </c>
      <c r="D828">
        <f t="shared" ca="1" si="25"/>
        <v>843.60591836734682</v>
      </c>
    </row>
    <row r="829" spans="1:4" x14ac:dyDescent="0.25">
      <c r="A829" s="2">
        <f ca="1">IFERROR(__xludf.DUMMYFUNCTION("""COMPUTED_VALUE"""),45601.6458333333)</f>
        <v>45601.645833333299</v>
      </c>
      <c r="B829" s="1">
        <f ca="1">IFERROR(__xludf.DUMMYFUNCTION("""COMPUTED_VALUE"""),878.93)</f>
        <v>878.93</v>
      </c>
      <c r="C829" s="3">
        <f t="shared" ca="1" si="24"/>
        <v>2.5529432355171806E-2</v>
      </c>
      <c r="D829">
        <f t="shared" ca="1" si="25"/>
        <v>844.51448979591851</v>
      </c>
    </row>
    <row r="830" spans="1:4" x14ac:dyDescent="0.25">
      <c r="A830" s="2">
        <f ca="1">IFERROR(__xludf.DUMMYFUNCTION("""COMPUTED_VALUE"""),45602.6458333333)</f>
        <v>45602.645833333299</v>
      </c>
      <c r="B830" s="1">
        <f ca="1">IFERROR(__xludf.DUMMYFUNCTION("""COMPUTED_VALUE"""),877.63)</f>
        <v>877.63</v>
      </c>
      <c r="C830" s="3">
        <f t="shared" ca="1" si="24"/>
        <v>-1.4790711433219422E-3</v>
      </c>
      <c r="D830">
        <f t="shared" ca="1" si="25"/>
        <v>845.71755102040822</v>
      </c>
    </row>
    <row r="831" spans="1:4" x14ac:dyDescent="0.25">
      <c r="A831" s="2">
        <f ca="1">IFERROR(__xludf.DUMMYFUNCTION("""COMPUTED_VALUE"""),45603.6458333333)</f>
        <v>45603.645833333299</v>
      </c>
      <c r="B831" s="1">
        <f ca="1">IFERROR(__xludf.DUMMYFUNCTION("""COMPUTED_VALUE"""),873.28)</f>
        <v>873.28</v>
      </c>
      <c r="C831" s="3">
        <f t="shared" ca="1" si="24"/>
        <v>-4.9565306564269941E-3</v>
      </c>
      <c r="D831">
        <f t="shared" ca="1" si="25"/>
        <v>846.91653061224497</v>
      </c>
    </row>
    <row r="832" spans="1:4" x14ac:dyDescent="0.25">
      <c r="A832" s="2">
        <f ca="1">IFERROR(__xludf.DUMMYFUNCTION("""COMPUTED_VALUE"""),45604.6458333333)</f>
        <v>45604.645833333299</v>
      </c>
      <c r="B832" s="1">
        <f ca="1">IFERROR(__xludf.DUMMYFUNCTION("""COMPUTED_VALUE"""),877.23)</f>
        <v>877.23</v>
      </c>
      <c r="C832" s="3">
        <f t="shared" ca="1" si="24"/>
        <v>4.5231769879077108E-3</v>
      </c>
      <c r="D832">
        <f t="shared" ca="1" si="25"/>
        <v>848.03346938775508</v>
      </c>
    </row>
    <row r="833" spans="1:4" x14ac:dyDescent="0.25">
      <c r="A833" s="2">
        <f ca="1">IFERROR(__xludf.DUMMYFUNCTION("""COMPUTED_VALUE"""),45607.6458333333)</f>
        <v>45607.645833333299</v>
      </c>
      <c r="B833" s="1">
        <f ca="1">IFERROR(__xludf.DUMMYFUNCTION("""COMPUTED_VALUE"""),883.15)</f>
        <v>883.15</v>
      </c>
      <c r="C833" s="3">
        <f t="shared" ca="1" si="24"/>
        <v>6.748515212657979E-3</v>
      </c>
      <c r="D833">
        <f t="shared" ca="1" si="25"/>
        <v>849.21612244897972</v>
      </c>
    </row>
    <row r="834" spans="1:4" x14ac:dyDescent="0.25">
      <c r="A834" s="2">
        <f ca="1">IFERROR(__xludf.DUMMYFUNCTION("""COMPUTED_VALUE"""),45608.6458333333)</f>
        <v>45608.645833333299</v>
      </c>
      <c r="B834" s="1">
        <f ca="1">IFERROR(__xludf.DUMMYFUNCTION("""COMPUTED_VALUE"""),859.1)</f>
        <v>859.1</v>
      </c>
      <c r="C834" s="3">
        <f t="shared" ca="1" si="24"/>
        <v>-2.7232067032780336E-2</v>
      </c>
      <c r="D834">
        <f t="shared" ca="1" si="25"/>
        <v>850.53653061224509</v>
      </c>
    </row>
    <row r="835" spans="1:4" x14ac:dyDescent="0.25">
      <c r="A835" s="2">
        <f ca="1">IFERROR(__xludf.DUMMYFUNCTION("""COMPUTED_VALUE"""),45609.6458333333)</f>
        <v>45609.645833333299</v>
      </c>
      <c r="B835" s="1">
        <f ca="1">IFERROR(__xludf.DUMMYFUNCTION("""COMPUTED_VALUE"""),840.68)</f>
        <v>840.68</v>
      </c>
      <c r="C835" s="3">
        <f t="shared" ca="1" si="24"/>
        <v>-2.1441042951926517E-2</v>
      </c>
      <c r="D835">
        <f t="shared" ca="1" si="25"/>
        <v>851.46755102040834</v>
      </c>
    </row>
    <row r="836" spans="1:4" x14ac:dyDescent="0.25">
      <c r="A836" s="2">
        <f ca="1">IFERROR(__xludf.DUMMYFUNCTION("""COMPUTED_VALUE"""),45610.6458333333)</f>
        <v>45610.645833333299</v>
      </c>
      <c r="B836" s="1">
        <f ca="1">IFERROR(__xludf.DUMMYFUNCTION("""COMPUTED_VALUE"""),846.38)</f>
        <v>846.38</v>
      </c>
      <c r="C836" s="3">
        <f t="shared" ref="C836:C899" ca="1" si="26">(B836-B835)/B835</f>
        <v>6.7802255317124778E-3</v>
      </c>
      <c r="D836">
        <f t="shared" ca="1" si="25"/>
        <v>851.91653061224508</v>
      </c>
    </row>
    <row r="837" spans="1:4" x14ac:dyDescent="0.25">
      <c r="A837" s="2">
        <f ca="1">IFERROR(__xludf.DUMMYFUNCTION("""COMPUTED_VALUE"""),45614.6458333333)</f>
        <v>45614.645833333299</v>
      </c>
      <c r="B837" s="1">
        <f ca="1">IFERROR(__xludf.DUMMYFUNCTION("""COMPUTED_VALUE"""),852.55)</f>
        <v>852.55</v>
      </c>
      <c r="C837" s="3">
        <f t="shared" ca="1" si="26"/>
        <v>7.2898697984356423E-3</v>
      </c>
      <c r="D837">
        <f t="shared" ca="1" si="25"/>
        <v>852.43653061224506</v>
      </c>
    </row>
    <row r="838" spans="1:4" x14ac:dyDescent="0.25">
      <c r="A838" s="2">
        <f ca="1">IFERROR(__xludf.DUMMYFUNCTION("""COMPUTED_VALUE"""),45615.6458333333)</f>
        <v>45615.645833333299</v>
      </c>
      <c r="B838" s="1">
        <f ca="1">IFERROR(__xludf.DUMMYFUNCTION("""COMPUTED_VALUE"""),871.13)</f>
        <v>871.13</v>
      </c>
      <c r="C838" s="3">
        <f t="shared" ca="1" si="26"/>
        <v>2.1793443199812378E-2</v>
      </c>
      <c r="D838">
        <f t="shared" ca="1" si="25"/>
        <v>853.04510204081646</v>
      </c>
    </row>
    <row r="839" spans="1:4" x14ac:dyDescent="0.25">
      <c r="A839" s="2">
        <f ca="1">IFERROR(__xludf.DUMMYFUNCTION("""COMPUTED_VALUE"""),45617.6458333333)</f>
        <v>45617.645833333299</v>
      </c>
      <c r="B839" s="1">
        <f ca="1">IFERROR(__xludf.DUMMYFUNCTION("""COMPUTED_VALUE"""),870.6)</f>
        <v>870.6</v>
      </c>
      <c r="C839" s="3">
        <f t="shared" ca="1" si="26"/>
        <v>-6.0840517488775815E-4</v>
      </c>
      <c r="D839">
        <f t="shared" ca="1" si="25"/>
        <v>854.11959183673468</v>
      </c>
    </row>
    <row r="840" spans="1:4" x14ac:dyDescent="0.25">
      <c r="A840" s="2">
        <f ca="1">IFERROR(__xludf.DUMMYFUNCTION("""COMPUTED_VALUE"""),45618.6458333333)</f>
        <v>45618.645833333299</v>
      </c>
      <c r="B840" s="1">
        <f ca="1">IFERROR(__xludf.DUMMYFUNCTION("""COMPUTED_VALUE"""),872.8)</f>
        <v>872.8</v>
      </c>
      <c r="C840" s="3">
        <f t="shared" ca="1" si="26"/>
        <v>2.5269928784745366E-3</v>
      </c>
      <c r="D840">
        <f t="shared" ca="1" si="25"/>
        <v>855.08591836734695</v>
      </c>
    </row>
    <row r="841" spans="1:4" x14ac:dyDescent="0.25">
      <c r="A841" s="2">
        <f ca="1">IFERROR(__xludf.DUMMYFUNCTION("""COMPUTED_VALUE"""),45621.6458333333)</f>
        <v>45621.645833333299</v>
      </c>
      <c r="B841" s="1">
        <f ca="1">IFERROR(__xludf.DUMMYFUNCTION("""COMPUTED_VALUE"""),892.8)</f>
        <v>892.8</v>
      </c>
      <c r="C841" s="3">
        <f t="shared" ca="1" si="26"/>
        <v>2.2914757103574702E-2</v>
      </c>
      <c r="D841">
        <f t="shared" ca="1" si="25"/>
        <v>856.0577551020408</v>
      </c>
    </row>
    <row r="842" spans="1:4" x14ac:dyDescent="0.25">
      <c r="A842" s="2">
        <f ca="1">IFERROR(__xludf.DUMMYFUNCTION("""COMPUTED_VALUE"""),45622.6458333333)</f>
        <v>45622.645833333299</v>
      </c>
      <c r="B842" s="1">
        <f ca="1">IFERROR(__xludf.DUMMYFUNCTION("""COMPUTED_VALUE"""),892.78)</f>
        <v>892.78</v>
      </c>
      <c r="C842" s="3">
        <f t="shared" ca="1" si="26"/>
        <v>-2.24014336917359E-5</v>
      </c>
      <c r="D842">
        <f t="shared" ca="1" si="25"/>
        <v>857.50367346938788</v>
      </c>
    </row>
    <row r="843" spans="1:4" x14ac:dyDescent="0.25">
      <c r="A843" s="2">
        <f ca="1">IFERROR(__xludf.DUMMYFUNCTION("""COMPUTED_VALUE"""),45623.6458333333)</f>
        <v>45623.645833333299</v>
      </c>
      <c r="B843" s="1">
        <f ca="1">IFERROR(__xludf.DUMMYFUNCTION("""COMPUTED_VALUE"""),906.15)</f>
        <v>906.15</v>
      </c>
      <c r="C843" s="3">
        <f t="shared" ca="1" si="26"/>
        <v>1.4975693899952961E-2</v>
      </c>
      <c r="D843">
        <f t="shared" ca="1" si="25"/>
        <v>858.71755102040822</v>
      </c>
    </row>
    <row r="844" spans="1:4" x14ac:dyDescent="0.25">
      <c r="A844" s="2">
        <f ca="1">IFERROR(__xludf.DUMMYFUNCTION("""COMPUTED_VALUE"""),45624.6458333333)</f>
        <v>45624.645833333299</v>
      </c>
      <c r="B844" s="1">
        <f ca="1">IFERROR(__xludf.DUMMYFUNCTION("""COMPUTED_VALUE"""),896.58)</f>
        <v>896.58</v>
      </c>
      <c r="C844" s="3">
        <f t="shared" ca="1" si="26"/>
        <v>-1.0561165369971788E-2</v>
      </c>
      <c r="D844">
        <f t="shared" ca="1" si="25"/>
        <v>860.21081632653068</v>
      </c>
    </row>
    <row r="845" spans="1:4" x14ac:dyDescent="0.25">
      <c r="A845" s="2">
        <f ca="1">IFERROR(__xludf.DUMMYFUNCTION("""COMPUTED_VALUE"""),45625.6458333333)</f>
        <v>45625.645833333299</v>
      </c>
      <c r="B845" s="1">
        <f ca="1">IFERROR(__xludf.DUMMYFUNCTION("""COMPUTED_VALUE"""),898.03)</f>
        <v>898.03</v>
      </c>
      <c r="C845" s="3">
        <f t="shared" ca="1" si="26"/>
        <v>1.6172566865198105E-3</v>
      </c>
      <c r="D845">
        <f t="shared" ca="1" si="25"/>
        <v>861.45775510204101</v>
      </c>
    </row>
    <row r="846" spans="1:4" x14ac:dyDescent="0.25">
      <c r="A846" s="2">
        <f ca="1">IFERROR(__xludf.DUMMYFUNCTION("""COMPUTED_VALUE"""),45628.6458333333)</f>
        <v>45628.645833333299</v>
      </c>
      <c r="B846" s="1">
        <f ca="1">IFERROR(__xludf.DUMMYFUNCTION("""COMPUTED_VALUE"""),902.35)</f>
        <v>902.35</v>
      </c>
      <c r="C846" s="3">
        <f t="shared" ca="1" si="26"/>
        <v>4.8105297150429832E-3</v>
      </c>
      <c r="D846">
        <f t="shared" ca="1" si="25"/>
        <v>862.75632653061223</v>
      </c>
    </row>
    <row r="847" spans="1:4" x14ac:dyDescent="0.25">
      <c r="A847" s="2">
        <f ca="1">IFERROR(__xludf.DUMMYFUNCTION("""COMPUTED_VALUE"""),45629.6458333333)</f>
        <v>45629.645833333299</v>
      </c>
      <c r="B847" s="1">
        <f ca="1">IFERROR(__xludf.DUMMYFUNCTION("""COMPUTED_VALUE"""),913.15)</f>
        <v>913.15</v>
      </c>
      <c r="C847" s="3">
        <f t="shared" ca="1" si="26"/>
        <v>1.1968748268410212E-2</v>
      </c>
      <c r="D847">
        <f t="shared" ca="1" si="25"/>
        <v>863.87775510204085</v>
      </c>
    </row>
    <row r="848" spans="1:4" x14ac:dyDescent="0.25">
      <c r="A848" s="2">
        <f ca="1">IFERROR(__xludf.DUMMYFUNCTION("""COMPUTED_VALUE"""),45630.6458333333)</f>
        <v>45630.645833333299</v>
      </c>
      <c r="B848" s="1">
        <f ca="1">IFERROR(__xludf.DUMMYFUNCTION("""COMPUTED_VALUE"""),930.05)</f>
        <v>930.05</v>
      </c>
      <c r="C848" s="3">
        <f t="shared" ca="1" si="26"/>
        <v>1.8507364616985138E-2</v>
      </c>
      <c r="D848">
        <f t="shared" ca="1" si="25"/>
        <v>865.07979591836738</v>
      </c>
    </row>
    <row r="849" spans="1:4" x14ac:dyDescent="0.25">
      <c r="A849" s="2">
        <f ca="1">IFERROR(__xludf.DUMMYFUNCTION("""COMPUTED_VALUE"""),45631.6458333333)</f>
        <v>45631.645833333299</v>
      </c>
      <c r="B849" s="1">
        <f ca="1">IFERROR(__xludf.DUMMYFUNCTION("""COMPUTED_VALUE"""),932.88)</f>
        <v>932.88</v>
      </c>
      <c r="C849" s="3">
        <f t="shared" ca="1" si="26"/>
        <v>3.0428471587549497E-3</v>
      </c>
      <c r="D849">
        <f t="shared" ca="1" si="25"/>
        <v>866.29306122448997</v>
      </c>
    </row>
    <row r="850" spans="1:4" x14ac:dyDescent="0.25">
      <c r="A850" s="2">
        <f ca="1">IFERROR(__xludf.DUMMYFUNCTION("""COMPUTED_VALUE"""),45632.6458333333)</f>
        <v>45632.645833333299</v>
      </c>
      <c r="B850" s="1">
        <f ca="1">IFERROR(__xludf.DUMMYFUNCTION("""COMPUTED_VALUE"""),927.93)</f>
        <v>927.93</v>
      </c>
      <c r="C850" s="3">
        <f t="shared" ca="1" si="26"/>
        <v>-5.3061487007975789E-3</v>
      </c>
      <c r="D850">
        <f t="shared" ca="1" si="25"/>
        <v>867.37428571428597</v>
      </c>
    </row>
    <row r="851" spans="1:4" x14ac:dyDescent="0.25">
      <c r="A851" s="2">
        <f ca="1">IFERROR(__xludf.DUMMYFUNCTION("""COMPUTED_VALUE"""),45635.6458333333)</f>
        <v>45635.645833333299</v>
      </c>
      <c r="B851" s="1">
        <f ca="1">IFERROR(__xludf.DUMMYFUNCTION("""COMPUTED_VALUE"""),935)</f>
        <v>935</v>
      </c>
      <c r="C851" s="3">
        <f t="shared" ca="1" si="26"/>
        <v>7.6191092000474714E-3</v>
      </c>
      <c r="D851">
        <f t="shared" ca="1" si="25"/>
        <v>868.27020408163276</v>
      </c>
    </row>
    <row r="852" spans="1:4" x14ac:dyDescent="0.25">
      <c r="A852" s="2">
        <f ca="1">IFERROR(__xludf.DUMMYFUNCTION("""COMPUTED_VALUE"""),45636.6458333333)</f>
        <v>45636.645833333299</v>
      </c>
      <c r="B852" s="1">
        <f ca="1">IFERROR(__xludf.DUMMYFUNCTION("""COMPUTED_VALUE"""),934.05)</f>
        <v>934.05</v>
      </c>
      <c r="C852" s="3">
        <f t="shared" ca="1" si="26"/>
        <v>-1.0160427807487118E-3</v>
      </c>
      <c r="D852">
        <f t="shared" ca="1" si="25"/>
        <v>869.19775510204067</v>
      </c>
    </row>
    <row r="853" spans="1:4" x14ac:dyDescent="0.25">
      <c r="A853" s="2">
        <f ca="1">IFERROR(__xludf.DUMMYFUNCTION("""COMPUTED_VALUE"""),45637.6458333333)</f>
        <v>45637.645833333299</v>
      </c>
      <c r="B853" s="1">
        <f ca="1">IFERROR(__xludf.DUMMYFUNCTION("""COMPUTED_VALUE"""),931.55)</f>
        <v>931.55</v>
      </c>
      <c r="C853" s="3">
        <f t="shared" ca="1" si="26"/>
        <v>-2.6765162464536161E-3</v>
      </c>
      <c r="D853">
        <f t="shared" ca="1" si="25"/>
        <v>870.06142857142856</v>
      </c>
    </row>
    <row r="854" spans="1:4" x14ac:dyDescent="0.25">
      <c r="A854" s="2">
        <f ca="1">IFERROR(__xludf.DUMMYFUNCTION("""COMPUTED_VALUE"""),45638.6458333333)</f>
        <v>45638.645833333299</v>
      </c>
      <c r="B854" s="1">
        <f ca="1">IFERROR(__xludf.DUMMYFUNCTION("""COMPUTED_VALUE"""),929.63)</f>
        <v>929.63</v>
      </c>
      <c r="C854" s="3">
        <f t="shared" ca="1" si="26"/>
        <v>-2.061080994042144E-3</v>
      </c>
      <c r="D854">
        <f t="shared" ca="1" si="25"/>
        <v>871.18836734693889</v>
      </c>
    </row>
    <row r="855" spans="1:4" x14ac:dyDescent="0.25">
      <c r="A855" s="2">
        <f ca="1">IFERROR(__xludf.DUMMYFUNCTION("""COMPUTED_VALUE"""),45639.6458333333)</f>
        <v>45639.645833333299</v>
      </c>
      <c r="B855" s="1">
        <f ca="1">IFERROR(__xludf.DUMMYFUNCTION("""COMPUTED_VALUE"""),935.88)</f>
        <v>935.88</v>
      </c>
      <c r="C855" s="3">
        <f t="shared" ca="1" si="26"/>
        <v>6.7231048911932708E-3</v>
      </c>
      <c r="D855">
        <f t="shared" ca="1" si="25"/>
        <v>872.48632653061225</v>
      </c>
    </row>
    <row r="856" spans="1:4" x14ac:dyDescent="0.25">
      <c r="A856" s="2">
        <f ca="1">IFERROR(__xludf.DUMMYFUNCTION("""COMPUTED_VALUE"""),45642.6458333333)</f>
        <v>45642.645833333299</v>
      </c>
      <c r="B856" s="1">
        <f ca="1">IFERROR(__xludf.DUMMYFUNCTION("""COMPUTED_VALUE"""),932.6)</f>
        <v>932.6</v>
      </c>
      <c r="C856" s="3">
        <f t="shared" ca="1" si="26"/>
        <v>-3.5047228277129256E-3</v>
      </c>
      <c r="D856">
        <f t="shared" ca="1" si="25"/>
        <v>873.97163265306119</v>
      </c>
    </row>
    <row r="857" spans="1:4" x14ac:dyDescent="0.25">
      <c r="A857" s="2">
        <f ca="1">IFERROR(__xludf.DUMMYFUNCTION("""COMPUTED_VALUE"""),45643.6458333333)</f>
        <v>45643.645833333299</v>
      </c>
      <c r="B857" s="1">
        <f ca="1">IFERROR(__xludf.DUMMYFUNCTION("""COMPUTED_VALUE"""),916.63)</f>
        <v>916.63</v>
      </c>
      <c r="C857" s="3">
        <f t="shared" ca="1" si="26"/>
        <v>-1.7124168989920682E-2</v>
      </c>
      <c r="D857">
        <f t="shared" ca="1" si="25"/>
        <v>875.84102040816322</v>
      </c>
    </row>
    <row r="858" spans="1:4" x14ac:dyDescent="0.25">
      <c r="A858" s="2">
        <f ca="1">IFERROR(__xludf.DUMMYFUNCTION("""COMPUTED_VALUE"""),45644.6458333333)</f>
        <v>45644.645833333299</v>
      </c>
      <c r="B858" s="1">
        <f ca="1">IFERROR(__xludf.DUMMYFUNCTION("""COMPUTED_VALUE"""),905.35)</f>
        <v>905.35</v>
      </c>
      <c r="C858" s="3">
        <f t="shared" ca="1" si="26"/>
        <v>-1.2305946783325849E-2</v>
      </c>
      <c r="D858">
        <f t="shared" ca="1" si="25"/>
        <v>877.63285714285723</v>
      </c>
    </row>
    <row r="859" spans="1:4" x14ac:dyDescent="0.25">
      <c r="A859" s="2">
        <f ca="1">IFERROR(__xludf.DUMMYFUNCTION("""COMPUTED_VALUE"""),45645.6458333333)</f>
        <v>45645.645833333299</v>
      </c>
      <c r="B859" s="1">
        <f ca="1">IFERROR(__xludf.DUMMYFUNCTION("""COMPUTED_VALUE"""),896.75)</f>
        <v>896.75</v>
      </c>
      <c r="C859" s="3">
        <f t="shared" ca="1" si="26"/>
        <v>-9.4990887502071266E-3</v>
      </c>
      <c r="D859">
        <f t="shared" ca="1" si="25"/>
        <v>879.60122448979575</v>
      </c>
    </row>
    <row r="860" spans="1:4" x14ac:dyDescent="0.25">
      <c r="A860" s="2">
        <f ca="1">IFERROR(__xludf.DUMMYFUNCTION("""COMPUTED_VALUE"""),45646.6458333333)</f>
        <v>45646.645833333299</v>
      </c>
      <c r="B860" s="1">
        <f ca="1">IFERROR(__xludf.DUMMYFUNCTION("""COMPUTED_VALUE"""),885.75)</f>
        <v>885.75</v>
      </c>
      <c r="C860" s="3">
        <f t="shared" ca="1" si="26"/>
        <v>-1.2266517981600222E-2</v>
      </c>
      <c r="D860">
        <f t="shared" ca="1" si="25"/>
        <v>881.0546938775509</v>
      </c>
    </row>
    <row r="861" spans="1:4" x14ac:dyDescent="0.25">
      <c r="A861" s="2">
        <f ca="1">IFERROR(__xludf.DUMMYFUNCTION("""COMPUTED_VALUE"""),45649.6458333333)</f>
        <v>45649.645833333299</v>
      </c>
      <c r="B861" s="1">
        <f ca="1">IFERROR(__xludf.DUMMYFUNCTION("""COMPUTED_VALUE"""),900.5)</f>
        <v>900.5</v>
      </c>
      <c r="C861" s="3">
        <f t="shared" ca="1" si="26"/>
        <v>1.6652554332486594E-2</v>
      </c>
      <c r="D861">
        <f t="shared" ca="1" si="25"/>
        <v>882.46632653061204</v>
      </c>
    </row>
    <row r="862" spans="1:4" x14ac:dyDescent="0.25">
      <c r="A862" s="2">
        <f ca="1">IFERROR(__xludf.DUMMYFUNCTION("""COMPUTED_VALUE"""),45650.6458333333)</f>
        <v>45650.645833333299</v>
      </c>
      <c r="B862" s="1">
        <f ca="1">IFERROR(__xludf.DUMMYFUNCTION("""COMPUTED_VALUE"""),899.05)</f>
        <v>899.05</v>
      </c>
      <c r="C862" s="3">
        <f t="shared" ca="1" si="26"/>
        <v>-1.6102165463631822E-3</v>
      </c>
      <c r="D862">
        <f t="shared" ca="1" si="25"/>
        <v>883.88061224489786</v>
      </c>
    </row>
    <row r="863" spans="1:4" x14ac:dyDescent="0.25">
      <c r="A863" s="2">
        <f ca="1">IFERROR(__xludf.DUMMYFUNCTION("""COMPUTED_VALUE"""),45652.6458333333)</f>
        <v>45652.645833333299</v>
      </c>
      <c r="B863" s="1">
        <f ca="1">IFERROR(__xludf.DUMMYFUNCTION("""COMPUTED_VALUE"""),895.38)</f>
        <v>895.38</v>
      </c>
      <c r="C863" s="3">
        <f t="shared" ca="1" si="26"/>
        <v>-4.08208664701625E-3</v>
      </c>
      <c r="D863">
        <f t="shared" ca="1" si="25"/>
        <v>885.38163265306116</v>
      </c>
    </row>
    <row r="864" spans="1:4" x14ac:dyDescent="0.25">
      <c r="A864" s="2">
        <f ca="1">IFERROR(__xludf.DUMMYFUNCTION("""COMPUTED_VALUE"""),45653.6458333333)</f>
        <v>45653.645833333299</v>
      </c>
      <c r="B864" s="1">
        <f ca="1">IFERROR(__xludf.DUMMYFUNCTION("""COMPUTED_VALUE"""),899.13)</f>
        <v>899.13</v>
      </c>
      <c r="C864" s="3">
        <f t="shared" ca="1" si="26"/>
        <v>4.1881659183810229E-3</v>
      </c>
      <c r="D864">
        <f t="shared" ca="1" si="25"/>
        <v>886.4291836734692</v>
      </c>
    </row>
    <row r="865" spans="1:4" x14ac:dyDescent="0.25">
      <c r="A865" s="2">
        <f ca="1">IFERROR(__xludf.DUMMYFUNCTION("""COMPUTED_VALUE"""),45656.6458333333)</f>
        <v>45656.645833333299</v>
      </c>
      <c r="B865" s="1">
        <f ca="1">IFERROR(__xludf.DUMMYFUNCTION("""COMPUTED_VALUE"""),888.95)</f>
        <v>888.95</v>
      </c>
      <c r="C865" s="3">
        <f t="shared" ca="1" si="26"/>
        <v>-1.1322055765017238E-2</v>
      </c>
      <c r="D865">
        <f t="shared" ca="1" si="25"/>
        <v>887.59408163265277</v>
      </c>
    </row>
    <row r="866" spans="1:4" x14ac:dyDescent="0.25">
      <c r="A866" s="2">
        <f ca="1">IFERROR(__xludf.DUMMYFUNCTION("""COMPUTED_VALUE"""),45657.6458333333)</f>
        <v>45657.645833333299</v>
      </c>
      <c r="B866" s="1">
        <f ca="1">IFERROR(__xludf.DUMMYFUNCTION("""COMPUTED_VALUE"""),886.43)</f>
        <v>886.43</v>
      </c>
      <c r="C866" s="3">
        <f t="shared" ca="1" si="26"/>
        <v>-2.8348051071489908E-3</v>
      </c>
      <c r="D866">
        <f t="shared" ca="1" si="25"/>
        <v>888.39102040816294</v>
      </c>
    </row>
    <row r="867" spans="1:4" x14ac:dyDescent="0.25">
      <c r="A867" s="2">
        <f ca="1">IFERROR(__xludf.DUMMYFUNCTION("""COMPUTED_VALUE"""),45658.6458333333)</f>
        <v>45658.645833333299</v>
      </c>
      <c r="B867" s="1">
        <f ca="1">IFERROR(__xludf.DUMMYFUNCTION("""COMPUTED_VALUE"""),891.38)</f>
        <v>891.38</v>
      </c>
      <c r="C867" s="3">
        <f t="shared" ca="1" si="26"/>
        <v>5.5841972857417349E-3</v>
      </c>
      <c r="D867">
        <f t="shared" ca="1" si="25"/>
        <v>889.40836734693858</v>
      </c>
    </row>
    <row r="868" spans="1:4" x14ac:dyDescent="0.25">
      <c r="A868" s="2">
        <f ca="1">IFERROR(__xludf.DUMMYFUNCTION("""COMPUTED_VALUE"""),45659.6458333333)</f>
        <v>45659.645833333299</v>
      </c>
      <c r="B868" s="1">
        <f ca="1">IFERROR(__xludf.DUMMYFUNCTION("""COMPUTED_VALUE"""),896.88)</f>
        <v>896.88</v>
      </c>
      <c r="C868" s="3">
        <f t="shared" ca="1" si="26"/>
        <v>6.1702079921021336E-3</v>
      </c>
      <c r="D868">
        <f t="shared" ca="1" si="25"/>
        <v>890.43795918367312</v>
      </c>
    </row>
    <row r="869" spans="1:4" x14ac:dyDescent="0.25">
      <c r="A869" s="2">
        <f ca="1">IFERROR(__xludf.DUMMYFUNCTION("""COMPUTED_VALUE"""),45660.6458333333)</f>
        <v>45660.645833333299</v>
      </c>
      <c r="B869" s="1">
        <f ca="1">IFERROR(__xludf.DUMMYFUNCTION("""COMPUTED_VALUE"""),874.6)</f>
        <v>874.6</v>
      </c>
      <c r="C869" s="3">
        <f t="shared" ca="1" si="26"/>
        <v>-2.4841673356524811E-2</v>
      </c>
      <c r="D869">
        <f t="shared" ca="1" si="25"/>
        <v>891.10183673469351</v>
      </c>
    </row>
    <row r="870" spans="1:4" x14ac:dyDescent="0.25">
      <c r="A870" s="2">
        <f ca="1">IFERROR(__xludf.DUMMYFUNCTION("""COMPUTED_VALUE"""),45663.6458333333)</f>
        <v>45663.645833333299</v>
      </c>
      <c r="B870" s="1">
        <f ca="1">IFERROR(__xludf.DUMMYFUNCTION("""COMPUTED_VALUE"""),855.25)</f>
        <v>855.25</v>
      </c>
      <c r="C870" s="3">
        <f t="shared" ca="1" si="26"/>
        <v>-2.2124399725588866E-2</v>
      </c>
      <c r="D870">
        <f t="shared" ca="1" si="25"/>
        <v>891.45530612244863</v>
      </c>
    </row>
    <row r="871" spans="1:4" x14ac:dyDescent="0.25">
      <c r="A871" s="2">
        <f ca="1">IFERROR(__xludf.DUMMYFUNCTION("""COMPUTED_VALUE"""),45664.6458333333)</f>
        <v>45664.645833333299</v>
      </c>
      <c r="B871" s="1">
        <f ca="1">IFERROR(__xludf.DUMMYFUNCTION("""COMPUTED_VALUE"""),856.7)</f>
        <v>856.7</v>
      </c>
      <c r="C871" s="3">
        <f t="shared" ca="1" si="26"/>
        <v>1.6954106986261858E-3</v>
      </c>
      <c r="D871">
        <f t="shared" ca="1" si="25"/>
        <v>891.19714285714258</v>
      </c>
    </row>
    <row r="872" spans="1:4" x14ac:dyDescent="0.25">
      <c r="A872" s="2">
        <f ca="1">IFERROR(__xludf.DUMMYFUNCTION("""COMPUTED_VALUE"""),45665.6458333333)</f>
        <v>45665.645833333299</v>
      </c>
      <c r="B872" s="1">
        <f ca="1">IFERROR(__xludf.DUMMYFUNCTION("""COMPUTED_VALUE"""),847.15)</f>
        <v>847.15</v>
      </c>
      <c r="C872" s="3">
        <f t="shared" ca="1" si="26"/>
        <v>-1.114742617018801E-2</v>
      </c>
      <c r="D872">
        <f t="shared" ca="1" si="25"/>
        <v>890.82714285714258</v>
      </c>
    </row>
    <row r="873" spans="1:4" x14ac:dyDescent="0.25">
      <c r="A873" s="2">
        <f ca="1">IFERROR(__xludf.DUMMYFUNCTION("""COMPUTED_VALUE"""),45666.6458333333)</f>
        <v>45666.645833333299</v>
      </c>
      <c r="B873" s="1">
        <f ca="1">IFERROR(__xludf.DUMMYFUNCTION("""COMPUTED_VALUE"""),833.9)</f>
        <v>833.9</v>
      </c>
      <c r="C873" s="3">
        <f t="shared" ca="1" si="26"/>
        <v>-1.5640677565956444E-2</v>
      </c>
      <c r="D873">
        <f t="shared" ca="1" si="25"/>
        <v>890.32612244897939</v>
      </c>
    </row>
    <row r="874" spans="1:4" x14ac:dyDescent="0.25">
      <c r="A874" s="2">
        <f ca="1">IFERROR(__xludf.DUMMYFUNCTION("""COMPUTED_VALUE"""),45667.6458333333)</f>
        <v>45667.645833333299</v>
      </c>
      <c r="B874" s="1">
        <f ca="1">IFERROR(__xludf.DUMMYFUNCTION("""COMPUTED_VALUE"""),828.38)</f>
        <v>828.38</v>
      </c>
      <c r="C874" s="3">
        <f t="shared" ca="1" si="26"/>
        <v>-6.6194987408561964E-3</v>
      </c>
      <c r="D874">
        <f t="shared" ca="1" si="25"/>
        <v>889.64857142857113</v>
      </c>
    </row>
    <row r="875" spans="1:4" x14ac:dyDescent="0.25">
      <c r="A875" s="2">
        <f ca="1">IFERROR(__xludf.DUMMYFUNCTION("""COMPUTED_VALUE"""),45670.6458333333)</f>
        <v>45670.645833333299</v>
      </c>
      <c r="B875" s="1">
        <f ca="1">IFERROR(__xludf.DUMMYFUNCTION("""COMPUTED_VALUE"""),815.43)</f>
        <v>815.43</v>
      </c>
      <c r="C875" s="3">
        <f t="shared" ca="1" si="26"/>
        <v>-1.5632922088896457E-2</v>
      </c>
      <c r="D875">
        <f t="shared" ca="1" si="25"/>
        <v>888.67816326530578</v>
      </c>
    </row>
    <row r="876" spans="1:4" x14ac:dyDescent="0.25">
      <c r="A876" s="2">
        <f ca="1">IFERROR(__xludf.DUMMYFUNCTION("""COMPUTED_VALUE"""),45671.6458333333)</f>
        <v>45671.645833333299</v>
      </c>
      <c r="B876" s="1">
        <f ca="1">IFERROR(__xludf.DUMMYFUNCTION("""COMPUTED_VALUE"""),823.3)</f>
        <v>823.3</v>
      </c>
      <c r="C876" s="3">
        <f t="shared" ca="1" si="26"/>
        <v>9.651349594692377E-3</v>
      </c>
      <c r="D876">
        <f t="shared" ca="1" si="25"/>
        <v>887.61959183673423</v>
      </c>
    </row>
    <row r="877" spans="1:4" x14ac:dyDescent="0.25">
      <c r="A877" s="2">
        <f ca="1">IFERROR(__xludf.DUMMYFUNCTION("""COMPUTED_VALUE"""),45672.6458333333)</f>
        <v>45672.645833333299</v>
      </c>
      <c r="B877" s="1">
        <f ca="1">IFERROR(__xludf.DUMMYFUNCTION("""COMPUTED_VALUE"""),821.53)</f>
        <v>821.53</v>
      </c>
      <c r="C877" s="3">
        <f t="shared" ca="1" si="26"/>
        <v>-2.1498846107129623E-3</v>
      </c>
      <c r="D877">
        <f t="shared" ca="1" si="25"/>
        <v>886.71040816326513</v>
      </c>
    </row>
    <row r="878" spans="1:4" x14ac:dyDescent="0.25">
      <c r="A878" s="2">
        <f ca="1">IFERROR(__xludf.DUMMYFUNCTION("""COMPUTED_VALUE"""),45673.6458333333)</f>
        <v>45673.645833333299</v>
      </c>
      <c r="B878" s="1">
        <f ca="1">IFERROR(__xludf.DUMMYFUNCTION("""COMPUTED_VALUE"""),826.03)</f>
        <v>826.03</v>
      </c>
      <c r="C878" s="3">
        <f t="shared" ca="1" si="26"/>
        <v>5.4775845069565329E-3</v>
      </c>
      <c r="D878">
        <f t="shared" ca="1" si="25"/>
        <v>885.98551020408149</v>
      </c>
    </row>
    <row r="879" spans="1:4" x14ac:dyDescent="0.25">
      <c r="A879" s="2">
        <f ca="1">IFERROR(__xludf.DUMMYFUNCTION("""COMPUTED_VALUE"""),45674.6458333333)</f>
        <v>45674.645833333299</v>
      </c>
      <c r="B879" s="1">
        <f ca="1">IFERROR(__xludf.DUMMYFUNCTION("""COMPUTED_VALUE"""),818.38)</f>
        <v>818.38</v>
      </c>
      <c r="C879" s="3">
        <f t="shared" ca="1" si="26"/>
        <v>-9.2611648487342796E-3</v>
      </c>
      <c r="D879">
        <f t="shared" ca="1" si="25"/>
        <v>884.90591836734677</v>
      </c>
    </row>
    <row r="880" spans="1:4" x14ac:dyDescent="0.25">
      <c r="A880" s="2">
        <f ca="1">IFERROR(__xludf.DUMMYFUNCTION("""COMPUTED_VALUE"""),45677.6458333333)</f>
        <v>45677.645833333299</v>
      </c>
      <c r="B880" s="1">
        <f ca="1">IFERROR(__xludf.DUMMYFUNCTION("""COMPUTED_VALUE"""),825.63)</f>
        <v>825.63</v>
      </c>
      <c r="C880" s="3">
        <f t="shared" ca="1" si="26"/>
        <v>8.8589652728561299E-3</v>
      </c>
      <c r="D880">
        <f t="shared" ca="1" si="25"/>
        <v>883.69673469387737</v>
      </c>
    </row>
    <row r="881" spans="1:4" x14ac:dyDescent="0.25">
      <c r="A881" s="2">
        <f ca="1">IFERROR(__xludf.DUMMYFUNCTION("""COMPUTED_VALUE"""),45678.6458333333)</f>
        <v>45678.645833333299</v>
      </c>
      <c r="B881" s="1">
        <f ca="1">IFERROR(__xludf.DUMMYFUNCTION("""COMPUTED_VALUE"""),821.2)</f>
        <v>821.2</v>
      </c>
      <c r="C881" s="3">
        <f t="shared" ca="1" si="26"/>
        <v>-5.3655996027275532E-3</v>
      </c>
      <c r="D881">
        <f t="shared" ca="1" si="25"/>
        <v>882.72428571428554</v>
      </c>
    </row>
    <row r="882" spans="1:4" x14ac:dyDescent="0.25">
      <c r="A882" s="2">
        <f ca="1">IFERROR(__xludf.DUMMYFUNCTION("""COMPUTED_VALUE"""),45679.6458333333)</f>
        <v>45679.645833333299</v>
      </c>
      <c r="B882" s="1">
        <f ca="1">IFERROR(__xludf.DUMMYFUNCTION("""COMPUTED_VALUE"""),833.03)</f>
        <v>833.03</v>
      </c>
      <c r="C882" s="3">
        <f t="shared" ca="1" si="26"/>
        <v>1.4405747686312623E-2</v>
      </c>
      <c r="D882">
        <f t="shared" ca="1" si="25"/>
        <v>881.58081632653045</v>
      </c>
    </row>
    <row r="883" spans="1:4" x14ac:dyDescent="0.25">
      <c r="A883" s="2">
        <f ca="1">IFERROR(__xludf.DUMMYFUNCTION("""COMPUTED_VALUE"""),45680.6458333333)</f>
        <v>45680.645833333299</v>
      </c>
      <c r="B883" s="1">
        <f ca="1">IFERROR(__xludf.DUMMYFUNCTION("""COMPUTED_VALUE"""),832.45)</f>
        <v>832.45</v>
      </c>
      <c r="C883" s="3">
        <f t="shared" ca="1" si="26"/>
        <v>-6.9625343625070795E-4</v>
      </c>
      <c r="D883">
        <f t="shared" ca="1" si="25"/>
        <v>880.55795918367335</v>
      </c>
    </row>
    <row r="884" spans="1:4" x14ac:dyDescent="0.25">
      <c r="A884" s="2">
        <f ca="1">IFERROR(__xludf.DUMMYFUNCTION("""COMPUTED_VALUE"""),45681.6458333333)</f>
        <v>45681.645833333299</v>
      </c>
      <c r="B884" s="1">
        <f ca="1">IFERROR(__xludf.DUMMYFUNCTION("""COMPUTED_VALUE"""),824.9)</f>
        <v>824.9</v>
      </c>
      <c r="C884" s="3">
        <f t="shared" ca="1" si="26"/>
        <v>-9.0696137906181359E-3</v>
      </c>
      <c r="D884">
        <f t="shared" ref="D884:D947" ca="1" si="27">AVERAGE(B835:B883)</f>
        <v>880.01408163265285</v>
      </c>
    </row>
    <row r="885" spans="1:4" x14ac:dyDescent="0.25">
      <c r="A885" s="2">
        <f ca="1">IFERROR(__xludf.DUMMYFUNCTION("""COMPUTED_VALUE"""),45684.6458333333)</f>
        <v>45684.645833333299</v>
      </c>
      <c r="B885" s="1">
        <f ca="1">IFERROR(__xludf.DUMMYFUNCTION("""COMPUTED_VALUE"""),814.9)</f>
        <v>814.9</v>
      </c>
      <c r="C885" s="3">
        <f t="shared" ca="1" si="26"/>
        <v>-1.2122681537156019E-2</v>
      </c>
      <c r="D885">
        <f t="shared" ca="1" si="27"/>
        <v>879.69204081632631</v>
      </c>
    </row>
    <row r="886" spans="1:4" x14ac:dyDescent="0.25">
      <c r="A886" s="2">
        <f ca="1">IFERROR(__xludf.DUMMYFUNCTION("""COMPUTED_VALUE"""),45685.6458333333)</f>
        <v>45685.645833333299</v>
      </c>
      <c r="B886" s="1">
        <f ca="1">IFERROR(__xludf.DUMMYFUNCTION("""COMPUTED_VALUE"""),835.2)</f>
        <v>835.2</v>
      </c>
      <c r="C886" s="3">
        <f t="shared" ca="1" si="26"/>
        <v>2.4911032028469834E-2</v>
      </c>
      <c r="D886">
        <f t="shared" ca="1" si="27"/>
        <v>879.04959183673441</v>
      </c>
    </row>
    <row r="887" spans="1:4" x14ac:dyDescent="0.25">
      <c r="A887" s="2">
        <f ca="1">IFERROR(__xludf.DUMMYFUNCTION("""COMPUTED_VALUE"""),45686.6458333333)</f>
        <v>45686.645833333299</v>
      </c>
      <c r="B887" s="1">
        <f ca="1">IFERROR(__xludf.DUMMYFUNCTION("""COMPUTED_VALUE"""),838.65)</f>
        <v>838.65</v>
      </c>
      <c r="C887" s="3">
        <f t="shared" ca="1" si="26"/>
        <v>4.1307471264366994E-3</v>
      </c>
      <c r="D887">
        <f t="shared" ca="1" si="27"/>
        <v>878.69551020408142</v>
      </c>
    </row>
    <row r="888" spans="1:4" x14ac:dyDescent="0.25">
      <c r="A888" s="2">
        <f ca="1">IFERROR(__xludf.DUMMYFUNCTION("""COMPUTED_VALUE"""),45687.6458333333)</f>
        <v>45687.645833333299</v>
      </c>
      <c r="B888" s="1">
        <f ca="1">IFERROR(__xludf.DUMMYFUNCTION("""COMPUTED_VALUE"""),845.75)</f>
        <v>845.75</v>
      </c>
      <c r="C888" s="3">
        <f t="shared" ca="1" si="26"/>
        <v>8.4659870029213883E-3</v>
      </c>
      <c r="D888">
        <f t="shared" ca="1" si="27"/>
        <v>878.03265306122432</v>
      </c>
    </row>
    <row r="889" spans="1:4" x14ac:dyDescent="0.25">
      <c r="A889" s="2">
        <f ca="1">IFERROR(__xludf.DUMMYFUNCTION("""COMPUTED_VALUE"""),45688.6458333333)</f>
        <v>45688.645833333299</v>
      </c>
      <c r="B889" s="1">
        <f ca="1">IFERROR(__xludf.DUMMYFUNCTION("""COMPUTED_VALUE"""),849.38)</f>
        <v>849.38</v>
      </c>
      <c r="C889" s="3">
        <f t="shared" ca="1" si="26"/>
        <v>4.2920484776825252E-3</v>
      </c>
      <c r="D889">
        <f t="shared" ca="1" si="27"/>
        <v>877.52551020408146</v>
      </c>
    </row>
    <row r="890" spans="1:4" x14ac:dyDescent="0.25">
      <c r="A890" s="2">
        <f ca="1">IFERROR(__xludf.DUMMYFUNCTION("""COMPUTED_VALUE"""),45691.6458333333)</f>
        <v>45691.645833333299</v>
      </c>
      <c r="B890" s="1">
        <f ca="1">IFERROR(__xludf.DUMMYFUNCTION("""COMPUTED_VALUE"""),839)</f>
        <v>839</v>
      </c>
      <c r="C890" s="3">
        <f t="shared" ca="1" si="26"/>
        <v>-1.2220678612635092E-2</v>
      </c>
      <c r="D890">
        <f t="shared" ca="1" si="27"/>
        <v>877.04755102040792</v>
      </c>
    </row>
    <row r="891" spans="1:4" x14ac:dyDescent="0.25">
      <c r="A891" s="2">
        <f ca="1">IFERROR(__xludf.DUMMYFUNCTION("""COMPUTED_VALUE"""),45692.6458333333)</f>
        <v>45692.645833333299</v>
      </c>
      <c r="B891" s="1">
        <f ca="1">IFERROR(__xludf.DUMMYFUNCTION("""COMPUTED_VALUE"""),860.45)</f>
        <v>860.45</v>
      </c>
      <c r="C891" s="3">
        <f t="shared" ca="1" si="26"/>
        <v>2.556615017878432E-2</v>
      </c>
      <c r="D891">
        <f t="shared" ca="1" si="27"/>
        <v>875.9495918367345</v>
      </c>
    </row>
    <row r="892" spans="1:4" x14ac:dyDescent="0.25">
      <c r="A892" s="2">
        <f ca="1">IFERROR(__xludf.DUMMYFUNCTION("""COMPUTED_VALUE"""),45693.6458333333)</f>
        <v>45693.645833333299</v>
      </c>
      <c r="B892" s="1">
        <f ca="1">IFERROR(__xludf.DUMMYFUNCTION("""COMPUTED_VALUE"""),868.9)</f>
        <v>868.9</v>
      </c>
      <c r="C892" s="3">
        <f t="shared" ca="1" si="26"/>
        <v>9.820442791562474E-3</v>
      </c>
      <c r="D892">
        <f t="shared" ca="1" si="27"/>
        <v>875.28979591836719</v>
      </c>
    </row>
    <row r="893" spans="1:4" x14ac:dyDescent="0.25">
      <c r="A893" s="2">
        <f ca="1">IFERROR(__xludf.DUMMYFUNCTION("""COMPUTED_VALUE"""),45694.6458333333)</f>
        <v>45694.645833333299</v>
      </c>
      <c r="B893" s="1">
        <f ca="1">IFERROR(__xludf.DUMMYFUNCTION("""COMPUTED_VALUE"""),871.93)</f>
        <v>871.93</v>
      </c>
      <c r="C893" s="3">
        <f t="shared" ca="1" si="26"/>
        <v>3.487167683277676E-3</v>
      </c>
      <c r="D893">
        <f t="shared" ca="1" si="27"/>
        <v>874.52959183673454</v>
      </c>
    </row>
    <row r="894" spans="1:4" x14ac:dyDescent="0.25">
      <c r="A894" s="2">
        <f ca="1">IFERROR(__xludf.DUMMYFUNCTION("""COMPUTED_VALUE"""),45695.6458333333)</f>
        <v>45695.645833333299</v>
      </c>
      <c r="B894" s="1">
        <f ca="1">IFERROR(__xludf.DUMMYFUNCTION("""COMPUTED_VALUE"""),866.38)</f>
        <v>866.38</v>
      </c>
      <c r="C894" s="3">
        <f t="shared" ca="1" si="26"/>
        <v>-6.3651898661589287E-3</v>
      </c>
      <c r="D894">
        <f t="shared" ca="1" si="27"/>
        <v>874.02653061224498</v>
      </c>
    </row>
    <row r="895" spans="1:4" x14ac:dyDescent="0.25">
      <c r="A895" s="2">
        <f ca="1">IFERROR(__xludf.DUMMYFUNCTION("""COMPUTED_VALUE"""),45698.6458333333)</f>
        <v>45698.645833333299</v>
      </c>
      <c r="B895" s="1">
        <f ca="1">IFERROR(__xludf.DUMMYFUNCTION("""COMPUTED_VALUE"""),857.88)</f>
        <v>857.88</v>
      </c>
      <c r="C895" s="3">
        <f t="shared" ca="1" si="26"/>
        <v>-9.8109374639303772E-3</v>
      </c>
      <c r="D895">
        <f t="shared" ca="1" si="27"/>
        <v>873.38061224489797</v>
      </c>
    </row>
    <row r="896" spans="1:4" x14ac:dyDescent="0.25">
      <c r="A896" s="2">
        <f ca="1">IFERROR(__xludf.DUMMYFUNCTION("""COMPUTED_VALUE"""),45699.6458333333)</f>
        <v>45699.645833333299</v>
      </c>
      <c r="B896" s="1">
        <f ca="1">IFERROR(__xludf.DUMMYFUNCTION("""COMPUTED_VALUE"""),850.7)</f>
        <v>850.7</v>
      </c>
      <c r="C896" s="3">
        <f t="shared" ca="1" si="26"/>
        <v>-8.3694689233924906E-3</v>
      </c>
      <c r="D896">
        <f t="shared" ca="1" si="27"/>
        <v>872.4730612244897</v>
      </c>
    </row>
    <row r="897" spans="1:4" x14ac:dyDescent="0.25">
      <c r="A897" s="2">
        <f ca="1">IFERROR(__xludf.DUMMYFUNCTION("""COMPUTED_VALUE"""),45700.6458333333)</f>
        <v>45700.645833333299</v>
      </c>
      <c r="B897" s="1">
        <f ca="1">IFERROR(__xludf.DUMMYFUNCTION("""COMPUTED_VALUE"""),853.4)</f>
        <v>853.4</v>
      </c>
      <c r="C897" s="3">
        <f t="shared" ca="1" si="26"/>
        <v>3.1738568237920906E-3</v>
      </c>
      <c r="D897">
        <f t="shared" ca="1" si="27"/>
        <v>871.1985714285712</v>
      </c>
    </row>
    <row r="898" spans="1:4" x14ac:dyDescent="0.25">
      <c r="A898" s="2">
        <f ca="1">IFERROR(__xludf.DUMMYFUNCTION("""COMPUTED_VALUE"""),45701.6458333333)</f>
        <v>45701.645833333299</v>
      </c>
      <c r="B898" s="1">
        <f ca="1">IFERROR(__xludf.DUMMYFUNCTION("""COMPUTED_VALUE"""),848.85)</f>
        <v>848.85</v>
      </c>
      <c r="C898" s="3">
        <f t="shared" ca="1" si="26"/>
        <v>-5.331614717600134E-3</v>
      </c>
      <c r="D898">
        <f t="shared" ca="1" si="27"/>
        <v>869.63428571428562</v>
      </c>
    </row>
    <row r="899" spans="1:4" x14ac:dyDescent="0.25">
      <c r="A899" s="2">
        <f ca="1">IFERROR(__xludf.DUMMYFUNCTION("""COMPUTED_VALUE"""),45702.6458333333)</f>
        <v>45702.645833333299</v>
      </c>
      <c r="B899" s="1">
        <f ca="1">IFERROR(__xludf.DUMMYFUNCTION("""COMPUTED_VALUE"""),847.43)</f>
        <v>847.43</v>
      </c>
      <c r="C899" s="3">
        <f t="shared" ca="1" si="26"/>
        <v>-1.6728515049774079E-3</v>
      </c>
      <c r="D899">
        <f t="shared" ca="1" si="27"/>
        <v>867.91938775510198</v>
      </c>
    </row>
    <row r="900" spans="1:4" x14ac:dyDescent="0.25">
      <c r="A900" s="2">
        <f ca="1">IFERROR(__xludf.DUMMYFUNCTION("""COMPUTED_VALUE"""),45705.6458333333)</f>
        <v>45705.645833333299</v>
      </c>
      <c r="B900" s="1">
        <f ca="1">IFERROR(__xludf.DUMMYFUNCTION("""COMPUTED_VALUE"""),858.68)</f>
        <v>858.68</v>
      </c>
      <c r="C900" s="3">
        <f t="shared" ref="C900:C963" ca="1" si="28">(B900-B899)/B899</f>
        <v>1.3275432779108599E-2</v>
      </c>
      <c r="D900">
        <f t="shared" ca="1" si="27"/>
        <v>866.27653061224476</v>
      </c>
    </row>
    <row r="901" spans="1:4" x14ac:dyDescent="0.25">
      <c r="A901" s="2">
        <f ca="1">IFERROR(__xludf.DUMMYFUNCTION("""COMPUTED_VALUE"""),45706.6458333333)</f>
        <v>45706.645833333299</v>
      </c>
      <c r="B901" s="1">
        <f ca="1">IFERROR(__xludf.DUMMYFUNCTION("""COMPUTED_VALUE"""),861.53)</f>
        <v>861.53</v>
      </c>
      <c r="C901" s="3">
        <f t="shared" ca="1" si="28"/>
        <v>3.3190478408720628E-3</v>
      </c>
      <c r="D901">
        <f t="shared" ca="1" si="27"/>
        <v>864.71897959183661</v>
      </c>
    </row>
    <row r="902" spans="1:4" x14ac:dyDescent="0.25">
      <c r="A902" s="2">
        <f ca="1">IFERROR(__xludf.DUMMYFUNCTION("""COMPUTED_VALUE"""),45707.6458333333)</f>
        <v>45707.645833333299</v>
      </c>
      <c r="B902" s="1">
        <f ca="1">IFERROR(__xludf.DUMMYFUNCTION("""COMPUTED_VALUE"""),863.6)</f>
        <v>863.6</v>
      </c>
      <c r="C902" s="3">
        <f t="shared" ca="1" si="28"/>
        <v>2.4027021693963646E-3</v>
      </c>
      <c r="D902">
        <f t="shared" ca="1" si="27"/>
        <v>863.2389795918366</v>
      </c>
    </row>
    <row r="903" spans="1:4" x14ac:dyDescent="0.25">
      <c r="A903" s="2">
        <f ca="1">IFERROR(__xludf.DUMMYFUNCTION("""COMPUTED_VALUE"""),45708.6458333333)</f>
        <v>45708.645833333299</v>
      </c>
      <c r="B903" s="1">
        <f ca="1">IFERROR(__xludf.DUMMYFUNCTION("""COMPUTED_VALUE"""),843.55)</f>
        <v>843.55</v>
      </c>
      <c r="C903" s="3">
        <f t="shared" ca="1" si="28"/>
        <v>-2.3216767021769415E-2</v>
      </c>
      <c r="D903">
        <f t="shared" ca="1" si="27"/>
        <v>861.85224489795905</v>
      </c>
    </row>
    <row r="904" spans="1:4" x14ac:dyDescent="0.25">
      <c r="A904" s="2">
        <f ca="1">IFERROR(__xludf.DUMMYFUNCTION("""COMPUTED_VALUE"""),45709.6458333333)</f>
        <v>45709.645833333299</v>
      </c>
      <c r="B904" s="1">
        <f ca="1">IFERROR(__xludf.DUMMYFUNCTION("""COMPUTED_VALUE"""),846.25)</f>
        <v>846.25</v>
      </c>
      <c r="C904" s="3">
        <f t="shared" ca="1" si="28"/>
        <v>3.2007586983581835E-3</v>
      </c>
      <c r="D904">
        <f t="shared" ca="1" si="27"/>
        <v>860.09551020408162</v>
      </c>
    </row>
    <row r="905" spans="1:4" x14ac:dyDescent="0.25">
      <c r="A905" s="2">
        <f ca="1">IFERROR(__xludf.DUMMYFUNCTION("""COMPUTED_VALUE"""),45712.6458333333)</f>
        <v>45712.645833333299</v>
      </c>
      <c r="B905" s="1">
        <f ca="1">IFERROR(__xludf.DUMMYFUNCTION("""COMPUTED_VALUE"""),838.55)</f>
        <v>838.55</v>
      </c>
      <c r="C905" s="3">
        <f t="shared" ca="1" si="28"/>
        <v>-9.0989660265879419E-3</v>
      </c>
      <c r="D905">
        <f t="shared" ca="1" si="27"/>
        <v>858.26632653061233</v>
      </c>
    </row>
    <row r="906" spans="1:4" x14ac:dyDescent="0.25">
      <c r="A906" s="2">
        <f ca="1">IFERROR(__xludf.DUMMYFUNCTION("""COMPUTED_VALUE"""),45713.6458333333)</f>
        <v>45713.645833333299</v>
      </c>
      <c r="B906" s="1">
        <f ca="1">IFERROR(__xludf.DUMMYFUNCTION("""COMPUTED_VALUE"""),841.18)</f>
        <v>841.18</v>
      </c>
      <c r="C906" s="3">
        <f t="shared" ca="1" si="28"/>
        <v>3.1363663466698415E-3</v>
      </c>
      <c r="D906">
        <f t="shared" ca="1" si="27"/>
        <v>856.34693877551035</v>
      </c>
    </row>
    <row r="907" spans="1:4" x14ac:dyDescent="0.25">
      <c r="A907" s="2">
        <f ca="1">IFERROR(__xludf.DUMMYFUNCTION("""COMPUTED_VALUE"""),45715.6458333333)</f>
        <v>45715.645833333299</v>
      </c>
      <c r="B907" s="1">
        <f ca="1">IFERROR(__xludf.DUMMYFUNCTION("""COMPUTED_VALUE"""),850.35)</f>
        <v>850.35</v>
      </c>
      <c r="C907" s="3">
        <f t="shared" ca="1" si="28"/>
        <v>1.0901352861456612E-2</v>
      </c>
      <c r="D907">
        <f t="shared" ca="1" si="27"/>
        <v>854.80714285714305</v>
      </c>
    </row>
    <row r="908" spans="1:4" x14ac:dyDescent="0.25">
      <c r="A908" s="2">
        <f ca="1">IFERROR(__xludf.DUMMYFUNCTION("""COMPUTED_VALUE"""),45716.6458333333)</f>
        <v>45716.645833333299</v>
      </c>
      <c r="B908" s="1">
        <f ca="1">IFERROR(__xludf.DUMMYFUNCTION("""COMPUTED_VALUE"""),866.2)</f>
        <v>866.2</v>
      </c>
      <c r="C908" s="3">
        <f t="shared" ca="1" si="28"/>
        <v>1.8639383783148143E-2</v>
      </c>
      <c r="D908">
        <f t="shared" ca="1" si="27"/>
        <v>853.68469387755124</v>
      </c>
    </row>
    <row r="909" spans="1:4" x14ac:dyDescent="0.25">
      <c r="A909" s="2">
        <f ca="1">IFERROR(__xludf.DUMMYFUNCTION("""COMPUTED_VALUE"""),45719.6458333333)</f>
        <v>45719.645833333299</v>
      </c>
      <c r="B909" s="1">
        <f ca="1">IFERROR(__xludf.DUMMYFUNCTION("""COMPUTED_VALUE"""),850.78)</f>
        <v>850.78</v>
      </c>
      <c r="C909" s="3">
        <f t="shared" ca="1" si="28"/>
        <v>-1.7801893327176254E-2</v>
      </c>
      <c r="D909">
        <f t="shared" ca="1" si="27"/>
        <v>853.06122448979625</v>
      </c>
    </row>
    <row r="910" spans="1:4" x14ac:dyDescent="0.25">
      <c r="A910" s="2">
        <f ca="1">IFERROR(__xludf.DUMMYFUNCTION("""COMPUTED_VALUE"""),45720.6458333333)</f>
        <v>45720.645833333299</v>
      </c>
      <c r="B910" s="1">
        <f ca="1">IFERROR(__xludf.DUMMYFUNCTION("""COMPUTED_VALUE"""),855)</f>
        <v>855</v>
      </c>
      <c r="C910" s="3">
        <f t="shared" ca="1" si="28"/>
        <v>4.9601542114295436E-3</v>
      </c>
      <c r="D910">
        <f t="shared" ca="1" si="27"/>
        <v>852.34755102040833</v>
      </c>
    </row>
    <row r="911" spans="1:4" x14ac:dyDescent="0.25">
      <c r="A911" s="2">
        <f ca="1">IFERROR(__xludf.DUMMYFUNCTION("""COMPUTED_VALUE"""),45721.6458333333)</f>
        <v>45721.645833333299</v>
      </c>
      <c r="B911" s="1">
        <f ca="1">IFERROR(__xludf.DUMMYFUNCTION("""COMPUTED_VALUE"""),845)</f>
        <v>845</v>
      </c>
      <c r="C911" s="3">
        <f t="shared" ca="1" si="28"/>
        <v>-1.1695906432748537E-2</v>
      </c>
      <c r="D911">
        <f t="shared" ca="1" si="27"/>
        <v>851.41897959183689</v>
      </c>
    </row>
    <row r="912" spans="1:4" x14ac:dyDescent="0.25">
      <c r="A912" s="2">
        <f ca="1">IFERROR(__xludf.DUMMYFUNCTION("""COMPUTED_VALUE"""),45722.6458333333)</f>
        <v>45722.645833333299</v>
      </c>
      <c r="B912" s="1">
        <f ca="1">IFERROR(__xludf.DUMMYFUNCTION("""COMPUTED_VALUE"""),845.6)</f>
        <v>845.6</v>
      </c>
      <c r="C912" s="3">
        <f t="shared" ca="1" si="28"/>
        <v>7.1005917159765999E-4</v>
      </c>
      <c r="D912">
        <f t="shared" ca="1" si="27"/>
        <v>850.31591836734719</v>
      </c>
    </row>
    <row r="913" spans="1:4" x14ac:dyDescent="0.25">
      <c r="A913" s="2">
        <f ca="1">IFERROR(__xludf.DUMMYFUNCTION("""COMPUTED_VALUE"""),45723.6458333333)</f>
        <v>45723.645833333299</v>
      </c>
      <c r="B913" s="1">
        <f ca="1">IFERROR(__xludf.DUMMYFUNCTION("""COMPUTED_VALUE"""),844.63)</f>
        <v>844.63</v>
      </c>
      <c r="C913" s="3">
        <f t="shared" ca="1" si="28"/>
        <v>-1.1471144749290766E-3</v>
      </c>
      <c r="D913">
        <f t="shared" ca="1" si="27"/>
        <v>849.30000000000018</v>
      </c>
    </row>
    <row r="914" spans="1:4" x14ac:dyDescent="0.25">
      <c r="A914" s="2">
        <f ca="1">IFERROR(__xludf.DUMMYFUNCTION("""COMPUTED_VALUE"""),45726.6458333333)</f>
        <v>45726.645833333299</v>
      </c>
      <c r="B914" s="1">
        <f ca="1">IFERROR(__xludf.DUMMYFUNCTION("""COMPUTED_VALUE"""),843.75)</f>
        <v>843.75</v>
      </c>
      <c r="C914" s="3">
        <f t="shared" ca="1" si="28"/>
        <v>-1.0418763245444698E-3</v>
      </c>
      <c r="D914">
        <f t="shared" ca="1" si="27"/>
        <v>848.18775510204091</v>
      </c>
    </row>
    <row r="915" spans="1:4" x14ac:dyDescent="0.25">
      <c r="A915" s="2">
        <f ca="1">IFERROR(__xludf.DUMMYFUNCTION("""COMPUTED_VALUE"""),45727.6458333333)</f>
        <v>45727.645833333299</v>
      </c>
      <c r="B915" s="1">
        <f ca="1">IFERROR(__xludf.DUMMYFUNCTION("""COMPUTED_VALUE"""),842.75)</f>
        <v>842.75</v>
      </c>
      <c r="C915" s="3">
        <f t="shared" ca="1" si="28"/>
        <v>-1.1851851851851852E-3</v>
      </c>
      <c r="D915">
        <f t="shared" ca="1" si="27"/>
        <v>847.26530612244903</v>
      </c>
    </row>
    <row r="916" spans="1:4" x14ac:dyDescent="0.25">
      <c r="A916" s="2">
        <f ca="1">IFERROR(__xludf.DUMMYFUNCTION("""COMPUTED_VALUE"""),45728.6458333333)</f>
        <v>45728.645833333299</v>
      </c>
      <c r="B916" s="1">
        <f ca="1">IFERROR(__xludf.DUMMYFUNCTION("""COMPUTED_VALUE"""),855.58)</f>
        <v>855.58</v>
      </c>
      <c r="C916" s="3">
        <f t="shared" ca="1" si="28"/>
        <v>1.5223969148620635E-2</v>
      </c>
      <c r="D916">
        <f t="shared" ca="1" si="27"/>
        <v>846.37387755102043</v>
      </c>
    </row>
    <row r="917" spans="1:4" x14ac:dyDescent="0.25">
      <c r="A917" s="2">
        <f ca="1">IFERROR(__xludf.DUMMYFUNCTION("""COMPUTED_VALUE"""),45729.6458333333)</f>
        <v>45729.645833333299</v>
      </c>
      <c r="B917" s="1">
        <f ca="1">IFERROR(__xludf.DUMMYFUNCTION("""COMPUTED_VALUE"""),853.3)</f>
        <v>853.3</v>
      </c>
      <c r="C917" s="3">
        <f t="shared" ca="1" si="28"/>
        <v>-2.6648589261087053E-3</v>
      </c>
      <c r="D917">
        <f t="shared" ca="1" si="27"/>
        <v>845.64326530612243</v>
      </c>
    </row>
    <row r="918" spans="1:4" x14ac:dyDescent="0.25">
      <c r="A918" s="2">
        <f ca="1">IFERROR(__xludf.DUMMYFUNCTION("""COMPUTED_VALUE"""),45733.6458333333)</f>
        <v>45733.645833333299</v>
      </c>
      <c r="B918" s="1">
        <f ca="1">IFERROR(__xludf.DUMMYFUNCTION("""COMPUTED_VALUE"""),855.2)</f>
        <v>855.2</v>
      </c>
      <c r="C918" s="3">
        <f t="shared" ca="1" si="28"/>
        <v>2.2266494784953603E-3</v>
      </c>
      <c r="D918">
        <f t="shared" ca="1" si="27"/>
        <v>844.75387755102042</v>
      </c>
    </row>
    <row r="919" spans="1:4" x14ac:dyDescent="0.25">
      <c r="A919" s="2">
        <f ca="1">IFERROR(__xludf.DUMMYFUNCTION("""COMPUTED_VALUE"""),45734.6458333333)</f>
        <v>45734.645833333299</v>
      </c>
      <c r="B919" s="1">
        <f ca="1">IFERROR(__xludf.DUMMYFUNCTION("""COMPUTED_VALUE"""),866.1)</f>
        <v>866.1</v>
      </c>
      <c r="C919" s="3">
        <f t="shared" ca="1" si="28"/>
        <v>1.2745556594948523E-2</v>
      </c>
      <c r="D919">
        <f t="shared" ca="1" si="27"/>
        <v>844.3579591836733</v>
      </c>
    </row>
    <row r="920" spans="1:4" x14ac:dyDescent="0.25">
      <c r="A920" s="2">
        <f ca="1">IFERROR(__xludf.DUMMYFUNCTION("""COMPUTED_VALUE"""),45735.6458333333)</f>
        <v>45735.645833333299</v>
      </c>
      <c r="B920" s="1">
        <f ca="1">IFERROR(__xludf.DUMMYFUNCTION("""COMPUTED_VALUE"""),872.05)</f>
        <v>872.05</v>
      </c>
      <c r="C920" s="3">
        <f t="shared" ca="1" si="28"/>
        <v>6.8698764576837915E-3</v>
      </c>
      <c r="D920">
        <f t="shared" ca="1" si="27"/>
        <v>844.57938775510206</v>
      </c>
    </row>
    <row r="921" spans="1:4" x14ac:dyDescent="0.25">
      <c r="A921" s="2">
        <f ca="1">IFERROR(__xludf.DUMMYFUNCTION("""COMPUTED_VALUE"""),45736.6458333333)</f>
        <v>45736.645833333299</v>
      </c>
      <c r="B921" s="1">
        <f ca="1">IFERROR(__xludf.DUMMYFUNCTION("""COMPUTED_VALUE"""),884.38)</f>
        <v>884.38</v>
      </c>
      <c r="C921" s="3">
        <f t="shared" ca="1" si="28"/>
        <v>1.4139097528811468E-2</v>
      </c>
      <c r="D921">
        <f t="shared" ca="1" si="27"/>
        <v>844.89265306122445</v>
      </c>
    </row>
    <row r="922" spans="1:4" x14ac:dyDescent="0.25">
      <c r="A922" s="2">
        <f ca="1">IFERROR(__xludf.DUMMYFUNCTION("""COMPUTED_VALUE"""),45737.6458333333)</f>
        <v>45737.645833333299</v>
      </c>
      <c r="B922" s="1">
        <f ca="1">IFERROR(__xludf.DUMMYFUNCTION("""COMPUTED_VALUE"""),885.18)</f>
        <v>885.18</v>
      </c>
      <c r="C922" s="3">
        <f t="shared" ca="1" si="28"/>
        <v>9.0458852529450527E-4</v>
      </c>
      <c r="D922">
        <f t="shared" ca="1" si="27"/>
        <v>845.65244897959167</v>
      </c>
    </row>
    <row r="923" spans="1:4" x14ac:dyDescent="0.25">
      <c r="A923" s="2">
        <f ca="1">IFERROR(__xludf.DUMMYFUNCTION("""COMPUTED_VALUE"""),45740.6458333333)</f>
        <v>45740.645833333299</v>
      </c>
      <c r="B923" s="1">
        <f ca="1">IFERROR(__xludf.DUMMYFUNCTION("""COMPUTED_VALUE"""),900)</f>
        <v>900</v>
      </c>
      <c r="C923" s="3">
        <f t="shared" ca="1" si="28"/>
        <v>1.6742357486612951E-2</v>
      </c>
      <c r="D923">
        <f t="shared" ca="1" si="27"/>
        <v>846.69897959183663</v>
      </c>
    </row>
    <row r="924" spans="1:4" x14ac:dyDescent="0.25">
      <c r="A924" s="2">
        <f ca="1">IFERROR(__xludf.DUMMYFUNCTION("""COMPUTED_VALUE"""),45741.6458333333)</f>
        <v>45741.645833333299</v>
      </c>
      <c r="B924" s="1">
        <f ca="1">IFERROR(__xludf.DUMMYFUNCTION("""COMPUTED_VALUE"""),910.73)</f>
        <v>910.73</v>
      </c>
      <c r="C924" s="3">
        <f t="shared" ca="1" si="28"/>
        <v>1.1922222222222242E-2</v>
      </c>
      <c r="D924">
        <f t="shared" ca="1" si="27"/>
        <v>848.16061224489783</v>
      </c>
    </row>
    <row r="925" spans="1:4" x14ac:dyDescent="0.25">
      <c r="A925" s="2">
        <f ca="1">IFERROR(__xludf.DUMMYFUNCTION("""COMPUTED_VALUE"""),45742.6458333333)</f>
        <v>45742.645833333299</v>
      </c>
      <c r="B925" s="1">
        <f ca="1">IFERROR(__xludf.DUMMYFUNCTION("""COMPUTED_VALUE"""),903.28)</f>
        <v>903.28</v>
      </c>
      <c r="C925" s="3">
        <f t="shared" ca="1" si="28"/>
        <v>-8.1802510074336469E-3</v>
      </c>
      <c r="D925">
        <f t="shared" ca="1" si="27"/>
        <v>850.10551020408161</v>
      </c>
    </row>
    <row r="926" spans="1:4" x14ac:dyDescent="0.25">
      <c r="A926" s="2">
        <f ca="1">IFERROR(__xludf.DUMMYFUNCTION("""COMPUTED_VALUE"""),45743.6458333333)</f>
        <v>45743.645833333299</v>
      </c>
      <c r="B926" s="1">
        <f ca="1">IFERROR(__xludf.DUMMYFUNCTION("""COMPUTED_VALUE"""),912.68)</f>
        <v>912.68</v>
      </c>
      <c r="C926" s="3">
        <f t="shared" ca="1" si="28"/>
        <v>1.040651846603487E-2</v>
      </c>
      <c r="D926">
        <f t="shared" ca="1" si="27"/>
        <v>851.73775510204075</v>
      </c>
    </row>
    <row r="927" spans="1:4" x14ac:dyDescent="0.25">
      <c r="A927" s="2">
        <f ca="1">IFERROR(__xludf.DUMMYFUNCTION("""COMPUTED_VALUE"""),45744.6458333333)</f>
        <v>45744.645833333299</v>
      </c>
      <c r="B927" s="1">
        <f ca="1">IFERROR(__xludf.DUMMYFUNCTION("""COMPUTED_VALUE"""),914.1)</f>
        <v>914.1</v>
      </c>
      <c r="C927" s="3">
        <f t="shared" ca="1" si="28"/>
        <v>1.555857474690004E-3</v>
      </c>
      <c r="D927">
        <f t="shared" ca="1" si="27"/>
        <v>853.59795918367342</v>
      </c>
    </row>
    <row r="928" spans="1:4" x14ac:dyDescent="0.25">
      <c r="A928" s="2">
        <f ca="1">IFERROR(__xludf.DUMMYFUNCTION("""COMPUTED_VALUE"""),45748.6458333333)</f>
        <v>45748.645833333299</v>
      </c>
      <c r="B928" s="1">
        <f ca="1">IFERROR(__xludf.DUMMYFUNCTION("""COMPUTED_VALUE"""),883.93)</f>
        <v>883.93</v>
      </c>
      <c r="C928" s="3">
        <f t="shared" ca="1" si="28"/>
        <v>-3.3005141669401675E-2</v>
      </c>
      <c r="D928">
        <f t="shared" ca="1" si="27"/>
        <v>855.39530612244869</v>
      </c>
    </row>
    <row r="929" spans="1:4" x14ac:dyDescent="0.25">
      <c r="A929" s="2">
        <f ca="1">IFERROR(__xludf.DUMMYFUNCTION("""COMPUTED_VALUE"""),45749.6458333333)</f>
        <v>45749.645833333299</v>
      </c>
      <c r="B929" s="1">
        <f ca="1">IFERROR(__xludf.DUMMYFUNCTION("""COMPUTED_VALUE"""),898.45)</f>
        <v>898.45</v>
      </c>
      <c r="C929" s="3">
        <f t="shared" ca="1" si="28"/>
        <v>1.6426640118561535E-2</v>
      </c>
      <c r="D929">
        <f t="shared" ca="1" si="27"/>
        <v>856.73306122448957</v>
      </c>
    </row>
    <row r="930" spans="1:4" x14ac:dyDescent="0.25">
      <c r="A930" s="2">
        <f ca="1">IFERROR(__xludf.DUMMYFUNCTION("""COMPUTED_VALUE"""),45750.6458333333)</f>
        <v>45750.645833333299</v>
      </c>
      <c r="B930" s="1">
        <f ca="1">IFERROR(__xludf.DUMMYFUNCTION("""COMPUTED_VALUE"""),897.43)</f>
        <v>897.43</v>
      </c>
      <c r="C930" s="3">
        <f t="shared" ca="1" si="28"/>
        <v>-1.1352885525072018E-3</v>
      </c>
      <c r="D930">
        <f t="shared" ca="1" si="27"/>
        <v>858.21918367346916</v>
      </c>
    </row>
    <row r="931" spans="1:4" x14ac:dyDescent="0.25">
      <c r="A931" s="2">
        <f ca="1">IFERROR(__xludf.DUMMYFUNCTION("""COMPUTED_VALUE"""),45751.6458333333)</f>
        <v>45751.645833333299</v>
      </c>
      <c r="B931" s="1">
        <f ca="1">IFERROR(__xludf.DUMMYFUNCTION("""COMPUTED_VALUE"""),908.65)</f>
        <v>908.65</v>
      </c>
      <c r="C931" s="3">
        <f t="shared" ca="1" si="28"/>
        <v>1.2502367872703195E-2</v>
      </c>
      <c r="D931">
        <f t="shared" ca="1" si="27"/>
        <v>859.77489795918359</v>
      </c>
    </row>
    <row r="932" spans="1:4" x14ac:dyDescent="0.25">
      <c r="A932" s="2">
        <f ca="1">IFERROR(__xludf.DUMMYFUNCTION("""COMPUTED_VALUE"""),45754.6458333333)</f>
        <v>45754.645833333299</v>
      </c>
      <c r="B932" s="1">
        <f ca="1">IFERROR(__xludf.DUMMYFUNCTION("""COMPUTED_VALUE"""),878.85)</f>
        <v>878.85</v>
      </c>
      <c r="C932" s="3">
        <f t="shared" ca="1" si="28"/>
        <v>-3.2795906014416946E-2</v>
      </c>
      <c r="D932">
        <f t="shared" ca="1" si="27"/>
        <v>861.318163265306</v>
      </c>
    </row>
    <row r="933" spans="1:4" x14ac:dyDescent="0.25">
      <c r="A933" s="2">
        <f ca="1">IFERROR(__xludf.DUMMYFUNCTION("""COMPUTED_VALUE"""),45755.6458333333)</f>
        <v>45755.645833333299</v>
      </c>
      <c r="B933" s="1">
        <f ca="1">IFERROR(__xludf.DUMMYFUNCTION("""COMPUTED_VALUE"""),884.58)</f>
        <v>884.58</v>
      </c>
      <c r="C933" s="3">
        <f t="shared" ca="1" si="28"/>
        <v>6.5198839392387985E-3</v>
      </c>
      <c r="D933">
        <f t="shared" ca="1" si="27"/>
        <v>862.26510204081626</v>
      </c>
    </row>
    <row r="934" spans="1:4" x14ac:dyDescent="0.25">
      <c r="A934" s="2">
        <f ca="1">IFERROR(__xludf.DUMMYFUNCTION("""COMPUTED_VALUE"""),45756.6458333333)</f>
        <v>45756.645833333299</v>
      </c>
      <c r="B934" s="1">
        <f ca="1">IFERROR(__xludf.DUMMYFUNCTION("""COMPUTED_VALUE"""),882.5)</f>
        <v>882.5</v>
      </c>
      <c r="C934" s="3">
        <f t="shared" ca="1" si="28"/>
        <v>-2.3513984037622838E-3</v>
      </c>
      <c r="D934">
        <f t="shared" ca="1" si="27"/>
        <v>863.4830612244898</v>
      </c>
    </row>
    <row r="935" spans="1:4" x14ac:dyDescent="0.25">
      <c r="A935" s="2">
        <f ca="1">IFERROR(__xludf.DUMMYFUNCTION("""COMPUTED_VALUE"""),45758.6458333333)</f>
        <v>45758.645833333299</v>
      </c>
      <c r="B935" s="1">
        <f ca="1">IFERROR(__xludf.DUMMYFUNCTION("""COMPUTED_VALUE"""),903.38)</f>
        <v>903.38</v>
      </c>
      <c r="C935" s="3">
        <f t="shared" ca="1" si="28"/>
        <v>2.3660056657223792E-2</v>
      </c>
      <c r="D935">
        <f t="shared" ca="1" si="27"/>
        <v>864.86265306122448</v>
      </c>
    </row>
    <row r="936" spans="1:4" x14ac:dyDescent="0.25">
      <c r="A936" s="2">
        <f ca="1">IFERROR(__xludf.DUMMYFUNCTION("""COMPUTED_VALUE"""),45762.6458333333)</f>
        <v>45762.645833333299</v>
      </c>
      <c r="B936" s="1">
        <f ca="1">IFERROR(__xludf.DUMMYFUNCTION("""COMPUTED_VALUE"""),932.45)</f>
        <v>932.45</v>
      </c>
      <c r="C936" s="3">
        <f t="shared" ca="1" si="28"/>
        <v>3.2179149416635355E-2</v>
      </c>
      <c r="D936">
        <f t="shared" ca="1" si="27"/>
        <v>866.25408163265297</v>
      </c>
    </row>
    <row r="937" spans="1:4" x14ac:dyDescent="0.25">
      <c r="A937" s="2">
        <f ca="1">IFERROR(__xludf.DUMMYFUNCTION("""COMPUTED_VALUE"""),45763.6458333333)</f>
        <v>45763.645833333299</v>
      </c>
      <c r="B937" s="1">
        <f ca="1">IFERROR(__xludf.DUMMYFUNCTION("""COMPUTED_VALUE"""),939)</f>
        <v>939</v>
      </c>
      <c r="C937" s="3">
        <f t="shared" ca="1" si="28"/>
        <v>7.024505335406675E-3</v>
      </c>
      <c r="D937">
        <f t="shared" ca="1" si="27"/>
        <v>868.16836734693868</v>
      </c>
    </row>
    <row r="938" spans="1:4" x14ac:dyDescent="0.25">
      <c r="A938" s="2">
        <f ca="1">IFERROR(__xludf.DUMMYFUNCTION("""COMPUTED_VALUE"""),45764.6458333333)</f>
        <v>45764.645833333299</v>
      </c>
      <c r="B938" s="1">
        <f ca="1">IFERROR(__xludf.DUMMYFUNCTION("""COMPUTED_VALUE"""),953.35)</f>
        <v>953.35</v>
      </c>
      <c r="C938" s="3">
        <f t="shared" ca="1" si="28"/>
        <v>1.5282215122470738E-2</v>
      </c>
      <c r="D938">
        <f t="shared" ca="1" si="27"/>
        <v>870.07142857142844</v>
      </c>
    </row>
    <row r="939" spans="1:4" x14ac:dyDescent="0.25">
      <c r="A939" s="2">
        <f ca="1">IFERROR(__xludf.DUMMYFUNCTION("""COMPUTED_VALUE"""),45768.6458333333)</f>
        <v>45768.645833333299</v>
      </c>
      <c r="B939" s="1">
        <f ca="1">IFERROR(__xludf.DUMMYFUNCTION("""COMPUTED_VALUE"""),963.55)</f>
        <v>963.55</v>
      </c>
      <c r="C939" s="3">
        <f t="shared" ca="1" si="28"/>
        <v>1.0699113651859162E-2</v>
      </c>
      <c r="D939">
        <f t="shared" ca="1" si="27"/>
        <v>872.19326530612227</v>
      </c>
    </row>
    <row r="940" spans="1:4" x14ac:dyDescent="0.25">
      <c r="A940" s="2">
        <f ca="1">IFERROR(__xludf.DUMMYFUNCTION("""COMPUTED_VALUE"""),45769.6458333333)</f>
        <v>45769.645833333299</v>
      </c>
      <c r="B940" s="1">
        <f ca="1">IFERROR(__xludf.DUMMYFUNCTION("""COMPUTED_VALUE"""),980.85)</f>
        <v>980.85</v>
      </c>
      <c r="C940" s="3">
        <f t="shared" ca="1" si="28"/>
        <v>1.7954439312957364E-2</v>
      </c>
      <c r="D940">
        <f t="shared" ca="1" si="27"/>
        <v>874.73510204081629</v>
      </c>
    </row>
    <row r="941" spans="1:4" x14ac:dyDescent="0.25">
      <c r="A941" s="2">
        <f ca="1">IFERROR(__xludf.DUMMYFUNCTION("""COMPUTED_VALUE"""),45770.6458333333)</f>
        <v>45770.645833333299</v>
      </c>
      <c r="B941" s="1">
        <f ca="1">IFERROR(__xludf.DUMMYFUNCTION("""COMPUTED_VALUE"""),961.95)</f>
        <v>961.95</v>
      </c>
      <c r="C941" s="3">
        <f t="shared" ca="1" si="28"/>
        <v>-1.9269001376357217E-2</v>
      </c>
      <c r="D941">
        <f t="shared" ca="1" si="27"/>
        <v>877.19224489795897</v>
      </c>
    </row>
    <row r="942" spans="1:4" x14ac:dyDescent="0.25">
      <c r="A942" s="2">
        <f ca="1">IFERROR(__xludf.DUMMYFUNCTION("""COMPUTED_VALUE"""),45771.6458333333)</f>
        <v>45771.645833333299</v>
      </c>
      <c r="B942" s="1">
        <f ca="1">IFERROR(__xludf.DUMMYFUNCTION("""COMPUTED_VALUE"""),958.4)</f>
        <v>958.4</v>
      </c>
      <c r="C942" s="3">
        <f t="shared" ca="1" si="28"/>
        <v>-3.6904205000260594E-3</v>
      </c>
      <c r="D942">
        <f t="shared" ca="1" si="27"/>
        <v>879.09122448979576</v>
      </c>
    </row>
    <row r="943" spans="1:4" x14ac:dyDescent="0.25">
      <c r="A943" s="2">
        <f ca="1">IFERROR(__xludf.DUMMYFUNCTION("""COMPUTED_VALUE"""),45772.6458333333)</f>
        <v>45772.645833333299</v>
      </c>
      <c r="B943" s="1">
        <f ca="1">IFERROR(__xludf.DUMMYFUNCTION("""COMPUTED_VALUE"""),955.6)</f>
        <v>955.6</v>
      </c>
      <c r="C943" s="3">
        <f t="shared" ca="1" si="28"/>
        <v>-2.9215358931552115E-3</v>
      </c>
      <c r="D943">
        <f t="shared" ca="1" si="27"/>
        <v>880.85591836734682</v>
      </c>
    </row>
    <row r="944" spans="1:4" x14ac:dyDescent="0.25">
      <c r="A944" s="2">
        <f ca="1">IFERROR(__xludf.DUMMYFUNCTION("""COMPUTED_VALUE"""),45775.6458333333)</f>
        <v>45775.645833333299</v>
      </c>
      <c r="B944" s="1">
        <f ca="1">IFERROR(__xludf.DUMMYFUNCTION("""COMPUTED_VALUE"""),960.1)</f>
        <v>960.1</v>
      </c>
      <c r="C944" s="3">
        <f t="shared" ca="1" si="28"/>
        <v>4.7090832984512344E-3</v>
      </c>
      <c r="D944">
        <f t="shared" ca="1" si="27"/>
        <v>882.67673469387751</v>
      </c>
    </row>
    <row r="945" spans="1:4" x14ac:dyDescent="0.25">
      <c r="A945" s="2">
        <f ca="1">IFERROR(__xludf.DUMMYFUNCTION("""COMPUTED_VALUE"""),45776.6458333333)</f>
        <v>45776.645833333299</v>
      </c>
      <c r="B945" s="1">
        <f ca="1">IFERROR(__xludf.DUMMYFUNCTION("""COMPUTED_VALUE"""),954.4)</f>
        <v>954.4</v>
      </c>
      <c r="C945" s="3">
        <f t="shared" ca="1" si="28"/>
        <v>-5.9368815748360015E-3</v>
      </c>
      <c r="D945">
        <f t="shared" ca="1" si="27"/>
        <v>884.76285714285689</v>
      </c>
    </row>
    <row r="946" spans="1:4" x14ac:dyDescent="0.25">
      <c r="A946" s="2">
        <f ca="1">IFERROR(__xludf.DUMMYFUNCTION("""COMPUTED_VALUE"""),45777.6458333333)</f>
        <v>45777.645833333299</v>
      </c>
      <c r="B946" s="1">
        <f ca="1">IFERROR(__xludf.DUMMYFUNCTION("""COMPUTED_VALUE"""),962.5)</f>
        <v>962.5</v>
      </c>
      <c r="C946" s="3">
        <f t="shared" ca="1" si="28"/>
        <v>8.4870075440067298E-3</v>
      </c>
      <c r="D946">
        <f t="shared" ca="1" si="27"/>
        <v>886.87918367346924</v>
      </c>
    </row>
    <row r="947" spans="1:4" x14ac:dyDescent="0.25">
      <c r="A947" s="2">
        <f ca="1">IFERROR(__xludf.DUMMYFUNCTION("""COMPUTED_VALUE"""),45779.6458333333)</f>
        <v>45779.645833333299</v>
      </c>
      <c r="B947" s="1">
        <f ca="1">IFERROR(__xludf.DUMMYFUNCTION("""COMPUTED_VALUE"""),962.5)</f>
        <v>962.5</v>
      </c>
      <c r="C947" s="3">
        <f t="shared" ca="1" si="28"/>
        <v>0</v>
      </c>
      <c r="D947">
        <f t="shared" ca="1" si="27"/>
        <v>889.10571428571416</v>
      </c>
    </row>
    <row r="948" spans="1:4" x14ac:dyDescent="0.25">
      <c r="A948" s="2">
        <f ca="1">IFERROR(__xludf.DUMMYFUNCTION("""COMPUTED_VALUE"""),45782.6458333333)</f>
        <v>45782.645833333299</v>
      </c>
      <c r="B948" s="1">
        <f ca="1">IFERROR(__xludf.DUMMYFUNCTION("""COMPUTED_VALUE"""),968.4)</f>
        <v>968.4</v>
      </c>
      <c r="C948" s="3">
        <f t="shared" ca="1" si="28"/>
        <v>6.1298701298701059E-3</v>
      </c>
      <c r="D948">
        <f t="shared" ref="D948:D1011" ca="1" si="29">AVERAGE(B899:B947)</f>
        <v>891.42510204081623</v>
      </c>
    </row>
    <row r="949" spans="1:4" x14ac:dyDescent="0.25">
      <c r="A949" s="2">
        <f ca="1">IFERROR(__xludf.DUMMYFUNCTION("""COMPUTED_VALUE"""),45783.6458333333)</f>
        <v>45783.645833333299</v>
      </c>
      <c r="B949" s="1">
        <f ca="1">IFERROR(__xludf.DUMMYFUNCTION("""COMPUTED_VALUE"""),965.85)</f>
        <v>965.85</v>
      </c>
      <c r="C949" s="3">
        <f t="shared" ca="1" si="28"/>
        <v>-2.6332094175959878E-3</v>
      </c>
      <c r="D949">
        <f t="shared" ca="1" si="29"/>
        <v>893.8938775510203</v>
      </c>
    </row>
    <row r="950" spans="1:4" x14ac:dyDescent="0.25">
      <c r="A950" s="2">
        <f ca="1">IFERROR(__xludf.DUMMYFUNCTION("""COMPUTED_VALUE"""),45784.6458333333)</f>
        <v>45784.645833333299</v>
      </c>
      <c r="B950" s="1">
        <f ca="1">IFERROR(__xludf.DUMMYFUNCTION("""COMPUTED_VALUE"""),972.8)</f>
        <v>972.8</v>
      </c>
      <c r="C950" s="3">
        <f t="shared" ca="1" si="28"/>
        <v>7.1957343272764217E-3</v>
      </c>
      <c r="D950">
        <f t="shared" ca="1" si="29"/>
        <v>896.08102040816334</v>
      </c>
    </row>
    <row r="951" spans="1:4" x14ac:dyDescent="0.25">
      <c r="A951" s="2">
        <f ca="1">IFERROR(__xludf.DUMMYFUNCTION("""COMPUTED_VALUE"""),45785.6458333333)</f>
        <v>45785.645833333299</v>
      </c>
      <c r="B951" s="1">
        <f ca="1">IFERROR(__xludf.DUMMYFUNCTION("""COMPUTED_VALUE"""),964.25)</f>
        <v>964.25</v>
      </c>
      <c r="C951" s="3">
        <f t="shared" ca="1" si="28"/>
        <v>-8.7890624999999532E-3</v>
      </c>
      <c r="D951">
        <f t="shared" ca="1" si="29"/>
        <v>898.35183673469385</v>
      </c>
    </row>
    <row r="952" spans="1:4" x14ac:dyDescent="0.25">
      <c r="A952" s="2">
        <f ca="1">IFERROR(__xludf.DUMMYFUNCTION("""COMPUTED_VALUE"""),45786.6458333333)</f>
        <v>45786.645833333299</v>
      </c>
      <c r="B952" s="1">
        <f ca="1">IFERROR(__xludf.DUMMYFUNCTION("""COMPUTED_VALUE"""),944.85)</f>
        <v>944.85</v>
      </c>
      <c r="C952" s="3">
        <f t="shared" ca="1" si="28"/>
        <v>-2.0119263676432436E-2</v>
      </c>
      <c r="D952">
        <f t="shared" ca="1" si="29"/>
        <v>900.40591836734689</v>
      </c>
    </row>
    <row r="953" spans="1:4" x14ac:dyDescent="0.25">
      <c r="A953" s="2">
        <f ca="1">IFERROR(__xludf.DUMMYFUNCTION("""COMPUTED_VALUE"""),45789.6458333333)</f>
        <v>45789.645833333299</v>
      </c>
      <c r="B953" s="1">
        <f ca="1">IFERROR(__xludf.DUMMYFUNCTION("""COMPUTED_VALUE"""),978.6)</f>
        <v>978.6</v>
      </c>
      <c r="C953" s="3">
        <f t="shared" ca="1" si="28"/>
        <v>3.5719955548499764E-2</v>
      </c>
      <c r="D953">
        <f t="shared" ca="1" si="29"/>
        <v>902.47326530612236</v>
      </c>
    </row>
    <row r="954" spans="1:4" x14ac:dyDescent="0.25">
      <c r="A954" s="2">
        <f ca="1">IFERROR(__xludf.DUMMYFUNCTION("""COMPUTED_VALUE"""),45790.6458333333)</f>
        <v>45790.645833333299</v>
      </c>
      <c r="B954" s="1">
        <f ca="1">IFERROR(__xludf.DUMMYFUNCTION("""COMPUTED_VALUE"""),961.3)</f>
        <v>961.3</v>
      </c>
      <c r="C954" s="3">
        <f t="shared" ca="1" si="28"/>
        <v>-1.7678315961577835E-2</v>
      </c>
      <c r="D954">
        <f t="shared" ca="1" si="29"/>
        <v>905.1742857142857</v>
      </c>
    </row>
    <row r="955" spans="1:4" x14ac:dyDescent="0.25">
      <c r="A955" s="2">
        <f ca="1">IFERROR(__xludf.DUMMYFUNCTION("""COMPUTED_VALUE"""),45791.6458333333)</f>
        <v>45791.645833333299</v>
      </c>
      <c r="B955" s="1">
        <f ca="1">IFERROR(__xludf.DUMMYFUNCTION("""COMPUTED_VALUE"""),955.3)</f>
        <v>955.3</v>
      </c>
      <c r="C955" s="3">
        <f t="shared" ca="1" si="28"/>
        <v>-6.2415479038801626E-3</v>
      </c>
      <c r="D955">
        <f t="shared" ca="1" si="29"/>
        <v>907.67938775510208</v>
      </c>
    </row>
    <row r="956" spans="1:4" x14ac:dyDescent="0.25">
      <c r="A956" s="2">
        <f ca="1">IFERROR(__xludf.DUMMYFUNCTION("""COMPUTED_VALUE"""),45792.6458333333)</f>
        <v>45792.645833333299</v>
      </c>
      <c r="B956" s="1">
        <f ca="1">IFERROR(__xludf.DUMMYFUNCTION("""COMPUTED_VALUE"""),966.9)</f>
        <v>966.9</v>
      </c>
      <c r="C956" s="3">
        <f t="shared" ca="1" si="28"/>
        <v>1.2142782372029754E-2</v>
      </c>
      <c r="D956">
        <f t="shared" ca="1" si="29"/>
        <v>910.00836734693894</v>
      </c>
    </row>
    <row r="957" spans="1:4" x14ac:dyDescent="0.25">
      <c r="A957" s="2">
        <f ca="1">IFERROR(__xludf.DUMMYFUNCTION("""COMPUTED_VALUE"""),45793.6458333333)</f>
        <v>45793.645833333299</v>
      </c>
      <c r="B957" s="1">
        <f ca="1">IFERROR(__xludf.DUMMYFUNCTION("""COMPUTED_VALUE"""),967.35)</f>
        <v>967.35</v>
      </c>
      <c r="C957" s="3">
        <f t="shared" ca="1" si="28"/>
        <v>4.6540490226501757E-4</v>
      </c>
      <c r="D957">
        <f t="shared" ca="1" si="29"/>
        <v>912.38693877551032</v>
      </c>
    </row>
    <row r="958" spans="1:4" x14ac:dyDescent="0.25">
      <c r="A958" s="2">
        <f ca="1">IFERROR(__xludf.DUMMYFUNCTION("""COMPUTED_VALUE"""),45796.6458333333)</f>
        <v>45796.645833333299</v>
      </c>
      <c r="B958" s="1">
        <f ca="1">IFERROR(__xludf.DUMMYFUNCTION("""COMPUTED_VALUE"""),969.35)</f>
        <v>969.35</v>
      </c>
      <c r="C958" s="3">
        <f t="shared" ca="1" si="28"/>
        <v>2.0675040057890112E-3</v>
      </c>
      <c r="D958">
        <f t="shared" ca="1" si="29"/>
        <v>914.45122448979612</v>
      </c>
    </row>
    <row r="959" spans="1:4" x14ac:dyDescent="0.25">
      <c r="A959" s="2">
        <f ca="1">IFERROR(__xludf.DUMMYFUNCTION("""COMPUTED_VALUE"""),45797.6458333333)</f>
        <v>45797.645833333299</v>
      </c>
      <c r="B959" s="1">
        <f ca="1">IFERROR(__xludf.DUMMYFUNCTION("""COMPUTED_VALUE"""),957.45)</f>
        <v>957.45</v>
      </c>
      <c r="C959" s="3">
        <f t="shared" ca="1" si="28"/>
        <v>-1.2276267602001317E-2</v>
      </c>
      <c r="D959">
        <f t="shared" ca="1" si="29"/>
        <v>916.8710204081633</v>
      </c>
    </row>
    <row r="960" spans="1:4" x14ac:dyDescent="0.25">
      <c r="A960" s="2">
        <f ca="1">IFERROR(__xludf.DUMMYFUNCTION("""COMPUTED_VALUE"""),45798.6458333333)</f>
        <v>45798.645833333299</v>
      </c>
      <c r="B960" s="1">
        <f ca="1">IFERROR(__xludf.DUMMYFUNCTION("""COMPUTED_VALUE"""),963.4)</f>
        <v>963.4</v>
      </c>
      <c r="C960" s="3">
        <f t="shared" ca="1" si="28"/>
        <v>6.2144237296986073E-3</v>
      </c>
      <c r="D960">
        <f t="shared" ca="1" si="29"/>
        <v>918.96183673469386</v>
      </c>
    </row>
    <row r="961" spans="1:4" x14ac:dyDescent="0.25">
      <c r="A961" s="2">
        <f ca="1">IFERROR(__xludf.DUMMYFUNCTION("""COMPUTED_VALUE"""),45799.6458333333)</f>
        <v>45799.645833333299</v>
      </c>
      <c r="B961" s="1">
        <f ca="1">IFERROR(__xludf.DUMMYFUNCTION("""COMPUTED_VALUE"""),959.95)</f>
        <v>959.95</v>
      </c>
      <c r="C961" s="3">
        <f t="shared" ca="1" si="28"/>
        <v>-3.5810670541830307E-3</v>
      </c>
      <c r="D961">
        <f t="shared" ca="1" si="29"/>
        <v>921.37816326530628</v>
      </c>
    </row>
    <row r="962" spans="1:4" x14ac:dyDescent="0.25">
      <c r="A962" s="2">
        <f ca="1">IFERROR(__xludf.DUMMYFUNCTION("""COMPUTED_VALUE"""),45800.6458333333)</f>
        <v>45800.645833333299</v>
      </c>
      <c r="B962" s="1">
        <f ca="1">IFERROR(__xludf.DUMMYFUNCTION("""COMPUTED_VALUE"""),966.8)</f>
        <v>966.8</v>
      </c>
      <c r="C962" s="3">
        <f t="shared" ca="1" si="28"/>
        <v>7.1357883223083585E-3</v>
      </c>
      <c r="D962">
        <f t="shared" ca="1" si="29"/>
        <v>923.71183673469397</v>
      </c>
    </row>
    <row r="963" spans="1:4" x14ac:dyDescent="0.25">
      <c r="A963" s="2">
        <f ca="1">IFERROR(__xludf.DUMMYFUNCTION("""COMPUTED_VALUE"""),45803.6458333333)</f>
        <v>45803.645833333299</v>
      </c>
      <c r="B963" s="1">
        <f ca="1">IFERROR(__xludf.DUMMYFUNCTION("""COMPUTED_VALUE"""),970.1)</f>
        <v>970.1</v>
      </c>
      <c r="C963" s="3">
        <f t="shared" ca="1" si="28"/>
        <v>3.413322300372433E-3</v>
      </c>
      <c r="D963">
        <f t="shared" ca="1" si="29"/>
        <v>926.20510204081654</v>
      </c>
    </row>
    <row r="964" spans="1:4" x14ac:dyDescent="0.25">
      <c r="A964" s="2">
        <f ca="1">IFERROR(__xludf.DUMMYFUNCTION("""COMPUTED_VALUE"""),45804.6458333333)</f>
        <v>45804.645833333299</v>
      </c>
      <c r="B964" s="1">
        <f ca="1">IFERROR(__xludf.DUMMYFUNCTION("""COMPUTED_VALUE"""),963.15)</f>
        <v>963.15</v>
      </c>
      <c r="C964" s="3">
        <f t="shared" ref="C964:C1027" ca="1" si="30">(B964-B963)/B963</f>
        <v>-7.1642098752706376E-3</v>
      </c>
      <c r="D964">
        <f t="shared" ca="1" si="29"/>
        <v>928.78367346938774</v>
      </c>
    </row>
    <row r="965" spans="1:4" x14ac:dyDescent="0.25">
      <c r="A965" s="2">
        <f ca="1">IFERROR(__xludf.DUMMYFUNCTION("""COMPUTED_VALUE"""),45805.6458333333)</f>
        <v>45805.645833333299</v>
      </c>
      <c r="B965" s="1">
        <f ca="1">IFERROR(__xludf.DUMMYFUNCTION("""COMPUTED_VALUE"""),961.75)</f>
        <v>961.75</v>
      </c>
      <c r="C965" s="3">
        <f t="shared" ca="1" si="30"/>
        <v>-1.4535638270258811E-3</v>
      </c>
      <c r="D965">
        <f t="shared" ca="1" si="29"/>
        <v>931.24081632653065</v>
      </c>
    </row>
    <row r="966" spans="1:4" x14ac:dyDescent="0.25">
      <c r="A966" s="2">
        <f ca="1">IFERROR(__xludf.DUMMYFUNCTION("""COMPUTED_VALUE"""),45806.6458333333)</f>
        <v>45806.645833333299</v>
      </c>
      <c r="B966" s="1">
        <f ca="1">IFERROR(__xludf.DUMMYFUNCTION("""COMPUTED_VALUE"""),963.75)</f>
        <v>963.75</v>
      </c>
      <c r="C966" s="3">
        <f t="shared" ca="1" si="30"/>
        <v>2.0795425006498568E-3</v>
      </c>
      <c r="D966">
        <f t="shared" ca="1" si="29"/>
        <v>933.40755102040816</v>
      </c>
    </row>
    <row r="967" spans="1:4" x14ac:dyDescent="0.25">
      <c r="A967" s="2">
        <f ca="1">IFERROR(__xludf.DUMMYFUNCTION("""COMPUTED_VALUE"""),45807.6458333333)</f>
        <v>45807.645833333299</v>
      </c>
      <c r="B967" s="1">
        <f ca="1">IFERROR(__xludf.DUMMYFUNCTION("""COMPUTED_VALUE"""),972.45)</f>
        <v>972.45</v>
      </c>
      <c r="C967" s="3">
        <f t="shared" ca="1" si="30"/>
        <v>9.0272373540856501E-3</v>
      </c>
      <c r="D967">
        <f t="shared" ca="1" si="29"/>
        <v>935.66163265306113</v>
      </c>
    </row>
    <row r="968" spans="1:4" x14ac:dyDescent="0.25">
      <c r="A968" s="2">
        <f ca="1">IFERROR(__xludf.DUMMYFUNCTION("""COMPUTED_VALUE"""),45810.6458333333)</f>
        <v>45810.645833333299</v>
      </c>
      <c r="B968" s="1">
        <f ca="1">IFERROR(__xludf.DUMMYFUNCTION("""COMPUTED_VALUE"""),966.05)</f>
        <v>966.05</v>
      </c>
      <c r="C968" s="3">
        <f t="shared" ca="1" si="30"/>
        <v>-6.5813152347165308E-3</v>
      </c>
      <c r="D968">
        <f t="shared" ca="1" si="29"/>
        <v>938.05448979591813</v>
      </c>
    </row>
    <row r="969" spans="1:4" x14ac:dyDescent="0.25">
      <c r="A969" s="2">
        <f ca="1">IFERROR(__xludf.DUMMYFUNCTION("""COMPUTED_VALUE"""),45811.6458333333)</f>
        <v>45811.645833333299</v>
      </c>
      <c r="B969" s="1">
        <f ca="1">IFERROR(__xludf.DUMMYFUNCTION("""COMPUTED_VALUE"""),962.3)</f>
        <v>962.3</v>
      </c>
      <c r="C969" s="3">
        <f t="shared" ca="1" si="30"/>
        <v>-3.8817866570053311E-3</v>
      </c>
      <c r="D969">
        <f t="shared" ca="1" si="29"/>
        <v>940.09428571428566</v>
      </c>
    </row>
    <row r="970" spans="1:4" x14ac:dyDescent="0.25">
      <c r="A970" s="2">
        <f ca="1">IFERROR(__xludf.DUMMYFUNCTION("""COMPUTED_VALUE"""),45812.6458333333)</f>
        <v>45812.645833333299</v>
      </c>
      <c r="B970" s="1">
        <f ca="1">IFERROR(__xludf.DUMMYFUNCTION("""COMPUTED_VALUE"""),970.6)</f>
        <v>970.6</v>
      </c>
      <c r="C970" s="3">
        <f t="shared" ca="1" si="30"/>
        <v>8.6251688662579949E-3</v>
      </c>
      <c r="D970">
        <f t="shared" ca="1" si="29"/>
        <v>941.93612244897952</v>
      </c>
    </row>
    <row r="971" spans="1:4" x14ac:dyDescent="0.25">
      <c r="A971" s="2">
        <f ca="1">IFERROR(__xludf.DUMMYFUNCTION("""COMPUTED_VALUE"""),45813.6458333333)</f>
        <v>45813.645833333299</v>
      </c>
      <c r="B971" s="1">
        <f ca="1">IFERROR(__xludf.DUMMYFUNCTION("""COMPUTED_VALUE"""),974.8)</f>
        <v>974.8</v>
      </c>
      <c r="C971" s="3">
        <f t="shared" ca="1" si="30"/>
        <v>4.327220276117795E-3</v>
      </c>
      <c r="D971">
        <f t="shared" ca="1" si="29"/>
        <v>943.69571428571419</v>
      </c>
    </row>
    <row r="972" spans="1:4" x14ac:dyDescent="0.25">
      <c r="A972" s="2">
        <f ca="1">IFERROR(__xludf.DUMMYFUNCTION("""COMPUTED_VALUE"""),45814.6458333333)</f>
        <v>45814.645833333299</v>
      </c>
      <c r="B972" s="1">
        <f ca="1">IFERROR(__xludf.DUMMYFUNCTION("""COMPUTED_VALUE"""),989.35)</f>
        <v>989.35</v>
      </c>
      <c r="C972" s="3">
        <f t="shared" ca="1" si="30"/>
        <v>1.4926138695117018E-2</v>
      </c>
      <c r="D972">
        <f t="shared" ca="1" si="29"/>
        <v>945.52469387755104</v>
      </c>
    </row>
    <row r="973" spans="1:4" x14ac:dyDescent="0.25">
      <c r="A973" s="2">
        <f ca="1">IFERROR(__xludf.DUMMYFUNCTION("""COMPUTED_VALUE"""),45817.6458333333)</f>
        <v>45817.645833333299</v>
      </c>
      <c r="B973" s="1">
        <f ca="1">IFERROR(__xludf.DUMMYFUNCTION("""COMPUTED_VALUE"""),989.45)</f>
        <v>989.45</v>
      </c>
      <c r="C973" s="3">
        <f t="shared" ca="1" si="30"/>
        <v>1.0107646434530019E-4</v>
      </c>
      <c r="D973">
        <f t="shared" ca="1" si="29"/>
        <v>947.34816326530608</v>
      </c>
    </row>
    <row r="974" spans="1:4" x14ac:dyDescent="0.25">
      <c r="A974" s="2">
        <f ca="1">IFERROR(__xludf.DUMMYFUNCTION("""COMPUTED_VALUE"""),45818.6458333333)</f>
        <v>45818.645833333299</v>
      </c>
      <c r="B974" s="1">
        <f ca="1">IFERROR(__xludf.DUMMYFUNCTION("""COMPUTED_VALUE"""),982.65)</f>
        <v>982.65</v>
      </c>
      <c r="C974" s="3">
        <f t="shared" ca="1" si="30"/>
        <v>-6.8725049269797037E-3</v>
      </c>
      <c r="D974">
        <f t="shared" ca="1" si="29"/>
        <v>948.95469387755088</v>
      </c>
    </row>
    <row r="975" spans="1:4" x14ac:dyDescent="0.25">
      <c r="A975" s="2">
        <f ca="1">IFERROR(__xludf.DUMMYFUNCTION("""COMPUTED_VALUE"""),45819.6458333333)</f>
        <v>45819.645833333299</v>
      </c>
      <c r="B975" s="1">
        <f ca="1">IFERROR(__xludf.DUMMYFUNCTION("""COMPUTED_VALUE"""),975.2)</f>
        <v>975.2</v>
      </c>
      <c r="C975" s="3">
        <f t="shared" ca="1" si="30"/>
        <v>-7.5815397140385002E-3</v>
      </c>
      <c r="D975">
        <f t="shared" ca="1" si="29"/>
        <v>950.57448979591823</v>
      </c>
    </row>
    <row r="976" spans="1:4" x14ac:dyDescent="0.25">
      <c r="A976" s="2">
        <f ca="1">IFERROR(__xludf.DUMMYFUNCTION("""COMPUTED_VALUE"""),45820.6458333333)</f>
        <v>45820.645833333299</v>
      </c>
      <c r="B976" s="1">
        <f ca="1">IFERROR(__xludf.DUMMYFUNCTION("""COMPUTED_VALUE"""),971.7)</f>
        <v>971.7</v>
      </c>
      <c r="C976" s="3">
        <f t="shared" ca="1" si="30"/>
        <v>-3.5890073831009021E-3</v>
      </c>
      <c r="D976">
        <f t="shared" ca="1" si="29"/>
        <v>951.85040816326523</v>
      </c>
    </row>
    <row r="977" spans="1:4" x14ac:dyDescent="0.25">
      <c r="A977" s="2">
        <f ca="1">IFERROR(__xludf.DUMMYFUNCTION("""COMPUTED_VALUE"""),45821.6458333333)</f>
        <v>45821.645833333299</v>
      </c>
      <c r="B977" s="1">
        <f ca="1">IFERROR(__xludf.DUMMYFUNCTION("""COMPUTED_VALUE"""),958.8)</f>
        <v>958.8</v>
      </c>
      <c r="C977" s="3">
        <f t="shared" ca="1" si="30"/>
        <v>-1.3275702377277031E-2</v>
      </c>
      <c r="D977">
        <f t="shared" ca="1" si="29"/>
        <v>953.02591836734689</v>
      </c>
    </row>
    <row r="978" spans="1:4" x14ac:dyDescent="0.25">
      <c r="A978" s="2">
        <f ca="1">IFERROR(__xludf.DUMMYFUNCTION("""COMPUTED_VALUE"""),45824.6458333333)</f>
        <v>45824.645833333299</v>
      </c>
      <c r="B978" s="1">
        <f ca="1">IFERROR(__xludf.DUMMYFUNCTION("""COMPUTED_VALUE"""),967.7)</f>
        <v>967.7</v>
      </c>
      <c r="C978" s="3">
        <f t="shared" ca="1" si="30"/>
        <v>9.282436378806937E-3</v>
      </c>
      <c r="D978">
        <f t="shared" ca="1" si="29"/>
        <v>954.55387755102026</v>
      </c>
    </row>
    <row r="979" spans="1:4" x14ac:dyDescent="0.25">
      <c r="A979" s="2">
        <f ca="1">IFERROR(__xludf.DUMMYFUNCTION("""COMPUTED_VALUE"""),45825.6458333333)</f>
        <v>45825.645833333299</v>
      </c>
      <c r="B979" s="1">
        <f ca="1">IFERROR(__xludf.DUMMYFUNCTION("""COMPUTED_VALUE"""),964.8)</f>
        <v>964.8</v>
      </c>
      <c r="C979" s="3">
        <f t="shared" ca="1" si="30"/>
        <v>-2.9967965278496341E-3</v>
      </c>
      <c r="D979">
        <f t="shared" ca="1" si="29"/>
        <v>955.96714285714268</v>
      </c>
    </row>
    <row r="980" spans="1:4" x14ac:dyDescent="0.25">
      <c r="A980" s="2">
        <f ca="1">IFERROR(__xludf.DUMMYFUNCTION("""COMPUTED_VALUE"""),45826.6458333333)</f>
        <v>45826.645833333299</v>
      </c>
      <c r="B980" s="1">
        <f ca="1">IFERROR(__xludf.DUMMYFUNCTION("""COMPUTED_VALUE"""),966.95)</f>
        <v>966.95</v>
      </c>
      <c r="C980" s="3">
        <f t="shared" ca="1" si="30"/>
        <v>2.2284411276949534E-3</v>
      </c>
      <c r="D980">
        <f t="shared" ca="1" si="29"/>
        <v>957.3420408163264</v>
      </c>
    </row>
    <row r="981" spans="1:4" x14ac:dyDescent="0.25">
      <c r="A981" s="2">
        <f ca="1">IFERROR(__xludf.DUMMYFUNCTION("""COMPUTED_VALUE"""),45827.6458333333)</f>
        <v>45827.645833333299</v>
      </c>
      <c r="B981" s="1">
        <f ca="1">IFERROR(__xludf.DUMMYFUNCTION("""COMPUTED_VALUE"""),967.65)</f>
        <v>967.65</v>
      </c>
      <c r="C981" s="3">
        <f t="shared" ca="1" si="30"/>
        <v>7.2392574590199256E-4</v>
      </c>
      <c r="D981">
        <f t="shared" ca="1" si="29"/>
        <v>958.53183673469368</v>
      </c>
    </row>
    <row r="982" spans="1:4" x14ac:dyDescent="0.25">
      <c r="A982" s="2">
        <f ca="1">IFERROR(__xludf.DUMMYFUNCTION("""COMPUTED_VALUE"""),45828.6458333333)</f>
        <v>45828.645833333299</v>
      </c>
      <c r="B982" s="1">
        <f ca="1">IFERROR(__xludf.DUMMYFUNCTION("""COMPUTED_VALUE"""),982.35)</f>
        <v>982.35</v>
      </c>
      <c r="C982" s="3">
        <f t="shared" ca="1" si="30"/>
        <v>1.5191443187102822E-2</v>
      </c>
      <c r="D982">
        <f t="shared" ca="1" si="29"/>
        <v>960.34408163265289</v>
      </c>
    </row>
    <row r="983" spans="1:4" x14ac:dyDescent="0.25">
      <c r="A983" s="2">
        <f ca="1">IFERROR(__xludf.DUMMYFUNCTION("""COMPUTED_VALUE"""),45831.6458333333)</f>
        <v>45831.645833333299</v>
      </c>
      <c r="B983" s="1">
        <f ca="1">IFERROR(__xludf.DUMMYFUNCTION("""COMPUTED_VALUE"""),974.2)</f>
        <v>974.2</v>
      </c>
      <c r="C983" s="3">
        <f t="shared" ca="1" si="30"/>
        <v>-8.296432025245562E-3</v>
      </c>
      <c r="D983">
        <f t="shared" ca="1" si="29"/>
        <v>962.33938775510194</v>
      </c>
    </row>
    <row r="984" spans="1:4" x14ac:dyDescent="0.25">
      <c r="A984" s="2">
        <f ca="1">IFERROR(__xludf.DUMMYFUNCTION("""COMPUTED_VALUE"""),45832.6458333333)</f>
        <v>45832.645833333299</v>
      </c>
      <c r="B984" s="1">
        <f ca="1">IFERROR(__xludf.DUMMYFUNCTION("""COMPUTED_VALUE"""),980.45)</f>
        <v>980.45</v>
      </c>
      <c r="C984" s="3">
        <f t="shared" ca="1" si="30"/>
        <v>6.415520427017039E-3</v>
      </c>
      <c r="D984">
        <f t="shared" ca="1" si="29"/>
        <v>964.21081632653033</v>
      </c>
    </row>
    <row r="985" spans="1:4" x14ac:dyDescent="0.25">
      <c r="A985" s="2">
        <f ca="1">IFERROR(__xludf.DUMMYFUNCTION("""COMPUTED_VALUE"""),45833.6458333333)</f>
        <v>45833.645833333299</v>
      </c>
      <c r="B985" s="1">
        <f ca="1">IFERROR(__xludf.DUMMYFUNCTION("""COMPUTED_VALUE"""),990.1)</f>
        <v>990.1</v>
      </c>
      <c r="C985" s="3">
        <f t="shared" ca="1" si="30"/>
        <v>9.8424192972614375E-3</v>
      </c>
      <c r="D985">
        <f t="shared" ca="1" si="29"/>
        <v>965.78367346938751</v>
      </c>
    </row>
    <row r="986" spans="1:4" x14ac:dyDescent="0.25">
      <c r="A986" s="2">
        <f ca="1">IFERROR(__xludf.DUMMYFUNCTION("""COMPUTED_VALUE"""),45834.6458333333)</f>
        <v>45834.645833333299</v>
      </c>
      <c r="B986" s="1">
        <f ca="1">IFERROR(__xludf.DUMMYFUNCTION("""COMPUTED_VALUE"""),1010.9)</f>
        <v>1010.9</v>
      </c>
      <c r="C986" s="3">
        <f t="shared" ca="1" si="30"/>
        <v>2.1007978992020962E-2</v>
      </c>
      <c r="D986">
        <f t="shared" ca="1" si="29"/>
        <v>966.96020408163224</v>
      </c>
    </row>
    <row r="987" spans="1:4" x14ac:dyDescent="0.25">
      <c r="A987" s="2">
        <f ca="1">IFERROR(__xludf.DUMMYFUNCTION("""COMPUTED_VALUE"""),45835.6458333333)</f>
        <v>45835.645833333299</v>
      </c>
      <c r="B987" s="1">
        <f ca="1">IFERROR(__xludf.DUMMYFUNCTION("""COMPUTED_VALUE"""),1007.45)</f>
        <v>1007.45</v>
      </c>
      <c r="C987" s="3">
        <f t="shared" ca="1" si="30"/>
        <v>-3.4128004748243466E-3</v>
      </c>
      <c r="D987">
        <f t="shared" ca="1" si="29"/>
        <v>968.4275510204078</v>
      </c>
    </row>
    <row r="988" spans="1:4" x14ac:dyDescent="0.25">
      <c r="A988" s="2">
        <f ca="1">IFERROR(__xludf.DUMMYFUNCTION("""COMPUTED_VALUE"""),45838.6458333333)</f>
        <v>45838.645833333299</v>
      </c>
      <c r="B988" s="1">
        <f ca="1">IFERROR(__xludf.DUMMYFUNCTION("""COMPUTED_VALUE"""),1000.75)</f>
        <v>1000.75</v>
      </c>
      <c r="C988" s="3">
        <f t="shared" ca="1" si="30"/>
        <v>-6.6504541168296641E-3</v>
      </c>
      <c r="D988">
        <f t="shared" ca="1" si="29"/>
        <v>969.5316326530608</v>
      </c>
    </row>
    <row r="989" spans="1:4" x14ac:dyDescent="0.25">
      <c r="A989" s="2">
        <f ca="1">IFERROR(__xludf.DUMMYFUNCTION("""COMPUTED_VALUE"""),45839.6458333333)</f>
        <v>45839.645833333299</v>
      </c>
      <c r="B989" s="1">
        <f ca="1">IFERROR(__xludf.DUMMYFUNCTION("""COMPUTED_VALUE"""),1006.05)</f>
        <v>1006.05</v>
      </c>
      <c r="C989" s="3">
        <f t="shared" ca="1" si="30"/>
        <v>5.2960279790156923E-3</v>
      </c>
      <c r="D989">
        <f t="shared" ca="1" si="29"/>
        <v>970.29081632653015</v>
      </c>
    </row>
    <row r="990" spans="1:4" x14ac:dyDescent="0.25">
      <c r="A990" s="2">
        <f ca="1">IFERROR(__xludf.DUMMYFUNCTION("""COMPUTED_VALUE"""),45840.6458333333)</f>
        <v>45840.645833333299</v>
      </c>
      <c r="B990" s="1">
        <f ca="1">IFERROR(__xludf.DUMMYFUNCTION("""COMPUTED_VALUE"""),993)</f>
        <v>993</v>
      </c>
      <c r="C990" s="3">
        <f t="shared" ca="1" si="30"/>
        <v>-1.2971522290144581E-2</v>
      </c>
      <c r="D990">
        <f t="shared" ca="1" si="29"/>
        <v>970.805102040816</v>
      </c>
    </row>
    <row r="991" spans="1:4" x14ac:dyDescent="0.25">
      <c r="A991" s="2">
        <f ca="1">IFERROR(__xludf.DUMMYFUNCTION("""COMPUTED_VALUE"""),45841.6458333333)</f>
        <v>45841.645833333299</v>
      </c>
      <c r="B991" s="1">
        <f ca="1">IFERROR(__xludf.DUMMYFUNCTION("""COMPUTED_VALUE"""),993.55)</f>
        <v>993.55</v>
      </c>
      <c r="C991" s="3">
        <f t="shared" ca="1" si="30"/>
        <v>5.5387713997981326E-4</v>
      </c>
      <c r="D991">
        <f t="shared" ca="1" si="29"/>
        <v>971.43877551020375</v>
      </c>
    </row>
    <row r="992" spans="1:4" x14ac:dyDescent="0.25">
      <c r="A992" s="2">
        <f ca="1">IFERROR(__xludf.DUMMYFUNCTION("""COMPUTED_VALUE"""),45842.6458333333)</f>
        <v>45842.645833333299</v>
      </c>
      <c r="B992" s="1">
        <f ca="1">IFERROR(__xludf.DUMMYFUNCTION("""COMPUTED_VALUE"""),994.65)</f>
        <v>994.65</v>
      </c>
      <c r="C992" s="3">
        <f t="shared" ca="1" si="30"/>
        <v>1.1071410598359648E-3</v>
      </c>
      <c r="D992">
        <f t="shared" ca="1" si="29"/>
        <v>972.15612244897943</v>
      </c>
    </row>
    <row r="993" spans="1:4" x14ac:dyDescent="0.25">
      <c r="A993" s="2">
        <f ca="1">IFERROR(__xludf.DUMMYFUNCTION("""COMPUTED_VALUE"""),45845.6458333333)</f>
        <v>45845.645833333299</v>
      </c>
      <c r="B993" s="1">
        <f ca="1">IFERROR(__xludf.DUMMYFUNCTION("""COMPUTED_VALUE"""),993.7)</f>
        <v>993.7</v>
      </c>
      <c r="C993" s="3">
        <f t="shared" ca="1" si="30"/>
        <v>-9.5510983763125905E-4</v>
      </c>
      <c r="D993">
        <f t="shared" ca="1" si="29"/>
        <v>972.95306122448972</v>
      </c>
    </row>
    <row r="994" spans="1:4" x14ac:dyDescent="0.25">
      <c r="A994" s="2">
        <f ca="1">IFERROR(__xludf.DUMMYFUNCTION("""COMPUTED_VALUE"""),45846.6458333333)</f>
        <v>45846.645833333299</v>
      </c>
      <c r="B994" s="1">
        <f ca="1">IFERROR(__xludf.DUMMYFUNCTION("""COMPUTED_VALUE"""),1000.7)</f>
        <v>1000.7</v>
      </c>
      <c r="C994" s="3">
        <f t="shared" ca="1" si="30"/>
        <v>7.0443795914259836E-3</v>
      </c>
      <c r="D994">
        <f t="shared" ca="1" si="29"/>
        <v>973.63877551020403</v>
      </c>
    </row>
    <row r="995" spans="1:4" x14ac:dyDescent="0.25">
      <c r="A995" s="2">
        <f ca="1">IFERROR(__xludf.DUMMYFUNCTION("""COMPUTED_VALUE"""),45847.6458333333)</f>
        <v>45847.645833333299</v>
      </c>
      <c r="B995" s="1">
        <f ca="1">IFERROR(__xludf.DUMMYFUNCTION("""COMPUTED_VALUE"""),1005.6)</f>
        <v>1005.6</v>
      </c>
      <c r="C995" s="3">
        <f t="shared" ca="1" si="30"/>
        <v>4.8965723993204526E-3</v>
      </c>
      <c r="D995">
        <f t="shared" ca="1" si="29"/>
        <v>974.58367346938758</v>
      </c>
    </row>
    <row r="996" spans="1:4" x14ac:dyDescent="0.25">
      <c r="A996" s="2">
        <f ca="1">IFERROR(__xludf.DUMMYFUNCTION("""COMPUTED_VALUE"""),45848.6458333333)</f>
        <v>45848.645833333299</v>
      </c>
      <c r="B996" s="1">
        <f ca="1">IFERROR(__xludf.DUMMYFUNCTION("""COMPUTED_VALUE"""),1003.1)</f>
        <v>1003.1</v>
      </c>
      <c r="C996" s="3">
        <f t="shared" ca="1" si="30"/>
        <v>-2.4860779634049324E-3</v>
      </c>
      <c r="D996">
        <f t="shared" ca="1" si="29"/>
        <v>975.46326530612225</v>
      </c>
    </row>
    <row r="997" spans="1:4" x14ac:dyDescent="0.25">
      <c r="A997" s="2">
        <f ca="1">IFERROR(__xludf.DUMMYFUNCTION("""COMPUTED_VALUE"""),45849.6458333333)</f>
        <v>45849.645833333299</v>
      </c>
      <c r="B997" s="1">
        <f ca="1">IFERROR(__xludf.DUMMYFUNCTION("""COMPUTED_VALUE"""),991.85)</f>
        <v>991.85</v>
      </c>
      <c r="C997" s="3">
        <f t="shared" ca="1" si="30"/>
        <v>-1.1215232778386999E-2</v>
      </c>
      <c r="D997">
        <f t="shared" ca="1" si="29"/>
        <v>976.29183673469367</v>
      </c>
    </row>
    <row r="998" spans="1:4" x14ac:dyDescent="0.25">
      <c r="A998" s="2">
        <f ca="1">IFERROR(__xludf.DUMMYFUNCTION("""COMPUTED_VALUE"""),45852.6458333333)</f>
        <v>45852.645833333299</v>
      </c>
      <c r="B998" s="1">
        <f ca="1">IFERROR(__xludf.DUMMYFUNCTION("""COMPUTED_VALUE"""),991.5)</f>
        <v>991.5</v>
      </c>
      <c r="C998" s="3">
        <f t="shared" ca="1" si="30"/>
        <v>-3.5287593890207463E-4</v>
      </c>
      <c r="D998">
        <f t="shared" ca="1" si="29"/>
        <v>976.77040816326519</v>
      </c>
    </row>
    <row r="999" spans="1:4" x14ac:dyDescent="0.25">
      <c r="A999" s="2">
        <f ca="1">IFERROR(__xludf.DUMMYFUNCTION("""COMPUTED_VALUE"""),45853.6458333333)</f>
        <v>45853.645833333299</v>
      </c>
      <c r="B999" s="1">
        <f ca="1">IFERROR(__xludf.DUMMYFUNCTION("""COMPUTED_VALUE"""),997.75)</f>
        <v>997.75</v>
      </c>
      <c r="C999" s="3">
        <f t="shared" ca="1" si="30"/>
        <v>6.3035804336863338E-3</v>
      </c>
      <c r="D999">
        <f t="shared" ca="1" si="29"/>
        <v>977.29387755102027</v>
      </c>
    </row>
    <row r="1000" spans="1:4" x14ac:dyDescent="0.25">
      <c r="A1000" s="2">
        <f ca="1">IFERROR(__xludf.DUMMYFUNCTION("""COMPUTED_VALUE"""),45854.6458333333)</f>
        <v>45854.645833333299</v>
      </c>
      <c r="B1000" s="1">
        <f ca="1">IFERROR(__xludf.DUMMYFUNCTION("""COMPUTED_VALUE"""),998.15)</f>
        <v>998.15</v>
      </c>
      <c r="C1000" s="3">
        <f t="shared" ca="1" si="30"/>
        <v>4.0090202956650188E-4</v>
      </c>
      <c r="D1000">
        <f t="shared" ca="1" si="29"/>
        <v>977.80306122448962</v>
      </c>
    </row>
    <row r="1001" spans="1:4" x14ac:dyDescent="0.25">
      <c r="A1001" s="2">
        <f ca="1">IFERROR(__xludf.DUMMYFUNCTION("""COMPUTED_VALUE"""),45855.6458333333)</f>
        <v>45855.645833333299</v>
      </c>
      <c r="B1001" s="1">
        <f ca="1">IFERROR(__xludf.DUMMYFUNCTION("""COMPUTED_VALUE"""),993.45)</f>
        <v>993.45</v>
      </c>
      <c r="C1001" s="3">
        <f t="shared" ca="1" si="30"/>
        <v>-4.7087111155637244E-3</v>
      </c>
      <c r="D1001">
        <f t="shared" ca="1" si="29"/>
        <v>978.49489795918362</v>
      </c>
    </row>
    <row r="1002" spans="1:4" x14ac:dyDescent="0.25">
      <c r="A1002" s="2">
        <f ca="1">IFERROR(__xludf.DUMMYFUNCTION("""COMPUTED_VALUE"""),45856.6458333333)</f>
        <v>45856.645833333299</v>
      </c>
      <c r="B1002" s="1">
        <f ca="1">IFERROR(__xludf.DUMMYFUNCTION("""COMPUTED_VALUE"""),978.7)</f>
        <v>978.7</v>
      </c>
      <c r="C1002" s="3">
        <f t="shared" ca="1" si="30"/>
        <v>-1.4847249484120991E-2</v>
      </c>
      <c r="D1002">
        <f t="shared" ca="1" si="29"/>
        <v>979.48673469387734</v>
      </c>
    </row>
    <row r="1003" spans="1:4" x14ac:dyDescent="0.25">
      <c r="A1003" s="2">
        <f ca="1">IFERROR(__xludf.DUMMYFUNCTION("""COMPUTED_VALUE"""),45859.6458333333)</f>
        <v>45859.645833333299</v>
      </c>
      <c r="B1003" s="1">
        <f ca="1">IFERROR(__xludf.DUMMYFUNCTION("""COMPUTED_VALUE"""),1000.25)</f>
        <v>1000.25</v>
      </c>
      <c r="C1003" s="3">
        <f t="shared" ca="1" si="30"/>
        <v>2.2019004802288702E-2</v>
      </c>
      <c r="D1003">
        <f t="shared" ca="1" si="29"/>
        <v>979.48877551020382</v>
      </c>
    </row>
    <row r="1004" spans="1:4" x14ac:dyDescent="0.25">
      <c r="A1004" s="2">
        <f ca="1">IFERROR(__xludf.DUMMYFUNCTION("""COMPUTED_VALUE"""),45860.6458333333)</f>
        <v>45860.645833333299</v>
      </c>
      <c r="B1004" s="1">
        <f ca="1">IFERROR(__xludf.DUMMYFUNCTION("""COMPUTED_VALUE"""),1003.55)</f>
        <v>1003.55</v>
      </c>
      <c r="C1004" s="3">
        <f t="shared" ca="1" si="30"/>
        <v>3.2991752061984048E-3</v>
      </c>
      <c r="D1004">
        <f t="shared" ca="1" si="29"/>
        <v>980.28367346938762</v>
      </c>
    </row>
    <row r="1005" spans="1:4" x14ac:dyDescent="0.25">
      <c r="A1005" s="2">
        <f ca="1">IFERROR(__xludf.DUMMYFUNCTION("""COMPUTED_VALUE"""),45861.6458333333)</f>
        <v>45861.645833333299</v>
      </c>
      <c r="B1005" s="1">
        <f ca="1">IFERROR(__xludf.DUMMYFUNCTION("""COMPUTED_VALUE"""),1012.15)</f>
        <v>1012.15</v>
      </c>
      <c r="C1005" s="3">
        <f t="shared" ca="1" si="30"/>
        <v>8.5695779981067449E-3</v>
      </c>
      <c r="D1005">
        <f t="shared" ca="1" si="29"/>
        <v>981.26836734693882</v>
      </c>
    </row>
    <row r="1006" spans="1:4" x14ac:dyDescent="0.25">
      <c r="A1006" s="2">
        <f ca="1">IFERROR(__xludf.DUMMYFUNCTION("""COMPUTED_VALUE"""),45862.6458333333)</f>
        <v>45862.645833333299</v>
      </c>
      <c r="B1006" s="1">
        <f ca="1">IFERROR(__xludf.DUMMYFUNCTION("""COMPUTED_VALUE"""),1007.1)</f>
        <v>1007.1</v>
      </c>
      <c r="C1006" s="3">
        <f t="shared" ca="1" si="30"/>
        <v>-4.9893790446079679E-3</v>
      </c>
      <c r="D1006">
        <f t="shared" ca="1" si="29"/>
        <v>982.19183673469377</v>
      </c>
    </row>
    <row r="1007" spans="1:4" x14ac:dyDescent="0.25">
      <c r="A1007" s="2">
        <f ca="1">IFERROR(__xludf.DUMMYFUNCTION("""COMPUTED_VALUE"""),45863.6458333333)</f>
        <v>45863.645833333299</v>
      </c>
      <c r="B1007" s="1">
        <f ca="1">IFERROR(__xludf.DUMMYFUNCTION("""COMPUTED_VALUE"""),1002.3)</f>
        <v>1002.3</v>
      </c>
      <c r="C1007" s="3">
        <f t="shared" ca="1" si="30"/>
        <v>-4.766160262138882E-3</v>
      </c>
      <c r="D1007">
        <f t="shared" ca="1" si="29"/>
        <v>983.00306122448967</v>
      </c>
    </row>
    <row r="1008" spans="1:4" x14ac:dyDescent="0.25">
      <c r="A1008" s="2">
        <f ca="1">IFERROR(__xludf.DUMMYFUNCTION("""COMPUTED_VALUE"""),45866.6458333333)</f>
        <v>45866.645833333299</v>
      </c>
      <c r="B1008" s="1">
        <f ca="1">IFERROR(__xludf.DUMMYFUNCTION("""COMPUTED_VALUE"""),1004.25)</f>
        <v>1004.25</v>
      </c>
      <c r="C1008" s="3">
        <f t="shared" ca="1" si="30"/>
        <v>1.9455252918288393E-3</v>
      </c>
      <c r="D1008">
        <f t="shared" ca="1" si="29"/>
        <v>983.67551020408143</v>
      </c>
    </row>
    <row r="1009" spans="1:4" x14ac:dyDescent="0.25">
      <c r="A1009" s="2">
        <f ca="1">IFERROR(__xludf.DUMMYFUNCTION("""COMPUTED_VALUE"""),45867.6458333333)</f>
        <v>45867.645833333299</v>
      </c>
      <c r="B1009" s="1">
        <f ca="1">IFERROR(__xludf.DUMMYFUNCTION("""COMPUTED_VALUE"""),1010.8)</f>
        <v>1010.8</v>
      </c>
      <c r="C1009" s="3">
        <f t="shared" ca="1" si="30"/>
        <v>6.5222803086880301E-3</v>
      </c>
      <c r="D1009">
        <f t="shared" ca="1" si="29"/>
        <v>984.63061224489786</v>
      </c>
    </row>
    <row r="1010" spans="1:4" x14ac:dyDescent="0.25">
      <c r="A1010" s="2">
        <f ca="1">IFERROR(__xludf.DUMMYFUNCTION("""COMPUTED_VALUE"""),45868.6458333333)</f>
        <v>45868.645833333299</v>
      </c>
      <c r="B1010" s="1">
        <f ca="1">IFERROR(__xludf.DUMMYFUNCTION("""COMPUTED_VALUE"""),1012.9)</f>
        <v>1012.9</v>
      </c>
      <c r="C1010" s="3">
        <f t="shared" ca="1" si="30"/>
        <v>2.0775623268698288E-3</v>
      </c>
      <c r="D1010">
        <f t="shared" ca="1" si="29"/>
        <v>985.59795918367354</v>
      </c>
    </row>
    <row r="1011" spans="1:4" x14ac:dyDescent="0.25">
      <c r="A1011" s="2">
        <f ca="1">IFERROR(__xludf.DUMMYFUNCTION("""COMPUTED_VALUE"""),45869.6458333333)</f>
        <v>45869.645833333299</v>
      </c>
      <c r="B1011" s="1">
        <f ca="1">IFERROR(__xludf.DUMMYFUNCTION("""COMPUTED_VALUE"""),1009.1)</f>
        <v>1009.1</v>
      </c>
      <c r="C1011" s="3">
        <f t="shared" ca="1" si="30"/>
        <v>-3.7516043044722625E-3</v>
      </c>
      <c r="D1011">
        <f t="shared" ca="1" si="29"/>
        <v>986.67857142857156</v>
      </c>
    </row>
    <row r="1012" spans="1:4" x14ac:dyDescent="0.25">
      <c r="A1012" s="2">
        <f ca="1">IFERROR(__xludf.DUMMYFUNCTION("""COMPUTED_VALUE"""),45870.6458333333)</f>
        <v>45870.645833333299</v>
      </c>
      <c r="B1012" s="1">
        <f ca="1">IFERROR(__xludf.DUMMYFUNCTION("""COMPUTED_VALUE"""),1006.1)</f>
        <v>1006.1</v>
      </c>
      <c r="C1012" s="3">
        <f t="shared" ca="1" si="30"/>
        <v>-2.9729461896739668E-3</v>
      </c>
      <c r="D1012">
        <f t="shared" ref="D1012:D1075" ca="1" si="31">AVERAGE(B963:B1011)</f>
        <v>987.54183673469413</v>
      </c>
    </row>
    <row r="1013" spans="1:4" x14ac:dyDescent="0.25">
      <c r="A1013" s="2">
        <f ca="1">IFERROR(__xludf.DUMMYFUNCTION("""COMPUTED_VALUE"""),45873.6458333333)</f>
        <v>45873.645833333299</v>
      </c>
      <c r="B1013" s="1">
        <f ca="1">IFERROR(__xludf.DUMMYFUNCTION("""COMPUTED_VALUE"""),996)</f>
        <v>996</v>
      </c>
      <c r="C1013" s="3">
        <f t="shared" ca="1" si="30"/>
        <v>-1.0038763542391435E-2</v>
      </c>
      <c r="D1013">
        <f t="shared" ca="1" si="31"/>
        <v>988.27653061224498</v>
      </c>
    </row>
    <row r="1014" spans="1:4" x14ac:dyDescent="0.25">
      <c r="A1014" s="2">
        <f ca="1">IFERROR(__xludf.DUMMYFUNCTION("""COMPUTED_VALUE"""),45874.6458333333)</f>
        <v>45874.645833333299</v>
      </c>
      <c r="B1014" s="1">
        <f ca="1">IFERROR(__xludf.DUMMYFUNCTION("""COMPUTED_VALUE"""),988.8)</f>
        <v>988.8</v>
      </c>
      <c r="C1014" s="3">
        <f t="shared" ca="1" si="30"/>
        <v>-7.2289156626506477E-3</v>
      </c>
      <c r="D1014">
        <f t="shared" ca="1" si="31"/>
        <v>988.94693877551038</v>
      </c>
    </row>
    <row r="1015" spans="1:4" x14ac:dyDescent="0.25">
      <c r="A1015" s="2">
        <f ca="1">IFERROR(__xludf.DUMMYFUNCTION("""COMPUTED_VALUE"""),45875.6458333333)</f>
        <v>45875.645833333299</v>
      </c>
      <c r="B1015" s="1">
        <f ca="1">IFERROR(__xludf.DUMMYFUNCTION("""COMPUTED_VALUE"""),992.65)</f>
        <v>992.65</v>
      </c>
      <c r="C1015" s="3">
        <f t="shared" ca="1" si="30"/>
        <v>3.8936084142395053E-3</v>
      </c>
      <c r="D1015">
        <f t="shared" ca="1" si="31"/>
        <v>989.49897959183693</v>
      </c>
    </row>
    <row r="1016" spans="1:4" x14ac:dyDescent="0.25">
      <c r="A1016" s="2">
        <f ca="1">IFERROR(__xludf.DUMMYFUNCTION("""COMPUTED_VALUE"""),45876.6458333333)</f>
        <v>45876.645833333299</v>
      </c>
      <c r="B1016" s="1">
        <f ca="1">IFERROR(__xludf.DUMMYFUNCTION("""COMPUTED_VALUE"""),997.7)</f>
        <v>997.7</v>
      </c>
      <c r="C1016" s="3">
        <f t="shared" ca="1" si="30"/>
        <v>5.0873923336524135E-3</v>
      </c>
      <c r="D1016">
        <f t="shared" ca="1" si="31"/>
        <v>990.08877551020419</v>
      </c>
    </row>
    <row r="1017" spans="1:4" x14ac:dyDescent="0.25">
      <c r="A1017" s="2">
        <f ca="1">IFERROR(__xludf.DUMMYFUNCTION("""COMPUTED_VALUE"""),45877.6458333333)</f>
        <v>45877.645833333299</v>
      </c>
      <c r="B1017" s="1">
        <f ca="1">IFERROR(__xludf.DUMMYFUNCTION("""COMPUTED_VALUE"""),986.95)</f>
        <v>986.95</v>
      </c>
      <c r="C1017" s="3">
        <f t="shared" ca="1" si="30"/>
        <v>-1.0774781998596772E-2</v>
      </c>
      <c r="D1017">
        <f t="shared" ca="1" si="31"/>
        <v>990.60408163265322</v>
      </c>
    </row>
    <row r="1018" spans="1:4" x14ac:dyDescent="0.25">
      <c r="A1018" s="2">
        <f ca="1">IFERROR(__xludf.DUMMYFUNCTION("""COMPUTED_VALUE"""),45880.6458333333)</f>
        <v>45880.645833333299</v>
      </c>
      <c r="B1018" s="1">
        <f ca="1">IFERROR(__xludf.DUMMYFUNCTION("""COMPUTED_VALUE"""),997.8)</f>
        <v>997.8</v>
      </c>
      <c r="C1018" s="3">
        <f t="shared" ca="1" si="30"/>
        <v>1.0993464714524453E-2</v>
      </c>
      <c r="D1018">
        <f t="shared" ca="1" si="31"/>
        <v>991.03061224489807</v>
      </c>
    </row>
    <row r="1019" spans="1:4" x14ac:dyDescent="0.25">
      <c r="A1019" s="2">
        <f ca="1">IFERROR(__xludf.DUMMYFUNCTION("""COMPUTED_VALUE"""),45881.6458333333)</f>
        <v>45881.645833333299</v>
      </c>
      <c r="B1019" s="1">
        <f ca="1">IFERROR(__xludf.DUMMYFUNCTION("""COMPUTED_VALUE"""),984.95)</f>
        <v>984.95</v>
      </c>
      <c r="C1019" s="3">
        <f t="shared" ca="1" si="30"/>
        <v>-1.2878332331128391E-2</v>
      </c>
      <c r="D1019">
        <f t="shared" ca="1" si="31"/>
        <v>991.75510204081661</v>
      </c>
    </row>
    <row r="1020" spans="1:4" x14ac:dyDescent="0.25">
      <c r="A1020" s="2">
        <f ca="1">IFERROR(__xludf.DUMMYFUNCTION("""COMPUTED_VALUE"""),45882.6458333333)</f>
        <v>45882.645833333299</v>
      </c>
      <c r="B1020" s="1">
        <f ca="1">IFERROR(__xludf.DUMMYFUNCTION("""COMPUTED_VALUE"""),990.15)</f>
        <v>990.15</v>
      </c>
      <c r="C1020" s="3">
        <f t="shared" ca="1" si="30"/>
        <v>5.2794558099395214E-3</v>
      </c>
      <c r="D1020">
        <f t="shared" ca="1" si="31"/>
        <v>992.04795918367358</v>
      </c>
    </row>
    <row r="1021" spans="1:4" x14ac:dyDescent="0.25">
      <c r="A1021" s="2">
        <f ca="1">IFERROR(__xludf.DUMMYFUNCTION("""COMPUTED_VALUE"""),45883.6458333333)</f>
        <v>45883.645833333299</v>
      </c>
      <c r="B1021" s="1">
        <f ca="1">IFERROR(__xludf.DUMMYFUNCTION("""COMPUTED_VALUE"""),995.55)</f>
        <v>995.55</v>
      </c>
      <c r="C1021" s="3">
        <f t="shared" ca="1" si="30"/>
        <v>5.4537191334646041E-3</v>
      </c>
      <c r="D1021">
        <f t="shared" ca="1" si="31"/>
        <v>992.36122448979597</v>
      </c>
    </row>
    <row r="1022" spans="1:4" x14ac:dyDescent="0.25">
      <c r="A1022" s="2">
        <f ca="1">IFERROR(__xludf.DUMMYFUNCTION("""COMPUTED_VALUE"""),45887.6458333333)</f>
        <v>45887.645833333299</v>
      </c>
      <c r="B1022" s="1">
        <f ca="1">IFERROR(__xludf.DUMMYFUNCTION("""COMPUTED_VALUE"""),1001.8)</f>
        <v>1001.8</v>
      </c>
      <c r="C1022" s="3">
        <f t="shared" ca="1" si="30"/>
        <v>6.2779368188438552E-3</v>
      </c>
      <c r="D1022">
        <f t="shared" ca="1" si="31"/>
        <v>992.48775510204098</v>
      </c>
    </row>
    <row r="1023" spans="1:4" x14ac:dyDescent="0.25">
      <c r="A1023" s="2">
        <f ca="1">IFERROR(__xludf.DUMMYFUNCTION("""COMPUTED_VALUE"""),45888.6458333333)</f>
        <v>45888.645833333299</v>
      </c>
      <c r="B1023" s="1">
        <f ca="1">IFERROR(__xludf.DUMMYFUNCTION("""COMPUTED_VALUE"""),995.55)</f>
        <v>995.55</v>
      </c>
      <c r="C1023" s="3">
        <f t="shared" ca="1" si="30"/>
        <v>-6.2387702136154927E-3</v>
      </c>
      <c r="D1023">
        <f t="shared" ca="1" si="31"/>
        <v>992.73979591836746</v>
      </c>
    </row>
    <row r="1024" spans="1:4" x14ac:dyDescent="0.25">
      <c r="A1024" s="2">
        <f ca="1">IFERROR(__xludf.DUMMYFUNCTION("""COMPUTED_VALUE"""),45889.6458333333)</f>
        <v>45889.645833333299</v>
      </c>
      <c r="B1024" s="1">
        <f ca="1">IFERROR(__xludf.DUMMYFUNCTION("""COMPUTED_VALUE"""),994.1)</f>
        <v>994.1</v>
      </c>
      <c r="C1024" s="3">
        <f t="shared" ca="1" si="30"/>
        <v>-1.4564813419717059E-3</v>
      </c>
      <c r="D1024">
        <f t="shared" ca="1" si="31"/>
        <v>993.00306122449012</v>
      </c>
    </row>
    <row r="1025" spans="1:4" x14ac:dyDescent="0.25">
      <c r="A1025" s="2">
        <f ca="1">IFERROR(__xludf.DUMMYFUNCTION("""COMPUTED_VALUE"""),45890.6458333333)</f>
        <v>45890.645833333299</v>
      </c>
      <c r="B1025" s="1">
        <f ca="1">IFERROR(__xludf.DUMMYFUNCTION("""COMPUTED_VALUE"""),995.6)</f>
        <v>995.6</v>
      </c>
      <c r="C1025" s="3">
        <f t="shared" ca="1" si="30"/>
        <v>1.5089025248968917E-3</v>
      </c>
      <c r="D1025">
        <f t="shared" ca="1" si="31"/>
        <v>993.38877551020414</v>
      </c>
    </row>
    <row r="1026" spans="1:4" x14ac:dyDescent="0.25">
      <c r="A1026" s="2">
        <f ca="1">IFERROR(__xludf.DUMMYFUNCTION("""COMPUTED_VALUE"""),45891.6458333333)</f>
        <v>45891.645833333299</v>
      </c>
      <c r="B1026" s="1">
        <f ca="1">IFERROR(__xludf.DUMMYFUNCTION("""COMPUTED_VALUE"""),982.3)</f>
        <v>982.3</v>
      </c>
      <c r="C1026" s="3">
        <f t="shared" ca="1" si="30"/>
        <v>-1.3358778625954266E-2</v>
      </c>
      <c r="D1026">
        <f t="shared" ca="1" si="31"/>
        <v>993.87653061224489</v>
      </c>
    </row>
    <row r="1027" spans="1:4" x14ac:dyDescent="0.25">
      <c r="A1027" s="2">
        <f ca="1">IFERROR(__xludf.DUMMYFUNCTION("""COMPUTED_VALUE"""),45894.6458333333)</f>
        <v>45894.645833333299</v>
      </c>
      <c r="B1027" s="1">
        <f ca="1">IFERROR(__xludf.DUMMYFUNCTION("""COMPUTED_VALUE"""),982.05)</f>
        <v>982.05</v>
      </c>
      <c r="C1027" s="3">
        <f t="shared" ca="1" si="30"/>
        <v>-2.5450473378804846E-4</v>
      </c>
      <c r="D1027">
        <f t="shared" ca="1" si="31"/>
        <v>994.3561224489797</v>
      </c>
    </row>
    <row r="1028" spans="1:4" x14ac:dyDescent="0.25">
      <c r="A1028" s="2">
        <f ca="1">IFERROR(__xludf.DUMMYFUNCTION("""COMPUTED_VALUE"""),45895.6458333333)</f>
        <v>45895.645833333299</v>
      </c>
      <c r="B1028" s="1">
        <f ca="1">IFERROR(__xludf.DUMMYFUNCTION("""COMPUTED_VALUE"""),973.4)</f>
        <v>973.4</v>
      </c>
      <c r="C1028" s="3">
        <f t="shared" ref="C1028:C1091" ca="1" si="32">(B1028-B1027)/B1027</f>
        <v>-8.808105493610283E-3</v>
      </c>
      <c r="D1028">
        <f t="shared" ca="1" si="31"/>
        <v>994.64897959183691</v>
      </c>
    </row>
    <row r="1029" spans="1:4" x14ac:dyDescent="0.25">
      <c r="A1029" s="2">
        <f ca="1">IFERROR(__xludf.DUMMYFUNCTION("""COMPUTED_VALUE"""),45897.6458333333)</f>
        <v>45897.645833333299</v>
      </c>
      <c r="B1029" s="1">
        <f ca="1">IFERROR(__xludf.DUMMYFUNCTION("""COMPUTED_VALUE"""),957.8)</f>
        <v>957.8</v>
      </c>
      <c r="C1029" s="3">
        <f t="shared" ca="1" si="32"/>
        <v>-1.6026299568522726E-2</v>
      </c>
      <c r="D1029">
        <f t="shared" ca="1" si="31"/>
        <v>994.82448979591857</v>
      </c>
    </row>
    <row r="1030" spans="1:4" x14ac:dyDescent="0.25">
      <c r="A1030" s="2">
        <f ca="1">IFERROR(__xludf.DUMMYFUNCTION("""COMPUTED_VALUE"""),45898.6458333333)</f>
        <v>45898.645833333299</v>
      </c>
      <c r="B1030" s="1">
        <f ca="1">IFERROR(__xludf.DUMMYFUNCTION("""COMPUTED_VALUE"""),951.6)</f>
        <v>951.6</v>
      </c>
      <c r="C1030" s="3">
        <f t="shared" ca="1" si="32"/>
        <v>-6.4731676759239212E-3</v>
      </c>
      <c r="D1030">
        <f t="shared" ca="1" si="31"/>
        <v>994.63775510204107</v>
      </c>
    </row>
    <row r="1031" spans="1:4" x14ac:dyDescent="0.25">
      <c r="A1031" s="2">
        <f ca="1">IFERROR(__xludf.DUMMYFUNCTION("""COMPUTED_VALUE"""),45901.6458333333)</f>
        <v>45901.645833333299</v>
      </c>
      <c r="B1031" s="1">
        <f ca="1">IFERROR(__xludf.DUMMYFUNCTION("""COMPUTED_VALUE"""),950.6)</f>
        <v>950.6</v>
      </c>
      <c r="C1031" s="3">
        <f t="shared" ca="1" si="32"/>
        <v>-1.0508617065994115E-3</v>
      </c>
      <c r="D1031">
        <f t="shared" ca="1" si="31"/>
        <v>994.31020408163295</v>
      </c>
    </row>
    <row r="1032" spans="1:4" x14ac:dyDescent="0.25">
      <c r="A1032" s="2">
        <f ca="1">IFERROR(__xludf.DUMMYFUNCTION("""COMPUTED_VALUE"""),45902.6458333333)</f>
        <v>45902.645833333299</v>
      </c>
      <c r="B1032" s="1">
        <f ca="1">IFERROR(__xludf.DUMMYFUNCTION("""COMPUTED_VALUE"""),944.5)</f>
        <v>944.5</v>
      </c>
      <c r="C1032" s="3">
        <f t="shared" ca="1" si="32"/>
        <v>-6.4169997896065881E-3</v>
      </c>
      <c r="D1032">
        <f t="shared" ca="1" si="31"/>
        <v>993.66224489795945</v>
      </c>
    </row>
    <row r="1033" spans="1:4" x14ac:dyDescent="0.25">
      <c r="A1033" s="2">
        <f ca="1">IFERROR(__xludf.DUMMYFUNCTION("""COMPUTED_VALUE"""),45903.6458333333)</f>
        <v>45903.645833333299</v>
      </c>
      <c r="B1033" s="1">
        <f ca="1">IFERROR(__xludf.DUMMYFUNCTION("""COMPUTED_VALUE"""),954.45)</f>
        <v>954.45</v>
      </c>
      <c r="C1033" s="3">
        <f t="shared" ca="1" si="32"/>
        <v>1.0534674430915877E-2</v>
      </c>
      <c r="D1033">
        <f t="shared" ca="1" si="31"/>
        <v>993.05612244897986</v>
      </c>
    </row>
    <row r="1034" spans="1:4" x14ac:dyDescent="0.25">
      <c r="A1034" s="2">
        <f ca="1">IFERROR(__xludf.DUMMYFUNCTION("""COMPUTED_VALUE"""),45904.6458333333)</f>
        <v>45904.645833333299</v>
      </c>
      <c r="B1034" s="1">
        <f ca="1">IFERROR(__xludf.DUMMYFUNCTION("""COMPUTED_VALUE"""),961.25)</f>
        <v>961.25</v>
      </c>
      <c r="C1034" s="3">
        <f t="shared" ca="1" si="32"/>
        <v>7.1245219760070764E-3</v>
      </c>
      <c r="D1034">
        <f t="shared" ca="1" si="31"/>
        <v>992.5255102040818</v>
      </c>
    </row>
    <row r="1035" spans="1:4" x14ac:dyDescent="0.25">
      <c r="A1035" s="2">
        <f ca="1">IFERROR(__xludf.DUMMYFUNCTION("""COMPUTED_VALUE"""),45905.6458333333)</f>
        <v>45905.645833333299</v>
      </c>
      <c r="B1035" s="1">
        <f ca="1">IFERROR(__xludf.DUMMYFUNCTION("""COMPUTED_VALUE"""),963.4)</f>
        <v>963.4</v>
      </c>
      <c r="C1035" s="3">
        <f t="shared" ca="1" si="32"/>
        <v>2.2366710013003665E-3</v>
      </c>
      <c r="D1035">
        <f t="shared" ca="1" si="31"/>
        <v>991.93673469387772</v>
      </c>
    </row>
    <row r="1036" spans="1:4" x14ac:dyDescent="0.25">
      <c r="A1036" s="2">
        <f ca="1">IFERROR(__xludf.DUMMYFUNCTION("""COMPUTED_VALUE"""),45908.6458333333)</f>
        <v>45908.645833333299</v>
      </c>
      <c r="B1036" s="1">
        <f ca="1">IFERROR(__xludf.DUMMYFUNCTION("""COMPUTED_VALUE"""),966)</f>
        <v>966</v>
      </c>
      <c r="C1036" s="3">
        <f t="shared" ca="1" si="32"/>
        <v>2.6987751712684478E-3</v>
      </c>
      <c r="D1036">
        <f t="shared" ca="1" si="31"/>
        <v>990.96734693877568</v>
      </c>
    </row>
    <row r="1037" spans="1:4" x14ac:dyDescent="0.25">
      <c r="A1037" s="2">
        <f ca="1">IFERROR(__xludf.DUMMYFUNCTION("""COMPUTED_VALUE"""),45909.6458333333)</f>
        <v>45909.645833333299</v>
      </c>
      <c r="B1037" s="1">
        <f ca="1">IFERROR(__xludf.DUMMYFUNCTION("""COMPUTED_VALUE"""),965.15)</f>
        <v>965.15</v>
      </c>
      <c r="C1037" s="3">
        <f t="shared" ca="1" si="32"/>
        <v>-8.7991718426503392E-4</v>
      </c>
      <c r="D1037">
        <f t="shared" ca="1" si="31"/>
        <v>990.12142857142885</v>
      </c>
    </row>
    <row r="1038" spans="1:4" x14ac:dyDescent="0.25">
      <c r="A1038" s="2">
        <f ca="1">IFERROR(__xludf.DUMMYFUNCTION("""COMPUTED_VALUE"""),45910.6458333333)</f>
        <v>45910.645833333299</v>
      </c>
      <c r="B1038" s="1">
        <f ca="1">IFERROR(__xludf.DUMMYFUNCTION("""COMPUTED_VALUE"""),965.9)</f>
        <v>965.9</v>
      </c>
      <c r="C1038" s="3">
        <f t="shared" ca="1" si="32"/>
        <v>7.770812827021707E-4</v>
      </c>
      <c r="D1038">
        <f t="shared" ca="1" si="31"/>
        <v>989.39489795918394</v>
      </c>
    </row>
    <row r="1039" spans="1:4" x14ac:dyDescent="0.25">
      <c r="A1039" s="2">
        <f ca="1">IFERROR(__xludf.DUMMYFUNCTION("""COMPUTED_VALUE"""),45911.6458333333)</f>
        <v>45911.645833333299</v>
      </c>
      <c r="B1039" s="1">
        <f ca="1">IFERROR(__xludf.DUMMYFUNCTION("""COMPUTED_VALUE"""),967.8)</f>
        <v>967.8</v>
      </c>
      <c r="C1039" s="3">
        <f t="shared" ca="1" si="32"/>
        <v>1.9670773371984443E-3</v>
      </c>
      <c r="D1039">
        <f t="shared" ca="1" si="31"/>
        <v>988.57551020408187</v>
      </c>
    </row>
    <row r="1040" spans="1:4" x14ac:dyDescent="0.25">
      <c r="A1040" s="2">
        <f ca="1">IFERROR(__xludf.DUMMYFUNCTION("""COMPUTED_VALUE"""),45912.6458333333)</f>
        <v>45912.645833333299</v>
      </c>
      <c r="B1040" s="1">
        <f ca="1">IFERROR(__xludf.DUMMYFUNCTION("""COMPUTED_VALUE"""),967.3)</f>
        <v>967.3</v>
      </c>
      <c r="C1040" s="3">
        <f t="shared" ca="1" si="32"/>
        <v>-5.1663566852655507E-4</v>
      </c>
      <c r="D1040">
        <f t="shared" ca="1" si="31"/>
        <v>988.06122448979625</v>
      </c>
    </row>
    <row r="1041" spans="1:4" x14ac:dyDescent="0.25">
      <c r="A1041" s="2">
        <f ca="1">IFERROR(__xludf.DUMMYFUNCTION("""COMPUTED_VALUE"""),45915.6458333333)</f>
        <v>45915.645833333299</v>
      </c>
      <c r="B1041" s="1">
        <f ca="1">IFERROR(__xludf.DUMMYFUNCTION("""COMPUTED_VALUE"""),967.05)</f>
        <v>967.05</v>
      </c>
      <c r="C1041" s="3">
        <f t="shared" ca="1" si="32"/>
        <v>-2.5845135945415073E-4</v>
      </c>
      <c r="D1041">
        <f t="shared" ca="1" si="31"/>
        <v>987.52551020408191</v>
      </c>
    </row>
    <row r="1042" spans="1:4" x14ac:dyDescent="0.25">
      <c r="A1042" s="2">
        <f ca="1">IFERROR(__xludf.DUMMYFUNCTION("""COMPUTED_VALUE"""),45916.6458333333)</f>
        <v>45916.645833333299</v>
      </c>
      <c r="B1042" s="1">
        <f ca="1">IFERROR(__xludf.DUMMYFUNCTION("""COMPUTED_VALUE"""),966.85)</f>
        <v>966.85</v>
      </c>
      <c r="C1042" s="3">
        <f t="shared" ca="1" si="32"/>
        <v>-2.0681453906202553E-4</v>
      </c>
      <c r="D1042">
        <f t="shared" ca="1" si="31"/>
        <v>986.96224489795952</v>
      </c>
    </row>
    <row r="1043" spans="1:4" x14ac:dyDescent="0.25">
      <c r="A1043" s="2">
        <f ca="1">IFERROR(__xludf.DUMMYFUNCTION("""COMPUTED_VALUE"""),45917.6458333333)</f>
        <v>45917.645833333299</v>
      </c>
      <c r="B1043" s="1">
        <f ca="1">IFERROR(__xludf.DUMMYFUNCTION("""COMPUTED_VALUE"""),966.5)</f>
        <v>966.5</v>
      </c>
      <c r="C1043" s="3">
        <f t="shared" ca="1" si="32"/>
        <v>-3.6200031028600378E-4</v>
      </c>
      <c r="D1043">
        <f t="shared" ca="1" si="31"/>
        <v>986.41428571428594</v>
      </c>
    </row>
    <row r="1044" spans="1:4" x14ac:dyDescent="0.25">
      <c r="A1044" s="2">
        <f ca="1">IFERROR(__xludf.DUMMYFUNCTION("""COMPUTED_VALUE"""),45918.6458333333)</f>
        <v>45918.645833333299</v>
      </c>
      <c r="B1044" s="1">
        <f ca="1">IFERROR(__xludf.DUMMYFUNCTION("""COMPUTED_VALUE"""),976.9)</f>
        <v>976.9</v>
      </c>
      <c r="C1044" s="3">
        <f t="shared" ca="1" si="32"/>
        <v>1.0760475944128274E-2</v>
      </c>
      <c r="D1044">
        <f t="shared" ca="1" si="31"/>
        <v>985.71632653061238</v>
      </c>
    </row>
    <row r="1045" spans="1:4" x14ac:dyDescent="0.25">
      <c r="A1045" s="2">
        <f ca="1">IFERROR(__xludf.DUMMYFUNCTION("""COMPUTED_VALUE"""),45919.6458333333)</f>
        <v>45919.645833333299</v>
      </c>
      <c r="B1045" s="1">
        <f ca="1">IFERROR(__xludf.DUMMYFUNCTION("""COMPUTED_VALUE"""),966.9)</f>
        <v>966.9</v>
      </c>
      <c r="C1045" s="3">
        <f t="shared" ca="1" si="32"/>
        <v>-1.0236462278636503E-2</v>
      </c>
      <c r="D1045">
        <f t="shared" ca="1" si="31"/>
        <v>985.13061224489797</v>
      </c>
    </row>
    <row r="1046" spans="1:4" x14ac:dyDescent="0.25">
      <c r="A1046" s="2">
        <f ca="1">IFERROR(__xludf.DUMMYFUNCTION("""COMPUTED_VALUE"""),45922.6458333333)</f>
        <v>45922.645833333299</v>
      </c>
      <c r="B1046" s="1">
        <f ca="1">IFERROR(__xludf.DUMMYFUNCTION("""COMPUTED_VALUE"""),964.2)</f>
        <v>964.2</v>
      </c>
      <c r="C1046" s="3">
        <f t="shared" ca="1" si="32"/>
        <v>-2.7924294135897526E-3</v>
      </c>
      <c r="D1046">
        <f t="shared" ca="1" si="31"/>
        <v>984.39183673469415</v>
      </c>
    </row>
    <row r="1047" spans="1:4" x14ac:dyDescent="0.25">
      <c r="A1047" s="2">
        <f ca="1">IFERROR(__xludf.DUMMYFUNCTION("""COMPUTED_VALUE"""),45923.6458333333)</f>
        <v>45923.645833333299</v>
      </c>
      <c r="B1047" s="1">
        <f ca="1">IFERROR(__xludf.DUMMYFUNCTION("""COMPUTED_VALUE"""),957.2)</f>
        <v>957.2</v>
      </c>
      <c r="C1047" s="3">
        <f t="shared" ca="1" si="32"/>
        <v>-7.2599045841111797E-3</v>
      </c>
      <c r="D1047">
        <f t="shared" ca="1" si="31"/>
        <v>983.82755102040824</v>
      </c>
    </row>
    <row r="1048" spans="1:4" x14ac:dyDescent="0.25">
      <c r="A1048" s="2">
        <f ca="1">IFERROR(__xludf.DUMMYFUNCTION("""COMPUTED_VALUE"""),45924.6458333333)</f>
        <v>45924.645833333299</v>
      </c>
      <c r="B1048" s="1">
        <f ca="1">IFERROR(__xludf.DUMMYFUNCTION("""COMPUTED_VALUE"""),951.05)</f>
        <v>951.05</v>
      </c>
      <c r="C1048" s="3">
        <f t="shared" ca="1" si="32"/>
        <v>-6.4249895528626106E-3</v>
      </c>
      <c r="D1048">
        <f t="shared" ca="1" si="31"/>
        <v>983.12755102040819</v>
      </c>
    </row>
    <row r="1049" spans="1:4" x14ac:dyDescent="0.25">
      <c r="A1049" s="2">
        <f ca="1">IFERROR(__xludf.DUMMYFUNCTION("""COMPUTED_VALUE"""),45925.6458333333)</f>
        <v>45925.645833333299</v>
      </c>
      <c r="B1049" s="1">
        <f ca="1">IFERROR(__xludf.DUMMYFUNCTION("""COMPUTED_VALUE"""),949.85)</f>
        <v>949.85</v>
      </c>
      <c r="C1049" s="3">
        <f t="shared" ca="1" si="32"/>
        <v>-1.2617633142315671E-3</v>
      </c>
      <c r="D1049">
        <f t="shared" ca="1" si="31"/>
        <v>982.17448979591848</v>
      </c>
    </row>
    <row r="1050" spans="1:4" x14ac:dyDescent="0.25">
      <c r="A1050" s="2">
        <f ca="1">IFERROR(__xludf.DUMMYFUNCTION("""COMPUTED_VALUE"""),45926.6458333333)</f>
        <v>45926.645833333299</v>
      </c>
      <c r="B1050" s="1">
        <f ca="1">IFERROR(__xludf.DUMMYFUNCTION("""COMPUTED_VALUE"""),945.05)</f>
        <v>945.05</v>
      </c>
      <c r="C1050" s="3">
        <f t="shared" ca="1" si="32"/>
        <v>-5.0534294888667352E-3</v>
      </c>
      <c r="D1050">
        <f t="shared" ca="1" si="31"/>
        <v>981.18877551020421</v>
      </c>
    </row>
    <row r="1051" spans="1:4" x14ac:dyDescent="0.25">
      <c r="A1051" s="2">
        <f ca="1">IFERROR(__xludf.DUMMYFUNCTION("""COMPUTED_VALUE"""),45929.6458333333)</f>
        <v>45929.645833333299</v>
      </c>
      <c r="B1051" s="1">
        <f ca="1">IFERROR(__xludf.DUMMYFUNCTION("""COMPUTED_VALUE"""),950.3)</f>
        <v>950.3</v>
      </c>
      <c r="C1051" s="3">
        <f t="shared" ca="1" si="32"/>
        <v>5.5552616263689755E-3</v>
      </c>
      <c r="D1051">
        <f t="shared" ca="1" si="31"/>
        <v>980.20102040816334</v>
      </c>
    </row>
    <row r="1052" spans="1:4" x14ac:dyDescent="0.25">
      <c r="A1052" s="2">
        <f ca="1">IFERROR(__xludf.DUMMYFUNCTION("""COMPUTED_VALUE"""),45930.6458333333)</f>
        <v>45930.645833333299</v>
      </c>
      <c r="B1052" s="1">
        <f ca="1">IFERROR(__xludf.DUMMYFUNCTION("""COMPUTED_VALUE"""),951)</f>
        <v>951</v>
      </c>
      <c r="C1052" s="3">
        <f t="shared" ca="1" si="32"/>
        <v>7.3660949173949856E-4</v>
      </c>
      <c r="D1052">
        <f t="shared" ca="1" si="31"/>
        <v>979.62142857142885</v>
      </c>
    </row>
    <row r="1053" spans="1:4" x14ac:dyDescent="0.25">
      <c r="A1053" s="2">
        <f ca="1">IFERROR(__xludf.DUMMYFUNCTION("""COMPUTED_VALUE"""),45931.6458333333)</f>
        <v>45931.645833333299</v>
      </c>
      <c r="B1053" s="1">
        <f ca="1">IFERROR(__xludf.DUMMYFUNCTION("""COMPUTED_VALUE"""),965.25)</f>
        <v>965.25</v>
      </c>
      <c r="C1053" s="3">
        <f t="shared" ca="1" si="32"/>
        <v>1.498422712933754E-2</v>
      </c>
      <c r="D1053">
        <f t="shared" ca="1" si="31"/>
        <v>978.61632653061235</v>
      </c>
    </row>
    <row r="1054" spans="1:4" x14ac:dyDescent="0.25">
      <c r="A1054" s="2">
        <f ca="1">IFERROR(__xludf.DUMMYFUNCTION("""COMPUTED_VALUE"""),45933.6458333333)</f>
        <v>45933.645833333299</v>
      </c>
      <c r="B1054" s="1">
        <f ca="1">IFERROR(__xludf.DUMMYFUNCTION("""COMPUTED_VALUE"""),965.15)</f>
        <v>965.15</v>
      </c>
      <c r="C1054" s="3">
        <f t="shared" ca="1" si="32"/>
        <v>-1.0360010360012716E-4</v>
      </c>
      <c r="D1054">
        <f t="shared" ca="1" si="31"/>
        <v>977.83469387755122</v>
      </c>
    </row>
    <row r="1055" spans="1:4" x14ac:dyDescent="0.25">
      <c r="A1055" s="2">
        <f ca="1">IFERROR(__xludf.DUMMYFUNCTION("""COMPUTED_VALUE"""),45936.6458333333)</f>
        <v>45936.645833333299</v>
      </c>
      <c r="B1055" s="1">
        <f ca="1">IFERROR(__xludf.DUMMYFUNCTION("""COMPUTED_VALUE"""),973.45)</f>
        <v>973.45</v>
      </c>
      <c r="C1055" s="3">
        <f t="shared" ca="1" si="32"/>
        <v>8.5996995285707589E-3</v>
      </c>
      <c r="D1055">
        <f t="shared" ca="1" si="31"/>
        <v>976.87551020408182</v>
      </c>
    </row>
    <row r="1056" spans="1:4" x14ac:dyDescent="0.25">
      <c r="A1056" s="2">
        <f ca="1">IFERROR(__xludf.DUMMYFUNCTION("""COMPUTED_VALUE"""),45937.6458333333)</f>
        <v>45937.645833333299</v>
      </c>
      <c r="B1056" s="1">
        <f ca="1">IFERROR(__xludf.DUMMYFUNCTION("""COMPUTED_VALUE"""),982.5)</f>
        <v>982.5</v>
      </c>
      <c r="C1056" s="3">
        <f t="shared" ca="1" si="32"/>
        <v>9.2968308593147607E-3</v>
      </c>
      <c r="D1056">
        <f t="shared" ca="1" si="31"/>
        <v>976.18877551020421</v>
      </c>
    </row>
    <row r="1057" spans="1:4" x14ac:dyDescent="0.25">
      <c r="A1057" s="2">
        <f ca="1">IFERROR(__xludf.DUMMYFUNCTION("""COMPUTED_VALUE"""),45938.6458333333)</f>
        <v>45938.645833333299</v>
      </c>
      <c r="B1057" s="1">
        <f ca="1">IFERROR(__xludf.DUMMYFUNCTION("""COMPUTED_VALUE"""),978.7)</f>
        <v>978.7</v>
      </c>
      <c r="C1057" s="3">
        <f t="shared" ca="1" si="32"/>
        <v>-3.867684478371455E-3</v>
      </c>
      <c r="D1057">
        <f t="shared" ca="1" si="31"/>
        <v>975.78469387755092</v>
      </c>
    </row>
    <row r="1058" spans="1:4" x14ac:dyDescent="0.25">
      <c r="A1058" s="2">
        <f ca="1">IFERROR(__xludf.DUMMYFUNCTION("""COMPUTED_VALUE"""),45939.6458333333)</f>
        <v>45939.645833333299</v>
      </c>
      <c r="B1058" s="1">
        <f ca="1">IFERROR(__xludf.DUMMYFUNCTION("""COMPUTED_VALUE"""),977.1)</f>
        <v>977.1</v>
      </c>
      <c r="C1058" s="3">
        <f t="shared" ca="1" si="32"/>
        <v>-1.6348217022581206E-3</v>
      </c>
      <c r="D1058">
        <f t="shared" ca="1" si="31"/>
        <v>975.26326530612232</v>
      </c>
    </row>
    <row r="1059" spans="1:4" x14ac:dyDescent="0.25">
      <c r="A1059" s="2">
        <f ca="1">IFERROR(__xludf.DUMMYFUNCTION("""COMPUTED_VALUE"""),45940.6458333333)</f>
        <v>45940.645833333299</v>
      </c>
      <c r="B1059" s="1">
        <f ca="1">IFERROR(__xludf.DUMMYFUNCTION("""COMPUTED_VALUE"""),980.9)</f>
        <v>980.9</v>
      </c>
      <c r="C1059" s="3">
        <f t="shared" ca="1" si="32"/>
        <v>3.8890594616722489E-3</v>
      </c>
      <c r="D1059">
        <f t="shared" ca="1" si="31"/>
        <v>974.57551020408141</v>
      </c>
    </row>
    <row r="1060" spans="1:4" x14ac:dyDescent="0.25">
      <c r="A1060" s="2">
        <f ca="1">IFERROR(__xludf.DUMMYFUNCTION("""COMPUTED_VALUE"""),45943.6458333333)</f>
        <v>45943.645833333299</v>
      </c>
      <c r="B1060" s="1">
        <f ca="1">IFERROR(__xludf.DUMMYFUNCTION("""COMPUTED_VALUE"""),977)</f>
        <v>977</v>
      </c>
      <c r="C1060" s="3">
        <f t="shared" ca="1" si="32"/>
        <v>-3.9759404628402261E-3</v>
      </c>
      <c r="D1060">
        <f t="shared" ca="1" si="31"/>
        <v>973.92244897959176</v>
      </c>
    </row>
    <row r="1061" spans="1:4" x14ac:dyDescent="0.25">
      <c r="A1061" s="2">
        <f ca="1">IFERROR(__xludf.DUMMYFUNCTION("""COMPUTED_VALUE"""),45944.6458333333)</f>
        <v>45944.645833333299</v>
      </c>
      <c r="B1061" s="1">
        <f ca="1">IFERROR(__xludf.DUMMYFUNCTION("""COMPUTED_VALUE"""),977.15)</f>
        <v>977.15</v>
      </c>
      <c r="C1061" s="3">
        <f t="shared" ca="1" si="32"/>
        <v>1.5353121801430631E-4</v>
      </c>
      <c r="D1061">
        <f t="shared" ca="1" si="31"/>
        <v>973.26734693877529</v>
      </c>
    </row>
    <row r="1062" spans="1:4" x14ac:dyDescent="0.25">
      <c r="A1062" s="2">
        <f ca="1">IFERROR(__xludf.DUMMYFUNCTION("""COMPUTED_VALUE"""),45945.6458333333)</f>
        <v>45945.645833333299</v>
      </c>
      <c r="B1062" s="1">
        <f ca="1">IFERROR(__xludf.DUMMYFUNCTION("""COMPUTED_VALUE"""),978.25)</f>
        <v>978.25</v>
      </c>
      <c r="C1062" s="3">
        <f t="shared" ca="1" si="32"/>
        <v>1.1257227651844883E-3</v>
      </c>
      <c r="D1062">
        <f t="shared" ca="1" si="31"/>
        <v>972.67653061224496</v>
      </c>
    </row>
    <row r="1063" spans="1:4" x14ac:dyDescent="0.25">
      <c r="A1063" s="2">
        <f ca="1">IFERROR(__xludf.DUMMYFUNCTION("""COMPUTED_VALUE"""),45946.6458333333)</f>
        <v>45946.645833333299</v>
      </c>
      <c r="B1063" s="1">
        <f ca="1">IFERROR(__xludf.DUMMYFUNCTION("""COMPUTED_VALUE"""),994.35)</f>
        <v>994.35</v>
      </c>
      <c r="C1063" s="3">
        <f t="shared" ca="1" si="32"/>
        <v>1.6457960644007178E-2</v>
      </c>
      <c r="D1063">
        <f t="shared" ca="1" si="31"/>
        <v>972.31428571428569</v>
      </c>
    </row>
    <row r="1064" spans="1:4" x14ac:dyDescent="0.25">
      <c r="A1064" s="2">
        <f ca="1">IFERROR(__xludf.DUMMYFUNCTION("""COMPUTED_VALUE"""),45947.6458333333)</f>
        <v>45947.645833333299</v>
      </c>
      <c r="B1064" s="1">
        <f ca="1">IFERROR(__xludf.DUMMYFUNCTION("""COMPUTED_VALUE"""),1002.55)</f>
        <v>1002.55</v>
      </c>
      <c r="C1064" s="3">
        <f t="shared" ca="1" si="32"/>
        <v>8.2465932518730137E-3</v>
      </c>
      <c r="D1064">
        <f t="shared" ca="1" si="31"/>
        <v>972.42755102040826</v>
      </c>
    </row>
    <row r="1065" spans="1:4" x14ac:dyDescent="0.25">
      <c r="A1065" s="2">
        <f ca="1">IFERROR(__xludf.DUMMYFUNCTION("""COMPUTED_VALUE"""),45950.6458333333)</f>
        <v>45950.645833333299</v>
      </c>
      <c r="B1065" s="1">
        <f ca="1">IFERROR(__xludf.DUMMYFUNCTION("""COMPUTED_VALUE"""),1002.95)</f>
        <v>1002.95</v>
      </c>
      <c r="C1065" s="3">
        <f t="shared" ca="1" si="32"/>
        <v>3.989825943844107E-4</v>
      </c>
      <c r="D1065">
        <f t="shared" ca="1" si="31"/>
        <v>972.62959183673479</v>
      </c>
    </row>
    <row r="1066" spans="1:4" x14ac:dyDescent="0.25">
      <c r="A1066" s="2">
        <f ca="1">IFERROR(__xludf.DUMMYFUNCTION("""COMPUTED_VALUE"""),45951.6458333333)</f>
        <v>45951.645833333299</v>
      </c>
      <c r="B1066" s="1">
        <f ca="1">IFERROR(__xludf.DUMMYFUNCTION("""COMPUTED_VALUE"""),1007.7)</f>
        <v>1007.7</v>
      </c>
      <c r="C1066" s="3">
        <f t="shared" ca="1" si="32"/>
        <v>4.7360287152898948E-3</v>
      </c>
      <c r="D1066">
        <f t="shared" ca="1" si="31"/>
        <v>972.73673469387757</v>
      </c>
    </row>
    <row r="1067" spans="1:4" x14ac:dyDescent="0.25">
      <c r="A1067" s="2">
        <f ca="1">IFERROR(__xludf.DUMMYFUNCTION("""COMPUTED_VALUE"""),45953.6458333333)</f>
        <v>45953.645833333299</v>
      </c>
      <c r="B1067" s="1">
        <f ca="1">IFERROR(__xludf.DUMMYFUNCTION("""COMPUTED_VALUE"""),1008.8)</f>
        <v>1008.8</v>
      </c>
      <c r="C1067" s="3">
        <f t="shared" ca="1" si="32"/>
        <v>1.091594720650897E-3</v>
      </c>
      <c r="D1067">
        <f t="shared" ca="1" si="31"/>
        <v>973.16020408163263</v>
      </c>
    </row>
    <row r="1068" spans="1:4" x14ac:dyDescent="0.25">
      <c r="A1068" s="2">
        <f ca="1">IFERROR(__xludf.DUMMYFUNCTION("""COMPUTED_VALUE"""),45954.6458333333)</f>
        <v>45954.645833333299</v>
      </c>
      <c r="B1068" s="1">
        <f ca="1">IFERROR(__xludf.DUMMYFUNCTION("""COMPUTED_VALUE"""),994.75)</f>
        <v>994.75</v>
      </c>
      <c r="C1068" s="3">
        <f t="shared" ca="1" si="32"/>
        <v>-1.3927438540840558E-2</v>
      </c>
      <c r="D1068">
        <f t="shared" ca="1" si="31"/>
        <v>973.38469387755094</v>
      </c>
    </row>
    <row r="1069" spans="1:4" x14ac:dyDescent="0.25">
      <c r="A1069" s="2">
        <f ca="1">IFERROR(__xludf.DUMMYFUNCTION("""COMPUTED_VALUE"""),45957.6458333333)</f>
        <v>45957.645833333299</v>
      </c>
      <c r="B1069" s="1">
        <f ca="1">IFERROR(__xludf.DUMMYFUNCTION("""COMPUTED_VALUE"""),1002.95)</f>
        <v>1002.95</v>
      </c>
      <c r="C1069" s="3">
        <f t="shared" ca="1" si="32"/>
        <v>8.243277205328017E-3</v>
      </c>
      <c r="D1069">
        <f t="shared" ca="1" si="31"/>
        <v>973.5846938775511</v>
      </c>
    </row>
    <row r="1070" spans="1:4" x14ac:dyDescent="0.25">
      <c r="A1070" s="2">
        <f ca="1">IFERROR(__xludf.DUMMYFUNCTION("""COMPUTED_VALUE"""),45958.6458333333)</f>
        <v>45958.645833333299</v>
      </c>
      <c r="B1070" s="1">
        <f ca="1">IFERROR(__xludf.DUMMYFUNCTION("""COMPUTED_VALUE"""),1003.55)</f>
        <v>1003.55</v>
      </c>
      <c r="C1070" s="3">
        <f t="shared" ca="1" si="32"/>
        <v>5.9823520614179072E-4</v>
      </c>
      <c r="D1070">
        <f t="shared" ca="1" si="31"/>
        <v>973.84591836734671</v>
      </c>
    </row>
    <row r="1071" spans="1:4" x14ac:dyDescent="0.25">
      <c r="A1071" s="2">
        <f ca="1">IFERROR(__xludf.DUMMYFUNCTION("""COMPUTED_VALUE"""),45959.6458333333)</f>
        <v>45959.645833333299</v>
      </c>
      <c r="B1071" s="1">
        <f ca="1">IFERROR(__xludf.DUMMYFUNCTION("""COMPUTED_VALUE"""),1007.85)</f>
        <v>1007.85</v>
      </c>
      <c r="C1071" s="3">
        <f t="shared" ca="1" si="32"/>
        <v>4.2847889990534288E-3</v>
      </c>
      <c r="D1071">
        <f t="shared" ca="1" si="31"/>
        <v>974.00918367346935</v>
      </c>
    </row>
    <row r="1072" spans="1:4" x14ac:dyDescent="0.25">
      <c r="A1072" s="2">
        <f ca="1">IFERROR(__xludf.DUMMYFUNCTION("""COMPUTED_VALUE"""),45960.6458333333)</f>
        <v>45960.645833333299</v>
      </c>
      <c r="B1072" s="1">
        <f ca="1">IFERROR(__xludf.DUMMYFUNCTION("""COMPUTED_VALUE"""),998.15)</f>
        <v>998.15</v>
      </c>
      <c r="C1072" s="3">
        <f t="shared" ca="1" si="32"/>
        <v>-9.6244480825520128E-3</v>
      </c>
      <c r="D1072">
        <f t="shared" ca="1" si="31"/>
        <v>974.13265306122435</v>
      </c>
    </row>
    <row r="1073" spans="1:4" x14ac:dyDescent="0.25">
      <c r="A1073" s="2">
        <f ca="1">IFERROR(__xludf.DUMMYFUNCTION("""COMPUTED_VALUE"""),45961.6458333333)</f>
        <v>45961.645833333299</v>
      </c>
      <c r="B1073" s="1">
        <f ca="1">IFERROR(__xludf.DUMMYFUNCTION("""COMPUTED_VALUE"""),987.3)</f>
        <v>987.3</v>
      </c>
      <c r="C1073" s="3">
        <f t="shared" ca="1" si="32"/>
        <v>-1.0870109702950482E-2</v>
      </c>
      <c r="D1073">
        <f t="shared" ca="1" si="31"/>
        <v>974.18571428571431</v>
      </c>
    </row>
    <row r="1074" spans="1:4" x14ac:dyDescent="0.25">
      <c r="A1074" s="2">
        <f ca="1">IFERROR(__xludf.DUMMYFUNCTION("""COMPUTED_VALUE"""),45964.6458333333)</f>
        <v>45964.645833333299</v>
      </c>
      <c r="B1074" s="1">
        <f ca="1">IFERROR(__xludf.DUMMYFUNCTION("""COMPUTED_VALUE"""),992.65)</f>
        <v>992.65</v>
      </c>
      <c r="C1074" s="3">
        <f t="shared" ca="1" si="32"/>
        <v>5.4188190013167454E-3</v>
      </c>
      <c r="D1074">
        <f t="shared" ca="1" si="31"/>
        <v>974.04693877551028</v>
      </c>
    </row>
    <row r="1075" spans="1:4" x14ac:dyDescent="0.25">
      <c r="A1075" s="2">
        <f ca="1">IFERROR(__xludf.DUMMYFUNCTION("""COMPUTED_VALUE"""),45965.6458333333)</f>
        <v>45965.645833333299</v>
      </c>
      <c r="B1075" s="1">
        <f ca="1">IFERROR(__xludf.DUMMYFUNCTION("""COMPUTED_VALUE"""),985.25)</f>
        <v>985.25</v>
      </c>
      <c r="C1075" s="3">
        <f t="shared" ca="1" si="32"/>
        <v>-7.4547927265400469E-3</v>
      </c>
      <c r="D1075">
        <f t="shared" ca="1" si="31"/>
        <v>973.98673469387768</v>
      </c>
    </row>
    <row r="1076" spans="1:4" x14ac:dyDescent="0.25">
      <c r="A1076" s="2">
        <f ca="1">IFERROR(__xludf.DUMMYFUNCTION("""COMPUTED_VALUE"""),45967.6458333333)</f>
        <v>45967.645833333299</v>
      </c>
      <c r="B1076" s="1">
        <f ca="1">IFERROR(__xludf.DUMMYFUNCTION("""COMPUTED_VALUE"""),984.65)</f>
        <v>984.65</v>
      </c>
      <c r="C1076" s="3">
        <f t="shared" ca="1" si="32"/>
        <v>-6.0898249175338518E-4</v>
      </c>
      <c r="D1076">
        <f t="shared" ref="D1076:D1139" ca="1" si="33">AVERAGE(B1027:B1075)</f>
        <v>974.04693877551028</v>
      </c>
    </row>
    <row r="1077" spans="1:4" x14ac:dyDescent="0.25">
      <c r="A1077" s="2">
        <f ca="1">IFERROR(__xludf.DUMMYFUNCTION("""COMPUTED_VALUE"""),45968.6458333333)</f>
        <v>45968.645833333299</v>
      </c>
      <c r="B1077" s="1">
        <f ca="1">IFERROR(__xludf.DUMMYFUNCTION("""COMPUTED_VALUE"""),982.3)</f>
        <v>982.3</v>
      </c>
      <c r="C1077" s="3">
        <f t="shared" ca="1" si="32"/>
        <v>-2.3866348448687582E-3</v>
      </c>
      <c r="D1077">
        <f t="shared" ca="1" si="33"/>
        <v>974.1</v>
      </c>
    </row>
    <row r="1078" spans="1:4" x14ac:dyDescent="0.25">
      <c r="A1078" s="2">
        <f ca="1">IFERROR(__xludf.DUMMYFUNCTION("""COMPUTED_VALUE"""),45971.6458333333)</f>
        <v>45971.645833333299</v>
      </c>
      <c r="B1078" s="1">
        <f ca="1">IFERROR(__xludf.DUMMYFUNCTION("""COMPUTED_VALUE"""),984.5)</f>
        <v>984.5</v>
      </c>
      <c r="C1078" s="3">
        <f t="shared" ca="1" si="32"/>
        <v>2.2396416573348728E-3</v>
      </c>
      <c r="D1078">
        <f t="shared" ca="1" si="33"/>
        <v>974.28163265306148</v>
      </c>
    </row>
    <row r="1079" spans="1:4" x14ac:dyDescent="0.25">
      <c r="A1079" s="2">
        <f ca="1">IFERROR(__xludf.DUMMYFUNCTION("""COMPUTED_VALUE"""),45972.6458333333)</f>
        <v>45972.645833333299</v>
      </c>
      <c r="B1079" s="1">
        <f ca="1">IFERROR(__xludf.DUMMYFUNCTION("""COMPUTED_VALUE"""),991.7)</f>
        <v>991.7</v>
      </c>
      <c r="C1079" s="3">
        <f t="shared" ca="1" si="32"/>
        <v>7.3133570340274713E-3</v>
      </c>
      <c r="D1079">
        <f t="shared" ca="1" si="33"/>
        <v>974.82653061224505</v>
      </c>
    </row>
    <row r="1080" spans="1:4" x14ac:dyDescent="0.25">
      <c r="A1080" s="2">
        <f ca="1">IFERROR(__xludf.DUMMYFUNCTION("""COMPUTED_VALUE"""),45973.6458333333)</f>
        <v>45973.645833333299</v>
      </c>
      <c r="B1080" s="1">
        <f ca="1">IFERROR(__xludf.DUMMYFUNCTION("""COMPUTED_VALUE"""),989.5)</f>
        <v>989.5</v>
      </c>
      <c r="C1080" s="3">
        <f t="shared" ca="1" si="32"/>
        <v>-2.2184128264596606E-3</v>
      </c>
      <c r="D1080">
        <f t="shared" ca="1" si="33"/>
        <v>975.64489795918382</v>
      </c>
    </row>
    <row r="1081" spans="1:4" x14ac:dyDescent="0.25">
      <c r="A1081" s="2">
        <f ca="1">IFERROR(__xludf.DUMMYFUNCTION("""COMPUTED_VALUE"""),45974.6458333333)</f>
        <v>45974.645833333299</v>
      </c>
      <c r="B1081" s="1">
        <f ca="1">IFERROR(__xludf.DUMMYFUNCTION("""COMPUTED_VALUE"""),986.65)</f>
        <v>986.65</v>
      </c>
      <c r="C1081" s="3">
        <f t="shared" ca="1" si="32"/>
        <v>-2.8802425467408009E-3</v>
      </c>
      <c r="D1081">
        <f t="shared" ca="1" si="33"/>
        <v>976.43877551020421</v>
      </c>
    </row>
    <row r="1082" spans="1:4" x14ac:dyDescent="0.25">
      <c r="A1082" s="2">
        <f ca="1">IFERROR(__xludf.DUMMYFUNCTION("""COMPUTED_VALUE"""),45975.6458333333)</f>
        <v>45975.645833333299</v>
      </c>
      <c r="B1082" s="1">
        <f ca="1">IFERROR(__xludf.DUMMYFUNCTION("""COMPUTED_VALUE"""),989.6)</f>
        <v>989.6</v>
      </c>
      <c r="C1082" s="3">
        <f t="shared" ca="1" si="32"/>
        <v>2.9899153701921101E-3</v>
      </c>
      <c r="D1082">
        <f t="shared" ca="1" si="33"/>
        <v>977.29897959183688</v>
      </c>
    </row>
    <row r="1083" spans="1:4" x14ac:dyDescent="0.25">
      <c r="A1083" s="2">
        <f ca="1">IFERROR(__xludf.DUMMYFUNCTION("""COMPUTED_VALUE"""),45978.6458333333)</f>
        <v>45978.645833333299</v>
      </c>
      <c r="B1083" s="1">
        <f ca="1">IFERROR(__xludf.DUMMYFUNCTION("""COMPUTED_VALUE"""),996.55)</f>
        <v>996.55</v>
      </c>
      <c r="C1083" s="3">
        <f t="shared" ca="1" si="32"/>
        <v>7.0230396119643611E-3</v>
      </c>
      <c r="D1083">
        <f t="shared" ca="1" si="33"/>
        <v>978.01632653061245</v>
      </c>
    </row>
    <row r="1084" spans="1:4" x14ac:dyDescent="0.25">
      <c r="A1084" s="2">
        <f ca="1">IFERROR(__xludf.DUMMYFUNCTION("""COMPUTED_VALUE"""),45979.6458333333)</f>
        <v>45979.645833333299</v>
      </c>
      <c r="B1084" s="1">
        <f ca="1">IFERROR(__xludf.DUMMYFUNCTION("""COMPUTED_VALUE"""),992.45)</f>
        <v>992.45</v>
      </c>
      <c r="C1084" s="3">
        <f t="shared" ca="1" si="32"/>
        <v>-4.1141939691936276E-3</v>
      </c>
      <c r="D1084">
        <f t="shared" ca="1" si="33"/>
        <v>978.73673469387779</v>
      </c>
    </row>
    <row r="1085" spans="1:4" x14ac:dyDescent="0.25">
      <c r="A1085" s="2">
        <f ca="1">IFERROR(__xludf.DUMMYFUNCTION("""COMPUTED_VALUE"""),45980.6458333333)</f>
        <v>45980.645833333299</v>
      </c>
      <c r="B1085" s="1">
        <f ca="1">IFERROR(__xludf.DUMMYFUNCTION("""COMPUTED_VALUE"""),994.6)</f>
        <v>994.6</v>
      </c>
      <c r="C1085" s="3">
        <f t="shared" ca="1" si="32"/>
        <v>2.1663559877071661E-3</v>
      </c>
      <c r="D1085">
        <f t="shared" ca="1" si="33"/>
        <v>979.32959183673483</v>
      </c>
    </row>
    <row r="1086" spans="1:4" x14ac:dyDescent="0.25">
      <c r="A1086" s="2">
        <f ca="1">IFERROR(__xludf.DUMMYFUNCTION("""COMPUTED_VALUE"""),45981.6458333333)</f>
        <v>45981.645833333299</v>
      </c>
      <c r="B1086" s="1">
        <f ca="1">IFERROR(__xludf.DUMMYFUNCTION("""COMPUTED_VALUE"""),1008.85)</f>
        <v>1008.85</v>
      </c>
      <c r="C1086" s="3">
        <f t="shared" ca="1" si="32"/>
        <v>1.4327367786044641E-2</v>
      </c>
      <c r="D1086">
        <f t="shared" ca="1" si="33"/>
        <v>979.91326530612264</v>
      </c>
    </row>
    <row r="1087" spans="1:4" x14ac:dyDescent="0.25">
      <c r="A1087" s="2">
        <f ca="1">IFERROR(__xludf.DUMMYFUNCTION("""COMPUTED_VALUE"""),45982.6458333333)</f>
        <v>45982.645833333299</v>
      </c>
      <c r="B1087" s="1">
        <f ca="1">IFERROR(__xludf.DUMMYFUNCTION("""COMPUTED_VALUE"""),998.05)</f>
        <v>998.05</v>
      </c>
      <c r="C1087" s="3">
        <f t="shared" ca="1" si="32"/>
        <v>-1.0705258462606004E-2</v>
      </c>
      <c r="D1087">
        <f t="shared" ca="1" si="33"/>
        <v>980.80510204081645</v>
      </c>
    </row>
    <row r="1088" spans="1:4" x14ac:dyDescent="0.25">
      <c r="A1088" s="2">
        <f ca="1">IFERROR(__xludf.DUMMYFUNCTION("""COMPUTED_VALUE"""),45985.6458333333)</f>
        <v>45985.645833333299</v>
      </c>
      <c r="B1088" s="1">
        <f ca="1">IFERROR(__xludf.DUMMYFUNCTION("""COMPUTED_VALUE"""),999.15)</f>
        <v>999.15</v>
      </c>
      <c r="C1088" s="3">
        <f t="shared" ca="1" si="32"/>
        <v>1.1021491909223213E-3</v>
      </c>
      <c r="D1088">
        <f t="shared" ca="1" si="33"/>
        <v>981.46122448979588</v>
      </c>
    </row>
    <row r="1089" spans="1:4" x14ac:dyDescent="0.25">
      <c r="A1089" s="2">
        <f ca="1">IFERROR(__xludf.DUMMYFUNCTION("""COMPUTED_VALUE"""),45986.6458333333)</f>
        <v>45986.645833333299</v>
      </c>
      <c r="B1089" s="1">
        <f ca="1">IFERROR(__xludf.DUMMYFUNCTION("""COMPUTED_VALUE"""),989.8)</f>
        <v>989.8</v>
      </c>
      <c r="C1089" s="3">
        <f t="shared" ca="1" si="32"/>
        <v>-9.3579542611219764E-3</v>
      </c>
      <c r="D1089">
        <f t="shared" ca="1" si="33"/>
        <v>982.10102040816332</v>
      </c>
    </row>
    <row r="1090" spans="1:4" x14ac:dyDescent="0.25">
      <c r="A1090" s="2">
        <f ca="1">IFERROR(__xludf.DUMMYFUNCTION("""COMPUTED_VALUE"""),45987.6458333333)</f>
        <v>45987.645833333299</v>
      </c>
      <c r="B1090" s="1">
        <f ca="1">IFERROR(__xludf.DUMMYFUNCTION("""COMPUTED_VALUE"""),1003.9)</f>
        <v>1003.9</v>
      </c>
      <c r="C1090" s="3">
        <f t="shared" ca="1" si="32"/>
        <v>1.4245302081228555E-2</v>
      </c>
      <c r="D1090">
        <f t="shared" ca="1" si="33"/>
        <v>982.56020408163272</v>
      </c>
    </row>
    <row r="1091" spans="1:4" x14ac:dyDescent="0.25">
      <c r="A1091" s="2">
        <f ca="1">IFERROR(__xludf.DUMMYFUNCTION("""COMPUTED_VALUE"""),45988.6458333333)</f>
        <v>45988.645833333299</v>
      </c>
      <c r="B1091" s="1">
        <f ca="1">IFERROR(__xludf.DUMMYFUNCTION("""COMPUTED_VALUE"""),1009.5)</f>
        <v>1009.5</v>
      </c>
      <c r="C1091" s="3">
        <f t="shared" ca="1" si="32"/>
        <v>5.5782448451041165E-3</v>
      </c>
      <c r="D1091">
        <f t="shared" ca="1" si="33"/>
        <v>983.31224489795943</v>
      </c>
    </row>
    <row r="1092" spans="1:4" x14ac:dyDescent="0.25">
      <c r="A1092" s="2">
        <f ca="1">IFERROR(__xludf.DUMMYFUNCTION("""COMPUTED_VALUE"""),45989.6458333333)</f>
        <v>45989.645833333299</v>
      </c>
      <c r="B1092" s="1">
        <f ca="1">IFERROR(__xludf.DUMMYFUNCTION("""COMPUTED_VALUE"""),1007.6)</f>
        <v>1007.6</v>
      </c>
      <c r="C1092" s="3">
        <f t="shared" ref="C1092:C1155" ca="1" si="34">(B1092-B1091)/B1091</f>
        <v>-1.8821198613174614E-3</v>
      </c>
      <c r="D1092">
        <f t="shared" ca="1" si="33"/>
        <v>984.18265306122476</v>
      </c>
    </row>
    <row r="1093" spans="1:4" x14ac:dyDescent="0.25">
      <c r="A1093" s="2">
        <f ca="1">IFERROR(__xludf.DUMMYFUNCTION("""COMPUTED_VALUE"""),45992.6458333333)</f>
        <v>45992.645833333299</v>
      </c>
      <c r="B1093" s="1">
        <f ca="1">IFERROR(__xludf.DUMMYFUNCTION("""COMPUTED_VALUE"""),1002.1)</f>
        <v>1002.1</v>
      </c>
      <c r="C1093" s="3">
        <f t="shared" ca="1" si="34"/>
        <v>-5.4585152838427945E-3</v>
      </c>
      <c r="D1093">
        <f t="shared" ca="1" si="33"/>
        <v>985.0214285714286</v>
      </c>
    </row>
    <row r="1094" spans="1:4" x14ac:dyDescent="0.25">
      <c r="A1094" s="2">
        <f ca="1">IFERROR(__xludf.DUMMYFUNCTION("""COMPUTED_VALUE"""),45993.6458333333)</f>
        <v>45993.645833333299</v>
      </c>
      <c r="B1094" s="1">
        <f ca="1">IFERROR(__xludf.DUMMYFUNCTION("""COMPUTED_VALUE"""),989.8)</f>
        <v>989.8</v>
      </c>
      <c r="C1094" s="3">
        <f t="shared" ca="1" si="34"/>
        <v>-1.2274224129328479E-2</v>
      </c>
      <c r="D1094">
        <f t="shared" ca="1" si="33"/>
        <v>985.53571428571433</v>
      </c>
    </row>
    <row r="1095" spans="1:4" x14ac:dyDescent="0.25">
      <c r="A1095" s="2">
        <f ca="1">IFERROR(__xludf.DUMMYFUNCTION("""COMPUTED_VALUE"""),45994.6458333333)</f>
        <v>45994.645833333299</v>
      </c>
      <c r="B1095" s="1">
        <f ca="1">IFERROR(__xludf.DUMMYFUNCTION("""COMPUTED_VALUE"""),1000.5)</f>
        <v>1000.5</v>
      </c>
      <c r="C1095" s="3">
        <f t="shared" ca="1" si="34"/>
        <v>1.0810264699939428E-2</v>
      </c>
      <c r="D1095">
        <f t="shared" ca="1" si="33"/>
        <v>986.00306122448978</v>
      </c>
    </row>
    <row r="1096" spans="1:4" x14ac:dyDescent="0.25">
      <c r="A1096" s="2">
        <f ca="1">IFERROR(__xludf.DUMMYFUNCTION("""COMPUTED_VALUE"""),45995.6458333333)</f>
        <v>45995.645833333299</v>
      </c>
      <c r="B1096" s="1">
        <f ca="1">IFERROR(__xludf.DUMMYFUNCTION("""COMPUTED_VALUE"""),997.2)</f>
        <v>997.2</v>
      </c>
      <c r="C1096" s="3">
        <f t="shared" ca="1" si="34"/>
        <v>-3.2983508245876605E-3</v>
      </c>
      <c r="D1096">
        <f t="shared" ca="1" si="33"/>
        <v>986.74387755102066</v>
      </c>
    </row>
    <row r="1097" spans="1:4" x14ac:dyDescent="0.25">
      <c r="A1097" s="2">
        <f ca="1">IFERROR(__xludf.DUMMYFUNCTION("""COMPUTED_VALUE"""),45996.6458333333)</f>
        <v>45996.645833333299</v>
      </c>
      <c r="B1097" s="1">
        <f ca="1">IFERROR(__xludf.DUMMYFUNCTION("""COMPUTED_VALUE"""),1003.3)</f>
        <v>1003.3</v>
      </c>
      <c r="C1097" s="3">
        <f t="shared" ca="1" si="34"/>
        <v>6.1171279582831013E-3</v>
      </c>
      <c r="D1097">
        <f t="shared" ca="1" si="33"/>
        <v>987.56020408163272</v>
      </c>
    </row>
    <row r="1098" spans="1:4" x14ac:dyDescent="0.25">
      <c r="A1098" s="2">
        <f ca="1">IFERROR(__xludf.DUMMYFUNCTION("""COMPUTED_VALUE"""),45999.6458333333)</f>
        <v>45999.645833333299</v>
      </c>
      <c r="B1098" s="1">
        <f ca="1">IFERROR(__xludf.DUMMYFUNCTION("""COMPUTED_VALUE"""),1003.1)</f>
        <v>1003.1</v>
      </c>
      <c r="C1098" s="3">
        <f t="shared" ca="1" si="34"/>
        <v>-1.9934217083617241E-4</v>
      </c>
      <c r="D1098">
        <f t="shared" ca="1" si="33"/>
        <v>988.62653061224512</v>
      </c>
    </row>
    <row r="1099" spans="1:4" x14ac:dyDescent="0.25">
      <c r="A1099" s="2">
        <f ca="1">IFERROR(__xludf.DUMMYFUNCTION("""COMPUTED_VALUE"""),46000.6458333333)</f>
        <v>46000.645833333299</v>
      </c>
      <c r="B1099" s="1">
        <f ca="1">IFERROR(__xludf.DUMMYFUNCTION("""COMPUTED_VALUE"""),997.1)</f>
        <v>997.1</v>
      </c>
      <c r="C1099" s="3">
        <f t="shared" ca="1" si="34"/>
        <v>-5.9814574818064003E-3</v>
      </c>
      <c r="D1099">
        <f t="shared" ca="1" si="33"/>
        <v>989.71326530612259</v>
      </c>
    </row>
    <row r="1100" spans="1:4" x14ac:dyDescent="0.25">
      <c r="A1100" s="2">
        <f ca="1">IFERROR(__xludf.DUMMYFUNCTION("""COMPUTED_VALUE"""),46001.6458333333)</f>
        <v>46001.645833333299</v>
      </c>
      <c r="B1100" s="1">
        <f ca="1">IFERROR(__xludf.DUMMYFUNCTION("""COMPUTED_VALUE"""),989.8)</f>
        <v>989.8</v>
      </c>
      <c r="C1100" s="3">
        <f t="shared" ca="1" si="34"/>
        <v>-7.3212315715575852E-3</v>
      </c>
      <c r="D1100">
        <f t="shared" ca="1" si="33"/>
        <v>990.7755102040818</v>
      </c>
    </row>
    <row r="1101" spans="1:4" x14ac:dyDescent="0.25">
      <c r="A1101" s="2">
        <f ca="1">IFERROR(__xludf.DUMMYFUNCTION("""COMPUTED_VALUE"""),46002.6458333333)</f>
        <v>46002.645833333299</v>
      </c>
      <c r="B1101" s="1">
        <f ca="1">IFERROR(__xludf.DUMMYFUNCTION("""COMPUTED_VALUE"""),1000.3)</f>
        <v>1000.3</v>
      </c>
      <c r="C1101" s="3">
        <f t="shared" ca="1" si="34"/>
        <v>1.0608203677510608E-2</v>
      </c>
      <c r="D1101">
        <f t="shared" ca="1" si="33"/>
        <v>991.58163265306132</v>
      </c>
    </row>
    <row r="1102" spans="1:4" x14ac:dyDescent="0.25">
      <c r="A1102" s="2">
        <f ca="1">IFERROR(__xludf.DUMMYFUNCTION("""COMPUTED_VALUE"""),46003.6458333333)</f>
        <v>46003.645833333299</v>
      </c>
      <c r="B1102" s="1">
        <f ca="1">IFERROR(__xludf.DUMMYFUNCTION("""COMPUTED_VALUE"""),1001.5)</f>
        <v>1001.5</v>
      </c>
      <c r="C1102" s="3">
        <f t="shared" ca="1" si="34"/>
        <v>1.1996401079676553E-3</v>
      </c>
      <c r="D1102">
        <f t="shared" ca="1" si="33"/>
        <v>992.587755102041</v>
      </c>
    </row>
    <row r="1103" spans="1:4" x14ac:dyDescent="0.25">
      <c r="A1103" s="2">
        <f ca="1">IFERROR(__xludf.DUMMYFUNCTION("""COMPUTED_VALUE"""),46006.6458333333)</f>
        <v>46006.645833333299</v>
      </c>
      <c r="B1103" s="1">
        <f ca="1">IFERROR(__xludf.DUMMYFUNCTION("""COMPUTED_VALUE"""),996.1)</f>
        <v>996.1</v>
      </c>
      <c r="C1103" s="3">
        <f t="shared" ca="1" si="34"/>
        <v>-5.3919121318022735E-3</v>
      </c>
      <c r="D1103">
        <f t="shared" ca="1" si="33"/>
        <v>993.32755102040835</v>
      </c>
    </row>
    <row r="1104" spans="1:4" x14ac:dyDescent="0.25">
      <c r="A1104" s="2">
        <f ca="1">IFERROR(__xludf.DUMMYFUNCTION("""COMPUTED_VALUE"""),46007.6458333333)</f>
        <v>46007.645833333299</v>
      </c>
      <c r="B1104" s="1">
        <f ca="1">IFERROR(__xludf.DUMMYFUNCTION("""COMPUTED_VALUE"""),994.3)</f>
        <v>994.3</v>
      </c>
      <c r="C1104" s="3">
        <f t="shared" ca="1" si="34"/>
        <v>-1.8070474851923182E-3</v>
      </c>
      <c r="D1104">
        <f t="shared" ca="1" si="33"/>
        <v>993.95918367346951</v>
      </c>
    </row>
    <row r="1105" spans="1:4" x14ac:dyDescent="0.25">
      <c r="A1105" s="2">
        <f ca="1">IFERROR(__xludf.DUMMYFUNCTION("""COMPUTED_VALUE"""),46008.6458333333)</f>
        <v>46008.645833333299</v>
      </c>
      <c r="B1105" s="1">
        <f ca="1">IFERROR(__xludf.DUMMYFUNCTION("""COMPUTED_VALUE"""),984)</f>
        <v>984</v>
      </c>
      <c r="C1105" s="3">
        <f t="shared" ca="1" si="34"/>
        <v>-1.0359046565422865E-2</v>
      </c>
      <c r="D1105">
        <f t="shared" ca="1" si="33"/>
        <v>994.38469387755117</v>
      </c>
    </row>
    <row r="1106" spans="1:4" x14ac:dyDescent="0.25">
      <c r="A1106" s="2">
        <f ca="1">IFERROR(__xludf.DUMMYFUNCTION("""COMPUTED_VALUE"""),46009.6458333333)</f>
        <v>46009.645833333299</v>
      </c>
      <c r="B1106" s="1">
        <f ca="1">IFERROR(__xludf.DUMMYFUNCTION("""COMPUTED_VALUE"""),979.7)</f>
        <v>979.7</v>
      </c>
      <c r="C1106" s="3">
        <f t="shared" ca="1" si="34"/>
        <v>-4.3699186991869457E-3</v>
      </c>
      <c r="D1106">
        <f t="shared" ca="1" si="33"/>
        <v>994.41530612244912</v>
      </c>
    </row>
    <row r="1107" spans="1:4" x14ac:dyDescent="0.25">
      <c r="A1107" s="2">
        <f ca="1">IFERROR(__xludf.DUMMYFUNCTION("""COMPUTED_VALUE"""),46010.6458333333)</f>
        <v>46010.645833333299</v>
      </c>
      <c r="B1107" s="1">
        <f ca="1">IFERROR(__xludf.DUMMYFUNCTION("""COMPUTED_VALUE"""),985.5)</f>
        <v>985.5</v>
      </c>
      <c r="C1107" s="3">
        <f t="shared" ca="1" si="34"/>
        <v>5.9201796468306154E-3</v>
      </c>
      <c r="D1107">
        <f t="shared" ca="1" si="33"/>
        <v>994.43571428571431</v>
      </c>
    </row>
    <row r="1108" spans="1:4" x14ac:dyDescent="0.25">
      <c r="A1108" s="2">
        <f ca="1">IFERROR(__xludf.DUMMYFUNCTION("""COMPUTED_VALUE"""),46013.6458333333)</f>
        <v>46013.645833333299</v>
      </c>
      <c r="B1108" s="1">
        <f ca="1">IFERROR(__xludf.DUMMYFUNCTION("""COMPUTED_VALUE"""),987.7)</f>
        <v>987.7</v>
      </c>
      <c r="C1108" s="3">
        <f t="shared" ca="1" si="34"/>
        <v>2.2323693556570729E-3</v>
      </c>
      <c r="D1108">
        <f t="shared" ca="1" si="33"/>
        <v>994.60714285714289</v>
      </c>
    </row>
    <row r="1109" spans="1:4" x14ac:dyDescent="0.25">
      <c r="A1109" s="2">
        <f ca="1">IFERROR(__xludf.DUMMYFUNCTION("""COMPUTED_VALUE"""),46014.6458333333)</f>
        <v>46014.645833333299</v>
      </c>
      <c r="B1109" s="1">
        <f ca="1">IFERROR(__xludf.DUMMYFUNCTION("""COMPUTED_VALUE"""),996.6)</f>
        <v>996.6</v>
      </c>
      <c r="C1109" s="3">
        <f t="shared" ca="1" si="34"/>
        <v>9.0108332489622113E-3</v>
      </c>
      <c r="D1109">
        <f t="shared" ca="1" si="33"/>
        <v>994.7459183673468</v>
      </c>
    </row>
    <row r="1110" spans="1:4" x14ac:dyDescent="0.25">
      <c r="A1110" s="2">
        <f ca="1">IFERROR(__xludf.DUMMYFUNCTION("""COMPUTED_VALUE"""),46015.6458333333)</f>
        <v>46015.645833333299</v>
      </c>
      <c r="B1110" s="1">
        <f ca="1">IFERROR(__xludf.DUMMYFUNCTION("""COMPUTED_VALUE"""),997.2)</f>
        <v>997.2</v>
      </c>
      <c r="C1110" s="3">
        <f t="shared" ca="1" si="34"/>
        <v>6.0204695966287647E-4</v>
      </c>
      <c r="D1110">
        <f t="shared" ca="1" si="33"/>
        <v>995.14591836734678</v>
      </c>
    </row>
    <row r="1111" spans="1:4" x14ac:dyDescent="0.25">
      <c r="A1111" s="2">
        <f ca="1">IFERROR(__xludf.DUMMYFUNCTION("""COMPUTED_VALUE"""),46017.6458333333)</f>
        <v>46017.645833333299</v>
      </c>
      <c r="B1111" s="1">
        <f ca="1">IFERROR(__xludf.DUMMYFUNCTION("""COMPUTED_VALUE"""),992.1)</f>
        <v>992.1</v>
      </c>
      <c r="C1111" s="3">
        <f t="shared" ca="1" si="34"/>
        <v>-5.1143200962695777E-3</v>
      </c>
      <c r="D1111">
        <f t="shared" ca="1" si="33"/>
        <v>995.55510204081611</v>
      </c>
    </row>
    <row r="1112" spans="1:4" x14ac:dyDescent="0.25">
      <c r="A1112" s="2">
        <f ca="1">IFERROR(__xludf.DUMMYFUNCTION("""COMPUTED_VALUE"""),46020.6458333333)</f>
        <v>46020.645833333299</v>
      </c>
      <c r="B1112" s="1">
        <f ca="1">IFERROR(__xludf.DUMMYFUNCTION("""COMPUTED_VALUE"""),991.7)</f>
        <v>991.7</v>
      </c>
      <c r="C1112" s="3">
        <f t="shared" ca="1" si="34"/>
        <v>-4.0318516278598654E-4</v>
      </c>
      <c r="D1112">
        <f t="shared" ca="1" si="33"/>
        <v>995.83775510204043</v>
      </c>
    </row>
    <row r="1113" spans="1:4" x14ac:dyDescent="0.25">
      <c r="A1113" s="2">
        <f ca="1">IFERROR(__xludf.DUMMYFUNCTION("""COMPUTED_VALUE"""),46021.6458333333)</f>
        <v>46021.645833333299</v>
      </c>
      <c r="B1113" s="1">
        <f ca="1">IFERROR(__xludf.DUMMYFUNCTION("""COMPUTED_VALUE"""),990.9)</f>
        <v>990.9</v>
      </c>
      <c r="C1113" s="3">
        <f t="shared" ca="1" si="34"/>
        <v>-8.0669557325811054E-4</v>
      </c>
      <c r="D1113">
        <f t="shared" ca="1" si="33"/>
        <v>995.78367346938751</v>
      </c>
    </row>
    <row r="1114" spans="1:4" x14ac:dyDescent="0.25">
      <c r="A1114" s="2">
        <f ca="1">IFERROR(__xludf.DUMMYFUNCTION("""COMPUTED_VALUE"""),46022.6458333333)</f>
        <v>46022.645833333299</v>
      </c>
      <c r="B1114" s="1">
        <f ca="1">IFERROR(__xludf.DUMMYFUNCTION("""COMPUTED_VALUE"""),991.2)</f>
        <v>991.2</v>
      </c>
      <c r="C1114" s="3">
        <f t="shared" ca="1" si="34"/>
        <v>3.0275507114751056E-4</v>
      </c>
      <c r="D1114">
        <f t="shared" ca="1" si="33"/>
        <v>995.54591836734664</v>
      </c>
    </row>
    <row r="1115" spans="1:4" x14ac:dyDescent="0.25">
      <c r="A1115" s="2">
        <f ca="1">IFERROR(__xludf.DUMMYFUNCTION("""COMPUTED_VALUE"""),46023.6458333333)</f>
        <v>46023.645833333299</v>
      </c>
      <c r="B1115" s="1">
        <f ca="1">IFERROR(__xludf.DUMMYFUNCTION("""COMPUTED_VALUE"""),991.15)</f>
        <v>991.15</v>
      </c>
      <c r="C1115" s="3">
        <f t="shared" ca="1" si="34"/>
        <v>-5.0443906376178584E-5</v>
      </c>
      <c r="D1115">
        <f t="shared" ca="1" si="33"/>
        <v>995.30612244897929</v>
      </c>
    </row>
    <row r="1116" spans="1:4" x14ac:dyDescent="0.25">
      <c r="A1116" s="2">
        <f ca="1">IFERROR(__xludf.DUMMYFUNCTION("""COMPUTED_VALUE"""),46024.6458333333)</f>
        <v>46024.645833333299</v>
      </c>
      <c r="B1116" s="1">
        <f ca="1">IFERROR(__xludf.DUMMYFUNCTION("""COMPUTED_VALUE"""),1001.6)</f>
        <v>1001.6</v>
      </c>
      <c r="C1116" s="3">
        <f t="shared" ca="1" si="34"/>
        <v>1.0543308278262671E-2</v>
      </c>
      <c r="D1116">
        <f t="shared" ca="1" si="33"/>
        <v>994.96836734693852</v>
      </c>
    </row>
    <row r="1117" spans="1:4" x14ac:dyDescent="0.25">
      <c r="A1117" s="2">
        <f ca="1">IFERROR(__xludf.DUMMYFUNCTION("""COMPUTED_VALUE"""),46027.6458333333)</f>
        <v>46027.645833333299</v>
      </c>
      <c r="B1117" s="1">
        <f ca="1">IFERROR(__xludf.DUMMYFUNCTION("""COMPUTED_VALUE"""),977.5)</f>
        <v>977.5</v>
      </c>
      <c r="C1117" s="3">
        <f t="shared" ca="1" si="34"/>
        <v>-2.4061501597444111E-2</v>
      </c>
      <c r="D1117">
        <f t="shared" ca="1" si="33"/>
        <v>994.8214285714281</v>
      </c>
    </row>
    <row r="1118" spans="1:4" x14ac:dyDescent="0.25">
      <c r="A1118" s="2">
        <f ca="1">IFERROR(__xludf.DUMMYFUNCTION("""COMPUTED_VALUE"""),46028.6458333333)</f>
        <v>46028.645833333299</v>
      </c>
      <c r="B1118" s="1">
        <f ca="1">IFERROR(__xludf.DUMMYFUNCTION("""COMPUTED_VALUE"""),962.2)</f>
        <v>962.2</v>
      </c>
      <c r="C1118" s="3">
        <f t="shared" ca="1" si="34"/>
        <v>-1.5652173913043431E-2</v>
      </c>
      <c r="D1118">
        <f t="shared" ca="1" si="33"/>
        <v>994.46938775510159</v>
      </c>
    </row>
    <row r="1119" spans="1:4" x14ac:dyDescent="0.25">
      <c r="A1119" s="2">
        <f ca="1">IFERROR(__xludf.DUMMYFUNCTION("""COMPUTED_VALUE"""),46029.6458333333)</f>
        <v>46029.645833333299</v>
      </c>
      <c r="B1119" s="1">
        <f ca="1">IFERROR(__xludf.DUMMYFUNCTION("""COMPUTED_VALUE"""),949.05)</f>
        <v>949.05</v>
      </c>
      <c r="C1119" s="3">
        <f t="shared" ca="1" si="34"/>
        <v>-1.3666597381001965E-2</v>
      </c>
      <c r="D1119">
        <f t="shared" ca="1" si="33"/>
        <v>993.63775510204039</v>
      </c>
    </row>
    <row r="1120" spans="1:4" x14ac:dyDescent="0.25">
      <c r="A1120" s="2">
        <f ca="1">IFERROR(__xludf.DUMMYFUNCTION("""COMPUTED_VALUE"""),46030.6458333333)</f>
        <v>46030.645833333299</v>
      </c>
      <c r="B1120" s="1">
        <f ca="1">IFERROR(__xludf.DUMMYFUNCTION("""COMPUTED_VALUE"""),946.7)</f>
        <v>946.7</v>
      </c>
      <c r="C1120" s="3">
        <f t="shared" ca="1" si="34"/>
        <v>-2.4761603708971171E-3</v>
      </c>
      <c r="D1120">
        <f t="shared" ca="1" si="33"/>
        <v>992.52551020408134</v>
      </c>
    </row>
    <row r="1121" spans="1:4" x14ac:dyDescent="0.25">
      <c r="A1121" s="2">
        <f ca="1">IFERROR(__xludf.DUMMYFUNCTION("""COMPUTED_VALUE"""),46031.6458333333)</f>
        <v>46031.645833333299</v>
      </c>
      <c r="B1121" s="1">
        <f ca="1">IFERROR(__xludf.DUMMYFUNCTION("""COMPUTED_VALUE"""),939)</f>
        <v>939</v>
      </c>
      <c r="C1121" s="3">
        <f t="shared" ca="1" si="34"/>
        <v>-8.133516425478023E-3</v>
      </c>
      <c r="D1121">
        <f t="shared" ca="1" si="33"/>
        <v>991.27755102040771</v>
      </c>
    </row>
    <row r="1122" spans="1:4" x14ac:dyDescent="0.25">
      <c r="A1122" s="2">
        <f ca="1">IFERROR(__xludf.DUMMYFUNCTION("""COMPUTED_VALUE"""),46034.6458333333)</f>
        <v>46034.645833333299</v>
      </c>
      <c r="B1122" s="1">
        <f ca="1">IFERROR(__xludf.DUMMYFUNCTION("""COMPUTED_VALUE"""),936.95)</f>
        <v>936.95</v>
      </c>
      <c r="C1122" s="3">
        <f t="shared" ca="1" si="34"/>
        <v>-2.183173588924339E-3</v>
      </c>
      <c r="D1122">
        <f t="shared" ca="1" si="33"/>
        <v>990.0704081632648</v>
      </c>
    </row>
    <row r="1123" spans="1:4" x14ac:dyDescent="0.25">
      <c r="A1123" s="2">
        <f ca="1">IFERROR(__xludf.DUMMYFUNCTION("""COMPUTED_VALUE"""),46035.6458333333)</f>
        <v>46035.645833333299</v>
      </c>
      <c r="B1123" s="1">
        <f ca="1">IFERROR(__xludf.DUMMYFUNCTION("""COMPUTED_VALUE"""),937.35)</f>
        <v>937.35</v>
      </c>
      <c r="C1123" s="3">
        <f t="shared" ca="1" si="34"/>
        <v>4.2691712471314077E-4</v>
      </c>
      <c r="D1123">
        <f t="shared" ca="1" si="33"/>
        <v>989.04285714285652</v>
      </c>
    </row>
    <row r="1124" spans="1:4" x14ac:dyDescent="0.25">
      <c r="A1124" s="2">
        <f ca="1">IFERROR(__xludf.DUMMYFUNCTION("""COMPUTED_VALUE"""),46036.6458333333)</f>
        <v>46036.645833333299</v>
      </c>
      <c r="B1124" s="1">
        <f ca="1">IFERROR(__xludf.DUMMYFUNCTION("""COMPUTED_VALUE"""),925.45)</f>
        <v>925.45</v>
      </c>
      <c r="C1124" s="3">
        <f t="shared" ca="1" si="34"/>
        <v>-1.2695364591667976E-2</v>
      </c>
      <c r="D1124">
        <f t="shared" ca="1" si="33"/>
        <v>987.91428571428514</v>
      </c>
    </row>
    <row r="1125" spans="1:4" x14ac:dyDescent="0.25">
      <c r="A1125" s="2">
        <f ca="1">IFERROR(__xludf.DUMMYFUNCTION("""COMPUTED_VALUE"""),46038.6458333333)</f>
        <v>46038.645833333299</v>
      </c>
      <c r="B1125" s="1">
        <f ca="1">IFERROR(__xludf.DUMMYFUNCTION("""COMPUTED_VALUE"""),931.1)</f>
        <v>931.1</v>
      </c>
      <c r="C1125" s="3">
        <f t="shared" ca="1" si="34"/>
        <v>6.1051380409530252E-3</v>
      </c>
      <c r="D1125">
        <f t="shared" ca="1" si="33"/>
        <v>986.6938775510198</v>
      </c>
    </row>
    <row r="1126" spans="1:4" x14ac:dyDescent="0.25">
      <c r="A1126" s="2">
        <f ca="1">IFERROR(__xludf.DUMMYFUNCTION("""COMPUTED_VALUE"""),46041.6458333333)</f>
        <v>46041.645833333299</v>
      </c>
      <c r="B1126" s="1">
        <f ca="1">IFERROR(__xludf.DUMMYFUNCTION("""COMPUTED_VALUE"""),927.9)</f>
        <v>927.9</v>
      </c>
      <c r="C1126" s="3">
        <f t="shared" ca="1" si="34"/>
        <v>-3.4367951884867851E-3</v>
      </c>
      <c r="D1126">
        <f t="shared" ca="1" si="33"/>
        <v>985.60102040816275</v>
      </c>
    </row>
    <row r="1127" spans="1:4" x14ac:dyDescent="0.25">
      <c r="A1127" s="2">
        <f ca="1">IFERROR(__xludf.DUMMYFUNCTION("""COMPUTED_VALUE"""),46042.6458333333)</f>
        <v>46042.645833333299</v>
      </c>
      <c r="B1127" s="1">
        <f ca="1">IFERROR(__xludf.DUMMYFUNCTION("""COMPUTED_VALUE"""),931.2)</f>
        <v>931.2</v>
      </c>
      <c r="C1127" s="3">
        <f t="shared" ca="1" si="34"/>
        <v>3.5564177174265206E-3</v>
      </c>
      <c r="D1127">
        <f t="shared" ca="1" si="33"/>
        <v>984.49081632653008</v>
      </c>
    </row>
    <row r="1128" spans="1:4" x14ac:dyDescent="0.25">
      <c r="A1128" s="2">
        <f ca="1">IFERROR(__xludf.DUMMYFUNCTION("""COMPUTED_VALUE"""),46043.6458333333)</f>
        <v>46043.645833333299</v>
      </c>
      <c r="B1128" s="1">
        <f ca="1">IFERROR(__xludf.DUMMYFUNCTION("""COMPUTED_VALUE"""),920.35)</f>
        <v>920.35</v>
      </c>
      <c r="C1128" s="3">
        <f t="shared" ca="1" si="34"/>
        <v>-1.1651632302405523E-2</v>
      </c>
      <c r="D1128">
        <f t="shared" ca="1" si="33"/>
        <v>983.40306122448931</v>
      </c>
    </row>
    <row r="1129" spans="1:4" x14ac:dyDescent="0.25">
      <c r="A1129" s="2">
        <f ca="1">IFERROR(__xludf.DUMMYFUNCTION("""COMPUTED_VALUE"""),46044.6458333333)</f>
        <v>46044.645833333299</v>
      </c>
      <c r="B1129" s="1">
        <f ca="1">IFERROR(__xludf.DUMMYFUNCTION("""COMPUTED_VALUE"""),918.7)</f>
        <v>918.7</v>
      </c>
      <c r="C1129" s="3">
        <f t="shared" ca="1" si="34"/>
        <v>-1.7927962188297683E-3</v>
      </c>
      <c r="D1129">
        <f t="shared" ca="1" si="33"/>
        <v>981.94693877550969</v>
      </c>
    </row>
    <row r="1130" spans="1:4" x14ac:dyDescent="0.25">
      <c r="A1130" s="2">
        <f ca="1">IFERROR(__xludf.DUMMYFUNCTION("""COMPUTED_VALUE"""),46045.6458333333)</f>
        <v>46045.645833333299</v>
      </c>
      <c r="B1130" s="1">
        <f ca="1">IFERROR(__xludf.DUMMYFUNCTION("""COMPUTED_VALUE"""),916.1)</f>
        <v>916.1</v>
      </c>
      <c r="C1130" s="3">
        <f t="shared" ca="1" si="34"/>
        <v>-2.8300859910743688E-3</v>
      </c>
      <c r="D1130">
        <f t="shared" ca="1" si="33"/>
        <v>980.50204081632603</v>
      </c>
    </row>
    <row r="1131" spans="1:4" x14ac:dyDescent="0.25">
      <c r="A1131" s="2">
        <f ca="1">IFERROR(__xludf.DUMMYFUNCTION("""COMPUTED_VALUE"""),46049.6458333333)</f>
        <v>46049.645833333299</v>
      </c>
      <c r="B1131" s="1">
        <f ca="1">IFERROR(__xludf.DUMMYFUNCTION("""COMPUTED_VALUE"""),926.4)</f>
        <v>926.4</v>
      </c>
      <c r="C1131" s="3">
        <f t="shared" ca="1" si="34"/>
        <v>1.1243314048684592E-2</v>
      </c>
      <c r="D1131">
        <f t="shared" ca="1" si="33"/>
        <v>979.06224489795864</v>
      </c>
    </row>
    <row r="1132" spans="1:4" x14ac:dyDescent="0.25">
      <c r="A1132" s="2">
        <f ca="1">IFERROR(__xludf.DUMMYFUNCTION("""COMPUTED_VALUE"""),46050.6458333333)</f>
        <v>46050.645833333299</v>
      </c>
      <c r="B1132" s="1">
        <f ca="1">IFERROR(__xludf.DUMMYFUNCTION("""COMPUTED_VALUE"""),932.7)</f>
        <v>932.7</v>
      </c>
      <c r="C1132" s="3">
        <f t="shared" ca="1" si="34"/>
        <v>6.8005181347150995E-3</v>
      </c>
      <c r="D1132">
        <f t="shared" ca="1" si="33"/>
        <v>977.77244897959133</v>
      </c>
    </row>
    <row r="1133" spans="1:4" x14ac:dyDescent="0.25">
      <c r="A1133" s="2">
        <f ca="1">IFERROR(__xludf.DUMMYFUNCTION("""COMPUTED_VALUE"""),46051.6458333333)</f>
        <v>46051.645833333299</v>
      </c>
      <c r="B1133" s="1">
        <f ca="1">IFERROR(__xludf.DUMMYFUNCTION("""COMPUTED_VALUE"""),935.5)</f>
        <v>935.5</v>
      </c>
      <c r="C1133" s="3">
        <f t="shared" ca="1" si="34"/>
        <v>3.0020370966012161E-3</v>
      </c>
      <c r="D1133">
        <f t="shared" ca="1" si="33"/>
        <v>976.46938775510159</v>
      </c>
    </row>
    <row r="1134" spans="1:4" x14ac:dyDescent="0.25">
      <c r="A1134" s="2">
        <f ca="1">IFERROR(__xludf.DUMMYFUNCTION("""COMPUTED_VALUE"""),46052.6458333333)</f>
        <v>46052.645833333299</v>
      </c>
      <c r="B1134" s="1">
        <f ca="1">IFERROR(__xludf.DUMMYFUNCTION("""COMPUTED_VALUE"""),929.25)</f>
        <v>929.25</v>
      </c>
      <c r="C1134" s="3">
        <f t="shared" ca="1" si="34"/>
        <v>-6.6809192944949228E-3</v>
      </c>
      <c r="D1134">
        <f t="shared" ca="1" si="33"/>
        <v>975.30714285714237</v>
      </c>
    </row>
    <row r="1135" spans="1:4" x14ac:dyDescent="0.25">
      <c r="A1135" s="2">
        <f ca="1">IFERROR(__xludf.DUMMYFUNCTION("""COMPUTED_VALUE"""),46055.6458333333)</f>
        <v>46055.645833333299</v>
      </c>
      <c r="B1135" s="1">
        <f ca="1">IFERROR(__xludf.DUMMYFUNCTION("""COMPUTED_VALUE"""),928.1)</f>
        <v>928.1</v>
      </c>
      <c r="C1135" s="3">
        <f t="shared" ca="1" si="34"/>
        <v>-1.2375571697605351E-3</v>
      </c>
      <c r="D1135">
        <f t="shared" ca="1" si="33"/>
        <v>973.97346938775479</v>
      </c>
    </row>
    <row r="1136" spans="1:4" x14ac:dyDescent="0.25">
      <c r="A1136" s="2">
        <f ca="1">IFERROR(__xludf.DUMMYFUNCTION("""COMPUTED_VALUE"""),46056.6458333333)</f>
        <v>46056.645833333299</v>
      </c>
      <c r="B1136" s="1">
        <f ca="1">IFERROR(__xludf.DUMMYFUNCTION("""COMPUTED_VALUE"""),948.7)</f>
        <v>948.7</v>
      </c>
      <c r="C1136" s="3">
        <f t="shared" ca="1" si="34"/>
        <v>2.2195884064217242E-2</v>
      </c>
      <c r="D1136">
        <f t="shared" ca="1" si="33"/>
        <v>972.3255102040813</v>
      </c>
    </row>
    <row r="1137" spans="1:4" x14ac:dyDescent="0.25">
      <c r="A1137" s="2">
        <f ca="1">IFERROR(__xludf.DUMMYFUNCTION("""COMPUTED_VALUE"""),46057.6458333333)</f>
        <v>46057.645833333299</v>
      </c>
      <c r="B1137" s="1">
        <f ca="1">IFERROR(__xludf.DUMMYFUNCTION("""COMPUTED_VALUE"""),953.1)</f>
        <v>953.1</v>
      </c>
      <c r="C1137" s="3">
        <f t="shared" ca="1" si="34"/>
        <v>4.6379255823758587E-3</v>
      </c>
      <c r="D1137">
        <f t="shared" ca="1" si="33"/>
        <v>971.31836734693843</v>
      </c>
    </row>
    <row r="1138" spans="1:4" x14ac:dyDescent="0.25">
      <c r="A1138" s="2">
        <f ca="1">IFERROR(__xludf.DUMMYFUNCTION("""COMPUTED_VALUE"""),46058.6458333333)</f>
        <v>46058.645833333299</v>
      </c>
      <c r="B1138" s="1">
        <f ca="1">IFERROR(__xludf.DUMMYFUNCTION("""COMPUTED_VALUE"""),949.7)</f>
        <v>949.7</v>
      </c>
      <c r="C1138" s="3">
        <f t="shared" ca="1" si="34"/>
        <v>-3.5673066834539685E-3</v>
      </c>
      <c r="D1138">
        <f t="shared" ca="1" si="33"/>
        <v>970.37857142857104</v>
      </c>
    </row>
    <row r="1139" spans="1:4" x14ac:dyDescent="0.25">
      <c r="A1139" s="2">
        <f ca="1">IFERROR(__xludf.DUMMYFUNCTION("""COMPUTED_VALUE"""),46059.6458333333)</f>
        <v>46059.645833333299</v>
      </c>
      <c r="B1139" s="1">
        <f ca="1">IFERROR(__xludf.DUMMYFUNCTION("""COMPUTED_VALUE"""),941.1)</f>
        <v>941.1</v>
      </c>
      <c r="C1139" s="3">
        <f t="shared" ca="1" si="34"/>
        <v>-9.0554912077498387E-3</v>
      </c>
      <c r="D1139">
        <f t="shared" ca="1" si="33"/>
        <v>969.56020408163226</v>
      </c>
    </row>
    <row r="1140" spans="1:4" x14ac:dyDescent="0.25">
      <c r="A1140" s="2">
        <f ca="1">IFERROR(__xludf.DUMMYFUNCTION("""COMPUTED_VALUE"""),46062.6458333333)</f>
        <v>46062.645833333299</v>
      </c>
      <c r="B1140" s="1">
        <f ca="1">IFERROR(__xludf.DUMMYFUNCTION("""COMPUTED_VALUE"""),937.25)</f>
        <v>937.25</v>
      </c>
      <c r="C1140" s="3">
        <f t="shared" ca="1" si="34"/>
        <v>-4.0909573902879852E-3</v>
      </c>
      <c r="D1140">
        <f t="shared" ref="D1140:D1203" ca="1" si="35">AVERAGE(B1091:B1139)</f>
        <v>968.27857142857101</v>
      </c>
    </row>
    <row r="1141" spans="1:4" x14ac:dyDescent="0.25">
      <c r="A1141" s="2">
        <f ca="1">IFERROR(__xludf.DUMMYFUNCTION("""COMPUTED_VALUE"""),46063.6458333333)</f>
        <v>46063.645833333299</v>
      </c>
      <c r="B1141" s="1">
        <f ca="1">IFERROR(__xludf.DUMMYFUNCTION("""COMPUTED_VALUE"""),932.4)</f>
        <v>932.4</v>
      </c>
      <c r="C1141" s="3">
        <f t="shared" ca="1" si="34"/>
        <v>-5.1747132568685222E-3</v>
      </c>
      <c r="D1141">
        <f t="shared" ca="1" si="35"/>
        <v>966.8040816326527</v>
      </c>
    </row>
    <row r="1142" spans="1:4" x14ac:dyDescent="0.25">
      <c r="A1142" s="2">
        <f ca="1">IFERROR(__xludf.DUMMYFUNCTION("""COMPUTED_VALUE"""),46064.6458333333)</f>
        <v>46064.645833333299</v>
      </c>
      <c r="B1142" s="1">
        <f ca="1">IFERROR(__xludf.DUMMYFUNCTION("""COMPUTED_VALUE"""),927.1)</f>
        <v>927.1</v>
      </c>
      <c r="C1142" s="3">
        <f t="shared" ca="1" si="34"/>
        <v>-5.6842556842556357E-3</v>
      </c>
      <c r="D1142">
        <f t="shared" ca="1" si="35"/>
        <v>965.26938775510166</v>
      </c>
    </row>
    <row r="1143" spans="1:4" x14ac:dyDescent="0.25">
      <c r="A1143" s="2">
        <f ca="1">IFERROR(__xludf.DUMMYFUNCTION("""COMPUTED_VALUE"""),46065.6458333333)</f>
        <v>46065.645833333299</v>
      </c>
      <c r="B1143" s="1">
        <f ca="1">IFERROR(__xludf.DUMMYFUNCTION("""COMPUTED_VALUE"""),920.6)</f>
        <v>920.6</v>
      </c>
      <c r="C1143" s="3">
        <f t="shared" ca="1" si="34"/>
        <v>-7.0111099126307841E-3</v>
      </c>
      <c r="D1143">
        <f t="shared" ca="1" si="35"/>
        <v>963.73877551020382</v>
      </c>
    </row>
    <row r="1144" spans="1:4" x14ac:dyDescent="0.25">
      <c r="A1144" s="2">
        <f ca="1">IFERROR(__xludf.DUMMYFUNCTION("""COMPUTED_VALUE"""),46066.6458333333)</f>
        <v>46066.645833333299</v>
      </c>
      <c r="B1144" s="1">
        <f ca="1">IFERROR(__xludf.DUMMYFUNCTION("""COMPUTED_VALUE"""),903.9)</f>
        <v>903.9</v>
      </c>
      <c r="C1144" s="3">
        <f t="shared" ca="1" si="34"/>
        <v>-1.8140343254399352E-2</v>
      </c>
      <c r="D1144">
        <f t="shared" ca="1" si="35"/>
        <v>962.3265306122446</v>
      </c>
    </row>
    <row r="1145" spans="1:4" x14ac:dyDescent="0.25">
      <c r="A1145" s="2">
        <f ca="1">IFERROR(__xludf.DUMMYFUNCTION("""COMPUTED_VALUE"""),46069.6458333333)</f>
        <v>46069.645833333299</v>
      </c>
      <c r="B1145" s="1">
        <f ca="1">IFERROR(__xludf.DUMMYFUNCTION("""COMPUTED_VALUE"""),925.8)</f>
        <v>925.8</v>
      </c>
      <c r="C1145" s="3">
        <f t="shared" ca="1" si="34"/>
        <v>2.422834384334548E-2</v>
      </c>
      <c r="D1145">
        <f t="shared" ca="1" si="35"/>
        <v>960.35510204081618</v>
      </c>
    </row>
    <row r="1146" spans="1:4" x14ac:dyDescent="0.25">
      <c r="A1146" s="2">
        <f ca="1">IFERROR(__xludf.DUMMYFUNCTION("""COMPUTED_VALUE"""),46070.6458333333)</f>
        <v>46070.645833333299</v>
      </c>
      <c r="B1146" s="1">
        <f ca="1">IFERROR(__xludf.DUMMYFUNCTION("""COMPUTED_VALUE"""),925.7)</f>
        <v>925.7</v>
      </c>
      <c r="C1146" s="3">
        <f t="shared" ca="1" si="34"/>
        <v>-1.0801468999774148E-4</v>
      </c>
      <c r="D1146">
        <f t="shared" ca="1" si="35"/>
        <v>958.89795918367349</v>
      </c>
    </row>
    <row r="1147" spans="1:4" x14ac:dyDescent="0.25">
      <c r="A1147" s="2">
        <f ca="1">IFERROR(__xludf.DUMMYFUNCTION("""COMPUTED_VALUE"""),46071.6458333333)</f>
        <v>46071.645833333299</v>
      </c>
      <c r="B1147" s="1">
        <f ca="1">IFERROR(__xludf.DUMMYFUNCTION("""COMPUTED_VALUE"""),924.7)</f>
        <v>924.7</v>
      </c>
      <c r="C1147" s="3">
        <f t="shared" ca="1" si="34"/>
        <v>-1.0802635843145728E-3</v>
      </c>
      <c r="D1147">
        <f t="shared" ca="1" si="35"/>
        <v>957.31428571428546</v>
      </c>
    </row>
    <row r="1148" spans="1:4" x14ac:dyDescent="0.25">
      <c r="A1148" s="2">
        <f ca="1">IFERROR(__xludf.DUMMYFUNCTION("""COMPUTED_VALUE"""),46072.6458333333)</f>
        <v>46072.645833333299</v>
      </c>
      <c r="B1148" s="1">
        <f ca="1">IFERROR(__xludf.DUMMYFUNCTION("""COMPUTED_VALUE"""),915.6)</f>
        <v>915.6</v>
      </c>
      <c r="C1148" s="3">
        <f t="shared" ca="1" si="34"/>
        <v>-9.8410295230885927E-3</v>
      </c>
      <c r="D1148">
        <f t="shared" ca="1" si="35"/>
        <v>955.71428571428544</v>
      </c>
    </row>
    <row r="1149" spans="1:4" x14ac:dyDescent="0.25">
      <c r="A1149" s="2">
        <f ca="1">IFERROR(__xludf.DUMMYFUNCTION("""COMPUTED_VALUE"""),46073.6458333333)</f>
        <v>46073.645833333299</v>
      </c>
      <c r="B1149" s="1">
        <f ca="1">IFERROR(__xludf.DUMMYFUNCTION("""COMPUTED_VALUE"""),911.85)</f>
        <v>911.85</v>
      </c>
      <c r="C1149" s="3">
        <f t="shared" ca="1" si="34"/>
        <v>-4.0956749672346002E-3</v>
      </c>
      <c r="D1149">
        <f t="shared" ca="1" si="35"/>
        <v>954.05102040816291</v>
      </c>
    </row>
    <row r="1150" spans="1:4" x14ac:dyDescent="0.25">
      <c r="A1150" s="2">
        <f ca="1">IFERROR(__xludf.DUMMYFUNCTION("""COMPUTED_VALUE"""),46076.6458333333)</f>
        <v>46076.645833333299</v>
      </c>
      <c r="B1150" s="1">
        <f ca="1">IFERROR(__xludf.DUMMYFUNCTION("""COMPUTED_VALUE"""),923.6)</f>
        <v>923.6</v>
      </c>
      <c r="C1150" s="3">
        <f t="shared" ca="1" si="34"/>
        <v>1.2885891319844273E-2</v>
      </c>
      <c r="D1150">
        <f t="shared" ca="1" si="35"/>
        <v>952.46020408163247</v>
      </c>
    </row>
    <row r="1151" spans="1:4" x14ac:dyDescent="0.25">
      <c r="A1151" s="2">
        <f ca="1">IFERROR(__xludf.DUMMYFUNCTION("""COMPUTED_VALUE"""),46077.6458333333)</f>
        <v>46077.645833333299</v>
      </c>
      <c r="B1151" s="1">
        <f ca="1">IFERROR(__xludf.DUMMYFUNCTION("""COMPUTED_VALUE"""),910.5)</f>
        <v>910.5</v>
      </c>
      <c r="C1151" s="3">
        <f t="shared" ca="1" si="34"/>
        <v>-1.4183629276743203E-2</v>
      </c>
      <c r="D1151">
        <f t="shared" ca="1" si="35"/>
        <v>950.89489795918337</v>
      </c>
    </row>
    <row r="1152" spans="1:4" x14ac:dyDescent="0.25">
      <c r="A1152" s="2">
        <f ca="1">IFERROR(__xludf.DUMMYFUNCTION("""COMPUTED_VALUE"""),46078.6458333333)</f>
        <v>46078.645833333299</v>
      </c>
      <c r="B1152" s="1">
        <f ca="1">IFERROR(__xludf.DUMMYFUNCTION("""COMPUTED_VALUE"""),907.6)</f>
        <v>907.6</v>
      </c>
      <c r="C1152" s="3">
        <f t="shared" ca="1" si="34"/>
        <v>-3.1850631521141981E-3</v>
      </c>
      <c r="D1152">
        <f t="shared" ca="1" si="35"/>
        <v>949.03775510204059</v>
      </c>
    </row>
    <row r="1153" spans="1:4" x14ac:dyDescent="0.25">
      <c r="A1153" s="2">
        <f ca="1">IFERROR(__xludf.DUMMYFUNCTION("""COMPUTED_VALUE"""),46079.6458333333)</f>
        <v>46079.645833333299</v>
      </c>
      <c r="B1153" s="1">
        <f ca="1">IFERROR(__xludf.DUMMYFUNCTION("""COMPUTED_VALUE"""),898.6)</f>
        <v>898.6</v>
      </c>
      <c r="C1153" s="3">
        <f t="shared" ca="1" si="34"/>
        <v>-9.9162626707800794E-3</v>
      </c>
      <c r="D1153">
        <f t="shared" ca="1" si="35"/>
        <v>947.23163265306107</v>
      </c>
    </row>
    <row r="1154" spans="1:4" x14ac:dyDescent="0.25">
      <c r="A1154" s="2">
        <f ca="1">IFERROR(__xludf.DUMMYFUNCTION("""COMPUTED_VALUE"""),46080.6458333333)</f>
        <v>46080.645833333299</v>
      </c>
      <c r="B1154" s="1">
        <f ca="1">IFERROR(__xludf.DUMMYFUNCTION("""COMPUTED_VALUE"""),887.75)</f>
        <v>887.75</v>
      </c>
      <c r="C1154" s="3">
        <f t="shared" ca="1" si="34"/>
        <v>-1.2074337858891634E-2</v>
      </c>
      <c r="D1154">
        <f t="shared" ca="1" si="35"/>
        <v>945.27857142857135</v>
      </c>
    </row>
    <row r="1155" spans="1:4" x14ac:dyDescent="0.25">
      <c r="A1155" s="2">
        <f ca="1">IFERROR(__xludf.DUMMYFUNCTION("""COMPUTED_VALUE"""),46083.6458333333)</f>
        <v>46083.645833333299</v>
      </c>
      <c r="B1155" s="1">
        <f ca="1">IFERROR(__xludf.DUMMYFUNCTION("""COMPUTED_VALUE"""),879.4)</f>
        <v>879.4</v>
      </c>
      <c r="C1155" s="3">
        <f t="shared" ca="1" si="34"/>
        <v>-9.4058011827654435E-3</v>
      </c>
      <c r="D1155">
        <f t="shared" ca="1" si="35"/>
        <v>943.31428571428546</v>
      </c>
    </row>
    <row r="1156" spans="1:4" x14ac:dyDescent="0.25">
      <c r="A1156" s="2">
        <f ca="1">IFERROR(__xludf.DUMMYFUNCTION("""COMPUTED_VALUE"""),46085.6458333333)</f>
        <v>46085.645833333299</v>
      </c>
      <c r="B1156" s="1">
        <f ca="1">IFERROR(__xludf.DUMMYFUNCTION("""COMPUTED_VALUE"""),869)</f>
        <v>869</v>
      </c>
      <c r="C1156" s="3">
        <f t="shared" ref="C1156:C1219" ca="1" si="36">(B1156-B1155)/B1155</f>
        <v>-1.1826245167159402E-2</v>
      </c>
      <c r="D1156">
        <f t="shared" ca="1" si="35"/>
        <v>941.26734693877529</v>
      </c>
    </row>
    <row r="1157" spans="1:4" x14ac:dyDescent="0.25">
      <c r="A1157" s="2">
        <f ca="1">IFERROR(__xludf.DUMMYFUNCTION("""COMPUTED_VALUE"""),46086.6458333333)</f>
        <v>46086.645833333299</v>
      </c>
      <c r="B1157" s="1">
        <f ca="1">IFERROR(__xludf.DUMMYFUNCTION("""COMPUTED_VALUE"""),877.75)</f>
        <v>877.75</v>
      </c>
      <c r="C1157" s="3">
        <f t="shared" ca="1" si="36"/>
        <v>1.0069044879171462E-2</v>
      </c>
      <c r="D1157">
        <f t="shared" ca="1" si="35"/>
        <v>938.88979591836721</v>
      </c>
    </row>
    <row r="1158" spans="1:4" x14ac:dyDescent="0.25">
      <c r="A1158" s="2">
        <f ca="1">IFERROR(__xludf.DUMMYFUNCTION("""COMPUTED_VALUE"""),46087.6458333333)</f>
        <v>46087.645833333299</v>
      </c>
      <c r="B1158" s="1">
        <f ca="1">IFERROR(__xludf.DUMMYFUNCTION("""COMPUTED_VALUE"""),857.05)</f>
        <v>857.05</v>
      </c>
      <c r="C1158" s="3">
        <f t="shared" ca="1" si="36"/>
        <v>-2.3583024779265219E-2</v>
      </c>
      <c r="D1158">
        <f t="shared" ca="1" si="35"/>
        <v>936.64591836734678</v>
      </c>
    </row>
    <row r="1159" spans="1:4" x14ac:dyDescent="0.25">
      <c r="A1159" s="2">
        <f ca="1">IFERROR(__xludf.DUMMYFUNCTION("""COMPUTED_VALUE"""),46090.6458333333)</f>
        <v>46090.645833333299</v>
      </c>
      <c r="B1159" s="1">
        <f ca="1">IFERROR(__xludf.DUMMYFUNCTION("""COMPUTED_VALUE"""),840.7)</f>
        <v>840.7</v>
      </c>
      <c r="C1159" s="3">
        <f t="shared" ca="1" si="36"/>
        <v>-1.9077066682223802E-2</v>
      </c>
      <c r="D1159">
        <f t="shared" ca="1" si="35"/>
        <v>933.79795918367324</v>
      </c>
    </row>
    <row r="1160" spans="1:4" x14ac:dyDescent="0.25">
      <c r="A1160" s="2">
        <f ca="1">IFERROR(__xludf.DUMMYFUNCTION("""COMPUTED_VALUE"""),46091.6458333333)</f>
        <v>46091.645833333299</v>
      </c>
      <c r="B1160" s="1">
        <f ca="1">IFERROR(__xludf.DUMMYFUNCTION("""COMPUTED_VALUE"""),849.45)</f>
        <v>849.45</v>
      </c>
      <c r="C1160" s="3">
        <f t="shared" ca="1" si="36"/>
        <v>1.0407993338884262E-2</v>
      </c>
      <c r="D1160">
        <f t="shared" ca="1" si="35"/>
        <v>930.60408163265288</v>
      </c>
    </row>
    <row r="1161" spans="1:4" x14ac:dyDescent="0.25">
      <c r="A1161" s="2">
        <f ca="1">IFERROR(__xludf.DUMMYFUNCTION("""COMPUTED_VALUE"""),46092.6458333333)</f>
        <v>46092.645833333299</v>
      </c>
      <c r="B1161" s="1">
        <f ca="1">IFERROR(__xludf.DUMMYFUNCTION("""COMPUTED_VALUE"""),833.95)</f>
        <v>833.95</v>
      </c>
      <c r="C1161" s="3">
        <f t="shared" ca="1" si="36"/>
        <v>-1.8247101065395253E-2</v>
      </c>
      <c r="D1161">
        <f t="shared" ca="1" si="35"/>
        <v>927.69285714285695</v>
      </c>
    </row>
    <row r="1162" spans="1:4" x14ac:dyDescent="0.25">
      <c r="A1162" s="2">
        <f ca="1">IFERROR(__xludf.DUMMYFUNCTION("""COMPUTED_VALUE"""),46093.6458333333)</f>
        <v>46093.645833333299</v>
      </c>
      <c r="B1162" s="1">
        <f ca="1">IFERROR(__xludf.DUMMYFUNCTION("""COMPUTED_VALUE"""),832.75)</f>
        <v>832.75</v>
      </c>
      <c r="C1162" s="3">
        <f t="shared" ca="1" si="36"/>
        <v>-1.4389351879609633E-3</v>
      </c>
      <c r="D1162">
        <f t="shared" ca="1" si="35"/>
        <v>924.4734693877549</v>
      </c>
    </row>
    <row r="1163" spans="1:4" x14ac:dyDescent="0.25">
      <c r="A1163" s="2">
        <f ca="1">IFERROR(__xludf.DUMMYFUNCTION("""COMPUTED_VALUE"""),46094.6458333333)</f>
        <v>46094.645833333299</v>
      </c>
      <c r="B1163" s="1">
        <f ca="1">IFERROR(__xludf.DUMMYFUNCTION("""COMPUTED_VALUE"""),817)</f>
        <v>817</v>
      </c>
      <c r="C1163" s="3">
        <f t="shared" ca="1" si="36"/>
        <v>-1.8913239267487243E-2</v>
      </c>
      <c r="D1163">
        <f t="shared" ca="1" si="35"/>
        <v>921.2459183673468</v>
      </c>
    </row>
    <row r="1164" spans="1:4" x14ac:dyDescent="0.25">
      <c r="A1164" s="2">
        <f ca="1">IFERROR(__xludf.DUMMYFUNCTION("""COMPUTED_VALUE"""),46097.6458333333)</f>
        <v>46097.645833333299</v>
      </c>
      <c r="B1164" s="1">
        <f ca="1">IFERROR(__xludf.DUMMYFUNCTION("""COMPUTED_VALUE"""),840.6)</f>
        <v>840.6</v>
      </c>
      <c r="C1164" s="3">
        <f t="shared" ca="1" si="36"/>
        <v>2.8886168910648744E-2</v>
      </c>
      <c r="D1164">
        <f t="shared" ca="1" si="35"/>
        <v>917.69081632653047</v>
      </c>
    </row>
    <row r="1165" spans="1:4" x14ac:dyDescent="0.25">
      <c r="A1165" s="2">
        <f ca="1">IFERROR(__xludf.DUMMYFUNCTION("""COMPUTED_VALUE"""),46098.6458333333)</f>
        <v>46098.645833333299</v>
      </c>
      <c r="B1165" s="1">
        <f ca="1">IFERROR(__xludf.DUMMYFUNCTION("""COMPUTED_VALUE"""),845.35)</f>
        <v>845.35</v>
      </c>
      <c r="C1165" s="3">
        <f t="shared" ca="1" si="36"/>
        <v>5.6507256721389483E-3</v>
      </c>
      <c r="D1165">
        <f t="shared" ca="1" si="35"/>
        <v>914.6183673469385</v>
      </c>
    </row>
    <row r="1166" spans="1:4" x14ac:dyDescent="0.25">
      <c r="A1166" s="2">
        <f ca="1">IFERROR(__xludf.DUMMYFUNCTION("""COMPUTED_VALUE"""),46099.6458333333)</f>
        <v>46099.645833333299</v>
      </c>
      <c r="B1166" s="1">
        <f ca="1">IFERROR(__xludf.DUMMYFUNCTION("""COMPUTED_VALUE"""),843.05)</f>
        <v>843.05</v>
      </c>
      <c r="C1166" s="3">
        <f t="shared" ca="1" si="36"/>
        <v>-2.7207665464009795E-3</v>
      </c>
      <c r="D1166">
        <f t="shared" ca="1" si="35"/>
        <v>911.4295918367344</v>
      </c>
    </row>
    <row r="1167" spans="1:4" x14ac:dyDescent="0.25">
      <c r="A1167" s="2">
        <f ca="1">IFERROR(__xludf.DUMMYFUNCTION("""COMPUTED_VALUE"""),46100.6458333333)</f>
        <v>46100.645833333299</v>
      </c>
      <c r="B1167" s="1">
        <f ca="1">IFERROR(__xludf.DUMMYFUNCTION("""COMPUTED_VALUE"""),798.2)</f>
        <v>798.2</v>
      </c>
      <c r="C1167" s="3">
        <f t="shared" ca="1" si="36"/>
        <v>-5.3199691595990646E-2</v>
      </c>
      <c r="D1167">
        <f t="shared" ca="1" si="35"/>
        <v>908.68571428571408</v>
      </c>
    </row>
    <row r="1168" spans="1:4" x14ac:dyDescent="0.25">
      <c r="A1168" s="2">
        <f ca="1">IFERROR(__xludf.DUMMYFUNCTION("""COMPUTED_VALUE"""),46101.6458333333)</f>
        <v>46101.645833333299</v>
      </c>
      <c r="B1168" s="1">
        <f ca="1">IFERROR(__xludf.DUMMYFUNCTION("""COMPUTED_VALUE"""),780.45)</f>
        <v>780.45</v>
      </c>
      <c r="C1168" s="3">
        <f t="shared" ca="1" si="36"/>
        <v>-2.2237534452518165E-2</v>
      </c>
      <c r="D1168">
        <f t="shared" ca="1" si="35"/>
        <v>905.33877551020373</v>
      </c>
    </row>
    <row r="1169" spans="1:4" x14ac:dyDescent="0.25">
      <c r="A1169" s="2">
        <f ca="1">IFERROR(__xludf.DUMMYFUNCTION("""COMPUTED_VALUE"""),46104.6458333333)</f>
        <v>46104.645833333299</v>
      </c>
      <c r="B1169" s="1">
        <f ca="1">IFERROR(__xludf.DUMMYFUNCTION("""COMPUTED_VALUE"""),744.15)</f>
        <v>744.15</v>
      </c>
      <c r="C1169" s="3">
        <f t="shared" ca="1" si="36"/>
        <v>-4.6511627906976827E-2</v>
      </c>
      <c r="D1169">
        <f t="shared" ca="1" si="35"/>
        <v>901.89795918367315</v>
      </c>
    </row>
    <row r="1170" spans="1:4" x14ac:dyDescent="0.25">
      <c r="A1170" s="2">
        <f ca="1">IFERROR(__xludf.DUMMYFUNCTION("""COMPUTED_VALUE"""),46105.6458333333)</f>
        <v>46105.645833333299</v>
      </c>
      <c r="B1170" s="1">
        <f ca="1">IFERROR(__xludf.DUMMYFUNCTION("""COMPUTED_VALUE"""),764.9)</f>
        <v>764.9</v>
      </c>
      <c r="C1170" s="3">
        <f t="shared" ca="1" si="36"/>
        <v>2.7884163139152054E-2</v>
      </c>
      <c r="D1170">
        <f t="shared" ca="1" si="35"/>
        <v>897.76428571428551</v>
      </c>
    </row>
    <row r="1171" spans="1:4" x14ac:dyDescent="0.25">
      <c r="A1171" s="2">
        <f ca="1">IFERROR(__xludf.DUMMYFUNCTION("""COMPUTED_VALUE"""),46106.6458333333)</f>
        <v>46106.645833333299</v>
      </c>
      <c r="B1171" s="1">
        <f ca="1">IFERROR(__xludf.DUMMYFUNCTION("""COMPUTED_VALUE"""),782.3)</f>
        <v>782.3</v>
      </c>
      <c r="C1171" s="3">
        <f t="shared" ca="1" si="36"/>
        <v>2.2748071643352043E-2</v>
      </c>
      <c r="D1171">
        <f t="shared" ca="1" si="35"/>
        <v>894.21122448979577</v>
      </c>
    </row>
    <row r="1172" spans="1:4" x14ac:dyDescent="0.25">
      <c r="A1172" s="2">
        <f ca="1">IFERROR(__xludf.DUMMYFUNCTION("""COMPUTED_VALUE"""),46108.6458333333)</f>
        <v>46108.645833333299</v>
      </c>
      <c r="B1172" s="1">
        <f ca="1">IFERROR(__xludf.DUMMYFUNCTION("""COMPUTED_VALUE"""),756.2)</f>
        <v>756.2</v>
      </c>
      <c r="C1172" s="3">
        <f t="shared" ca="1" si="36"/>
        <v>-3.3363159913076708E-2</v>
      </c>
      <c r="D1172">
        <f t="shared" ca="1" si="35"/>
        <v>891.05510204081611</v>
      </c>
    </row>
    <row r="1173" spans="1:4" x14ac:dyDescent="0.25">
      <c r="A1173" s="2">
        <f ca="1">IFERROR(__xludf.DUMMYFUNCTION("""COMPUTED_VALUE"""),46111.6458333333)</f>
        <v>46111.645833333299</v>
      </c>
      <c r="B1173" s="1">
        <f ca="1">IFERROR(__xludf.DUMMYFUNCTION("""COMPUTED_VALUE"""),731.55)</f>
        <v>731.55</v>
      </c>
      <c r="C1173" s="3">
        <f t="shared" ca="1" si="36"/>
        <v>-3.2597196508860206E-2</v>
      </c>
      <c r="D1173">
        <f t="shared" ca="1" si="35"/>
        <v>887.35816326530585</v>
      </c>
    </row>
    <row r="1174" spans="1:4" x14ac:dyDescent="0.25">
      <c r="A1174" s="2">
        <f ca="1">IFERROR(__xludf.DUMMYFUNCTION("""COMPUTED_VALUE"""),46113.6458333333)</f>
        <v>46113.645833333299</v>
      </c>
      <c r="B1174" s="1">
        <f ca="1">IFERROR(__xludf.DUMMYFUNCTION("""COMPUTED_VALUE"""),742.25)</f>
        <v>742.25</v>
      </c>
      <c r="C1174" s="3">
        <f t="shared" ca="1" si="36"/>
        <v>1.4626478026109009E-2</v>
      </c>
      <c r="D1174">
        <f t="shared" ca="1" si="35"/>
        <v>883.40102040816316</v>
      </c>
    </row>
    <row r="1175" spans="1:4" x14ac:dyDescent="0.25">
      <c r="A1175" s="2">
        <f ca="1">IFERROR(__xludf.DUMMYFUNCTION("""COMPUTED_VALUE"""),46114.6458333333)</f>
        <v>46114.645833333299</v>
      </c>
      <c r="B1175" s="1">
        <f ca="1">IFERROR(__xludf.DUMMYFUNCTION("""COMPUTED_VALUE"""),750.9)</f>
        <v>750.9</v>
      </c>
      <c r="C1175" s="3">
        <f t="shared" ca="1" si="36"/>
        <v>1.1653755473223277E-2</v>
      </c>
      <c r="D1175">
        <f t="shared" ca="1" si="35"/>
        <v>879.54693877551017</v>
      </c>
    </row>
    <row r="1176" spans="1:4" x14ac:dyDescent="0.25">
      <c r="A1176" s="2">
        <f ca="1">IFERROR(__xludf.DUMMYFUNCTION("""COMPUTED_VALUE"""),46118.6458333333)</f>
        <v>46118.645833333299</v>
      </c>
      <c r="B1176" s="1">
        <f ca="1">IFERROR(__xludf.DUMMYFUNCTION("""COMPUTED_VALUE"""),771)</f>
        <v>771</v>
      </c>
      <c r="C1176" s="3">
        <f t="shared" ca="1" si="36"/>
        <v>2.6767878545745138E-2</v>
      </c>
      <c r="D1176">
        <f t="shared" ca="1" si="35"/>
        <v>875.9346938775509</v>
      </c>
    </row>
    <row r="1177" spans="1:4" x14ac:dyDescent="0.25">
      <c r="A1177" s="2">
        <f ca="1">IFERROR(__xludf.DUMMYFUNCTION("""COMPUTED_VALUE"""),46119.6458333333)</f>
        <v>46119.645833333299</v>
      </c>
      <c r="B1177" s="1">
        <f ca="1">IFERROR(__xludf.DUMMYFUNCTION("""COMPUTED_VALUE"""),772)</f>
        <v>772</v>
      </c>
      <c r="C1177" s="3">
        <f t="shared" ca="1" si="36"/>
        <v>1.2970168612191958E-3</v>
      </c>
      <c r="D1177">
        <f t="shared" ca="1" si="35"/>
        <v>872.66530612244912</v>
      </c>
    </row>
    <row r="1178" spans="1:4" x14ac:dyDescent="0.25">
      <c r="A1178" s="2">
        <f ca="1">IFERROR(__xludf.DUMMYFUNCTION("""COMPUTED_VALUE"""),46120.6458333333)</f>
        <v>46120.645833333299</v>
      </c>
      <c r="B1178" s="1">
        <f ca="1">IFERROR(__xludf.DUMMYFUNCTION("""COMPUTED_VALUE"""),816.1)</f>
        <v>816.1</v>
      </c>
      <c r="C1178" s="3">
        <f t="shared" ca="1" si="36"/>
        <v>5.7124352331606246E-2</v>
      </c>
      <c r="D1178">
        <f t="shared" ca="1" si="35"/>
        <v>869.63775510204084</v>
      </c>
    </row>
    <row r="1179" spans="1:4" x14ac:dyDescent="0.25">
      <c r="A1179" s="2">
        <f ca="1">IFERROR(__xludf.DUMMYFUNCTION("""COMPUTED_VALUE"""),46121.6458333333)</f>
        <v>46121.645833333299</v>
      </c>
      <c r="B1179" s="1">
        <f ca="1">IFERROR(__xludf.DUMMYFUNCTION("""COMPUTED_VALUE"""),797.7)</f>
        <v>797.7</v>
      </c>
      <c r="C1179" s="3">
        <f t="shared" ca="1" si="36"/>
        <v>-2.2546256586202643E-2</v>
      </c>
      <c r="D1179">
        <f t="shared" ca="1" si="35"/>
        <v>867.54387755102027</v>
      </c>
    </row>
    <row r="1180" spans="1:4" x14ac:dyDescent="0.25">
      <c r="A1180" s="2">
        <f ca="1">IFERROR(__xludf.DUMMYFUNCTION("""COMPUTED_VALUE"""),46122.6458333333)</f>
        <v>46122.645833333299</v>
      </c>
      <c r="B1180" s="1">
        <f ca="1">IFERROR(__xludf.DUMMYFUNCTION("""COMPUTED_VALUE"""),810.3)</f>
        <v>810.3</v>
      </c>
      <c r="C1180" s="3">
        <f t="shared" ca="1" si="36"/>
        <v>1.5795411808950617E-2</v>
      </c>
      <c r="D1180">
        <f t="shared" ca="1" si="35"/>
        <v>865.12755102040796</v>
      </c>
    </row>
    <row r="1181" spans="1:4" x14ac:dyDescent="0.25">
      <c r="A1181" s="2">
        <f ca="1">IFERROR(__xludf.DUMMYFUNCTION("""COMPUTED_VALUE"""),46125.6458333333)</f>
        <v>46125.645833333299</v>
      </c>
      <c r="B1181" s="1">
        <f ca="1">IFERROR(__xludf.DUMMYFUNCTION("""COMPUTED_VALUE"""),794.7)</f>
        <v>794.7</v>
      </c>
      <c r="C1181" s="3">
        <f t="shared" ca="1" si="36"/>
        <v>-1.9252128841169825E-2</v>
      </c>
      <c r="D1181">
        <f t="shared" ca="1" si="35"/>
        <v>862.75816326530617</v>
      </c>
    </row>
    <row r="1182" spans="1:4" x14ac:dyDescent="0.25">
      <c r="A1182" s="2">
        <f ca="1">IFERROR(__xludf.DUMMYFUNCTION("""COMPUTED_VALUE"""),46127.6458333333)</f>
        <v>46127.645833333299</v>
      </c>
      <c r="B1182" s="1">
        <f ca="1">IFERROR(__xludf.DUMMYFUNCTION("""COMPUTED_VALUE"""),809.9)</f>
        <v>809.9</v>
      </c>
      <c r="C1182" s="3">
        <f t="shared" ca="1" si="36"/>
        <v>1.9126714483452788E-2</v>
      </c>
      <c r="D1182">
        <f t="shared" ca="1" si="35"/>
        <v>859.94183673469388</v>
      </c>
    </row>
    <row r="1183" spans="1:4" x14ac:dyDescent="0.25">
      <c r="A1183" s="2">
        <f ca="1">IFERROR(__xludf.DUMMYFUNCTION("""COMPUTED_VALUE"""),46128.6458333333)</f>
        <v>46128.645833333299</v>
      </c>
      <c r="B1183" s="1">
        <f ca="1">IFERROR(__xludf.DUMMYFUNCTION("""COMPUTED_VALUE"""),795.45)</f>
        <v>795.45</v>
      </c>
      <c r="C1183" s="3">
        <f t="shared" ca="1" si="36"/>
        <v>-1.7841708852944723E-2</v>
      </c>
      <c r="D1183">
        <f t="shared" ca="1" si="35"/>
        <v>857.37857142857149</v>
      </c>
    </row>
    <row r="1184" spans="1:4" x14ac:dyDescent="0.25">
      <c r="A1184" s="2">
        <f ca="1">IFERROR(__xludf.DUMMYFUNCTION("""COMPUTED_VALUE"""),46129.6458333333)</f>
        <v>46129.645833333299</v>
      </c>
      <c r="B1184" s="1">
        <f ca="1">IFERROR(__xludf.DUMMYFUNCTION("""COMPUTED_VALUE"""),799.9)</f>
        <v>799.9</v>
      </c>
      <c r="C1184" s="3">
        <f t="shared" ca="1" si="36"/>
        <v>5.5943176818152385E-3</v>
      </c>
      <c r="D1184">
        <f t="shared" ca="1" si="35"/>
        <v>854.64795918367349</v>
      </c>
    </row>
    <row r="1185" spans="1:4" x14ac:dyDescent="0.25">
      <c r="A1185" s="2">
        <f ca="1">IFERROR(__xludf.DUMMYFUNCTION("""COMPUTED_VALUE"""),46132.6458333333)</f>
        <v>46132.645833333299</v>
      </c>
      <c r="B1185" s="1">
        <f ca="1">IFERROR(__xludf.DUMMYFUNCTION("""COMPUTED_VALUE"""),795.45)</f>
        <v>795.45</v>
      </c>
      <c r="C1185" s="3">
        <f t="shared" ca="1" si="36"/>
        <v>-5.563195399424843E-3</v>
      </c>
      <c r="D1185">
        <f t="shared" ca="1" si="35"/>
        <v>852.03163265306125</v>
      </c>
    </row>
    <row r="1186" spans="1:4" x14ac:dyDescent="0.25">
      <c r="A1186" s="2">
        <f ca="1">IFERROR(__xludf.DUMMYFUNCTION("""COMPUTED_VALUE"""),46133.6458333333)</f>
        <v>46133.645833333299</v>
      </c>
      <c r="B1186" s="1">
        <f ca="1">IFERROR(__xludf.DUMMYFUNCTION("""COMPUTED_VALUE"""),811.75)</f>
        <v>811.75</v>
      </c>
      <c r="C1186" s="3">
        <f t="shared" ca="1" si="36"/>
        <v>2.0491545665975174E-2</v>
      </c>
      <c r="D1186">
        <f t="shared" ca="1" si="35"/>
        <v>848.90408163265317</v>
      </c>
    </row>
    <row r="1187" spans="1:4" x14ac:dyDescent="0.25">
      <c r="A1187" s="2">
        <f ca="1">IFERROR(__xludf.DUMMYFUNCTION("""COMPUTED_VALUE"""),46134.6458333333)</f>
        <v>46134.645833333299</v>
      </c>
      <c r="B1187" s="1">
        <f ca="1">IFERROR(__xludf.DUMMYFUNCTION("""COMPUTED_VALUE"""),799.9)</f>
        <v>799.9</v>
      </c>
      <c r="C1187" s="3">
        <f t="shared" ca="1" si="36"/>
        <v>-1.4598090545118599E-2</v>
      </c>
      <c r="D1187">
        <f t="shared" ca="1" si="35"/>
        <v>846.01938775510212</v>
      </c>
    </row>
    <row r="1188" spans="1:4" x14ac:dyDescent="0.25">
      <c r="A1188" s="2">
        <f ca="1">IFERROR(__xludf.DUMMYFUNCTION("""COMPUTED_VALUE"""),46135.6458333333)</f>
        <v>46135.645833333299</v>
      </c>
      <c r="B1188" s="1">
        <f ca="1">IFERROR(__xludf.DUMMYFUNCTION("""COMPUTED_VALUE"""),784.35)</f>
        <v>784.35</v>
      </c>
      <c r="C1188" s="3">
        <f t="shared" ca="1" si="36"/>
        <v>-1.9439929991248849E-2</v>
      </c>
      <c r="D1188">
        <f t="shared" ca="1" si="35"/>
        <v>842.96224489795907</v>
      </c>
    </row>
    <row r="1189" spans="1:4" x14ac:dyDescent="0.25">
      <c r="A1189" s="2">
        <f ca="1">IFERROR(__xludf.DUMMYFUNCTION("""COMPUTED_VALUE"""),46136.6458333333)</f>
        <v>46136.645833333299</v>
      </c>
      <c r="B1189" s="1">
        <f ca="1">IFERROR(__xludf.DUMMYFUNCTION("""COMPUTED_VALUE"""),784.85)</f>
        <v>784.85</v>
      </c>
      <c r="C1189" s="3">
        <f t="shared" ca="1" si="36"/>
        <v>6.3747051698858921E-4</v>
      </c>
      <c r="D1189">
        <f t="shared" ca="1" si="35"/>
        <v>839.76326530612243</v>
      </c>
    </row>
    <row r="1190" spans="1:4" x14ac:dyDescent="0.25">
      <c r="A1190" s="2">
        <f ca="1">IFERROR(__xludf.DUMMYFUNCTION("""COMPUTED_VALUE"""),46139.6458333333)</f>
        <v>46139.645833333299</v>
      </c>
      <c r="B1190" s="1">
        <f ca="1">IFERROR(__xludf.DUMMYFUNCTION("""COMPUTED_VALUE"""),789.8)</f>
        <v>789.8</v>
      </c>
      <c r="C1190" s="3">
        <f t="shared" ca="1" si="36"/>
        <v>6.3069376313944466E-3</v>
      </c>
      <c r="D1190">
        <f t="shared" ca="1" si="35"/>
        <v>836.65306122448965</v>
      </c>
    </row>
    <row r="1191" spans="1:4" x14ac:dyDescent="0.25">
      <c r="A1191" s="2">
        <f ca="1">IFERROR(__xludf.DUMMYFUNCTION("""COMPUTED_VALUE"""),46140.6458333333)</f>
        <v>46140.645833333299</v>
      </c>
      <c r="B1191" s="1">
        <f ca="1">IFERROR(__xludf.DUMMYFUNCTION("""COMPUTED_VALUE"""),782.55)</f>
        <v>782.55</v>
      </c>
      <c r="C1191" s="3">
        <f t="shared" ca="1" si="36"/>
        <v>-9.1795391238288174E-3</v>
      </c>
      <c r="D1191">
        <f t="shared" ca="1" si="35"/>
        <v>833.74285714285713</v>
      </c>
    </row>
    <row r="1192" spans="1:4" x14ac:dyDescent="0.25">
      <c r="A1192" s="2">
        <f ca="1">IFERROR(__xludf.DUMMYFUNCTION("""COMPUTED_VALUE"""),46141.6458333333)</f>
        <v>46141.645833333299</v>
      </c>
      <c r="B1192" s="1">
        <f ca="1">IFERROR(__xludf.DUMMYFUNCTION("""COMPUTED_VALUE"""),779)</f>
        <v>779</v>
      </c>
      <c r="C1192" s="3">
        <f t="shared" ca="1" si="36"/>
        <v>-4.5364513449619257E-3</v>
      </c>
      <c r="D1192">
        <f t="shared" ca="1" si="35"/>
        <v>830.79285714285709</v>
      </c>
    </row>
    <row r="1193" spans="1:4" x14ac:dyDescent="0.25">
      <c r="A1193" s="2">
        <f ca="1">IFERROR(__xludf.DUMMYFUNCTION("""COMPUTED_VALUE"""),46142.6458333333)</f>
        <v>46142.645833333299</v>
      </c>
      <c r="B1193" s="1">
        <f ca="1">IFERROR(__xludf.DUMMYFUNCTION("""COMPUTED_VALUE"""),771.7)</f>
        <v>771.7</v>
      </c>
      <c r="C1193" s="3">
        <f t="shared" ca="1" si="36"/>
        <v>-9.3709884467265137E-3</v>
      </c>
      <c r="D1193">
        <f t="shared" ca="1" si="35"/>
        <v>827.90306122448999</v>
      </c>
    </row>
    <row r="1194" spans="1:4" x14ac:dyDescent="0.25">
      <c r="A1194" s="2">
        <f ca="1">IFERROR(__xludf.DUMMYFUNCTION("""COMPUTED_VALUE"""),46146.6458333333)</f>
        <v>46146.645833333299</v>
      </c>
      <c r="B1194" s="1">
        <f ca="1">IFERROR(__xludf.DUMMYFUNCTION("""COMPUTED_VALUE"""),779.4)</f>
        <v>779.4</v>
      </c>
      <c r="C1194" s="3">
        <f t="shared" ca="1" si="36"/>
        <v>9.9779707140079457E-3</v>
      </c>
      <c r="D1194">
        <f t="shared" ca="1" si="35"/>
        <v>825.20510204081643</v>
      </c>
    </row>
    <row r="1195" spans="1:4" x14ac:dyDescent="0.25">
      <c r="A1195" s="2">
        <f ca="1">IFERROR(__xludf.DUMMYFUNCTION("""COMPUTED_VALUE"""),46147.6458333333)</f>
        <v>46147.645833333299</v>
      </c>
      <c r="B1195" s="1">
        <f ca="1">IFERROR(__xludf.DUMMYFUNCTION("""COMPUTED_VALUE"""),772.3)</f>
        <v>772.3</v>
      </c>
      <c r="C1195" s="3">
        <f t="shared" ca="1" si="36"/>
        <v>-9.1095714652296936E-3</v>
      </c>
      <c r="D1195">
        <f t="shared" ca="1" si="35"/>
        <v>822.21734693877568</v>
      </c>
    </row>
    <row r="1196" spans="1:4" x14ac:dyDescent="0.25">
      <c r="A1196" s="2">
        <f ca="1">IFERROR(__xludf.DUMMYFUNCTION("""COMPUTED_VALUE"""),46148.6458333333)</f>
        <v>46148.645833333299</v>
      </c>
      <c r="B1196" s="1">
        <f ca="1">IFERROR(__xludf.DUMMYFUNCTION("""COMPUTED_VALUE"""),796.55)</f>
        <v>796.55</v>
      </c>
      <c r="C1196" s="3">
        <f t="shared" ca="1" si="36"/>
        <v>3.1399715136604951E-2</v>
      </c>
      <c r="D1196">
        <f t="shared" ca="1" si="35"/>
        <v>819.08673469387782</v>
      </c>
    </row>
    <row r="1197" spans="1:4" x14ac:dyDescent="0.25">
      <c r="A1197" s="2">
        <f ca="1">IFERROR(__xludf.DUMMYFUNCTION("""COMPUTED_VALUE"""),46149.6458333333)</f>
        <v>46149.645833333299</v>
      </c>
      <c r="B1197" s="1">
        <f ca="1">IFERROR(__xludf.DUMMYFUNCTION("""COMPUTED_VALUE"""),796.05)</f>
        <v>796.05</v>
      </c>
      <c r="C1197" s="3">
        <f t="shared" ca="1" si="36"/>
        <v>-6.2770698637875841E-4</v>
      </c>
      <c r="D1197">
        <f t="shared" ca="1" si="35"/>
        <v>816.47142857142899</v>
      </c>
    </row>
    <row r="1198" spans="1:4" x14ac:dyDescent="0.25">
      <c r="A1198" s="2">
        <f ca="1">IFERROR(__xludf.DUMMYFUNCTION("""COMPUTED_VALUE"""),46150.6458333333)</f>
        <v>46150.645833333299</v>
      </c>
      <c r="B1198" s="1">
        <f ca="1">IFERROR(__xludf.DUMMYFUNCTION("""COMPUTED_VALUE"""),780.85)</f>
        <v>780.85</v>
      </c>
      <c r="C1198" s="3">
        <f t="shared" ca="1" si="36"/>
        <v>-1.9094277997613131E-2</v>
      </c>
      <c r="D1198">
        <f t="shared" ca="1" si="35"/>
        <v>814.03163265306171</v>
      </c>
    </row>
    <row r="1199" spans="1:4" x14ac:dyDescent="0.25">
      <c r="A1199" s="2">
        <f ca="1">IFERROR(__xludf.DUMMYFUNCTION("""COMPUTED_VALUE"""),46153.6458333333)</f>
        <v>46153.645833333299</v>
      </c>
      <c r="B1199" s="1">
        <f ca="1">IFERROR(__xludf.DUMMYFUNCTION("""COMPUTED_VALUE"""),763.65)</f>
        <v>763.65</v>
      </c>
      <c r="C1199" s="3">
        <f t="shared" ca="1" si="36"/>
        <v>-2.2027277966318815E-2</v>
      </c>
      <c r="D1199">
        <f t="shared" ca="1" si="35"/>
        <v>811.35816326530653</v>
      </c>
    </row>
    <row r="1200" spans="1:4" x14ac:dyDescent="0.25">
      <c r="A1200" s="2">
        <f ca="1">IFERROR(__xludf.DUMMYFUNCTION("""COMPUTED_VALUE"""),46154.6458333333)</f>
        <v>46154.645833333299</v>
      </c>
      <c r="B1200" s="1">
        <f ca="1">IFERROR(__xludf.DUMMYFUNCTION("""COMPUTED_VALUE"""),750.45)</f>
        <v>750.45</v>
      </c>
      <c r="C1200" s="3">
        <f t="shared" ca="1" si="36"/>
        <v>-1.7285405617756738E-2</v>
      </c>
      <c r="D1200">
        <f t="shared" ca="1" si="35"/>
        <v>808.09387755102068</v>
      </c>
    </row>
    <row r="1201" spans="1:4" x14ac:dyDescent="0.25">
      <c r="A1201" s="2">
        <f ca="1">IFERROR(__xludf.DUMMYFUNCTION("""COMPUTED_VALUE"""),46155.6458333333)</f>
        <v>46155.645833333299</v>
      </c>
      <c r="B1201" s="1">
        <f ca="1">IFERROR(__xludf.DUMMYFUNCTION("""COMPUTED_VALUE"""),749.6)</f>
        <v>749.6</v>
      </c>
      <c r="C1201" s="3">
        <f t="shared" ca="1" si="36"/>
        <v>-1.1326537410887103E-3</v>
      </c>
      <c r="D1201">
        <f t="shared" ca="1" si="35"/>
        <v>804.82755102040835</v>
      </c>
    </row>
    <row r="1202" spans="1:4" x14ac:dyDescent="0.25">
      <c r="A1202" s="2">
        <f ca="1">IFERROR(__xludf.DUMMYFUNCTION("""COMPUTED_VALUE"""),46156.6458333333)</f>
        <v>46156.645833333299</v>
      </c>
      <c r="B1202" s="1">
        <f ca="1">IFERROR(__xludf.DUMMYFUNCTION("""COMPUTED_VALUE"""),769.55)</f>
        <v>769.55</v>
      </c>
      <c r="C1202" s="3">
        <f t="shared" ca="1" si="36"/>
        <v>2.6614194236926268E-2</v>
      </c>
      <c r="D1202">
        <f t="shared" ca="1" si="35"/>
        <v>801.60306122448981</v>
      </c>
    </row>
    <row r="1203" spans="1:4" x14ac:dyDescent="0.25">
      <c r="A1203" s="2">
        <f ca="1">IFERROR(__xludf.DUMMYFUNCTION("""COMPUTED_VALUE"""),46157.6458333333)</f>
        <v>46157.645833333299</v>
      </c>
      <c r="B1203" s="1">
        <f ca="1">IFERROR(__xludf.DUMMYFUNCTION("""COMPUTED_VALUE"""),767.5)</f>
        <v>767.5</v>
      </c>
      <c r="C1203" s="3">
        <f t="shared" ca="1" si="36"/>
        <v>-2.6638944837891684E-3</v>
      </c>
      <c r="D1203">
        <f t="shared" ca="1" si="35"/>
        <v>798.96938775510216</v>
      </c>
    </row>
    <row r="1204" spans="1:4" x14ac:dyDescent="0.25">
      <c r="A1204" s="2">
        <f ca="1">IFERROR(__xludf.DUMMYFUNCTION("""COMPUTED_VALUE"""),46160.6458333333)</f>
        <v>46160.645833333299</v>
      </c>
      <c r="B1204" s="1">
        <f ca="1">IFERROR(__xludf.DUMMYFUNCTION("""COMPUTED_VALUE"""),768.65)</f>
        <v>768.65</v>
      </c>
      <c r="C1204" s="3">
        <f t="shared" ca="1" si="36"/>
        <v>1.4983713355048564E-3</v>
      </c>
      <c r="D1204">
        <f t="shared" ref="D1204:D1229" ca="1" si="37">AVERAGE(B1155:B1203)</f>
        <v>796.51530612244915</v>
      </c>
    </row>
    <row r="1205" spans="1:4" x14ac:dyDescent="0.25">
      <c r="A1205" s="2">
        <f ca="1">IFERROR(__xludf.DUMMYFUNCTION("""COMPUTED_VALUE"""),46161.6458333333)</f>
        <v>46161.645833333299</v>
      </c>
      <c r="B1205" s="1">
        <f ca="1">IFERROR(__xludf.DUMMYFUNCTION("""COMPUTED_VALUE"""),762.45)</f>
        <v>762.45</v>
      </c>
      <c r="C1205" s="3">
        <f t="shared" ca="1" si="36"/>
        <v>-8.0660898978728059E-3</v>
      </c>
      <c r="D1205">
        <f t="shared" ca="1" si="37"/>
        <v>794.2551020408165</v>
      </c>
    </row>
    <row r="1206" spans="1:4" x14ac:dyDescent="0.25">
      <c r="A1206" s="2">
        <f ca="1">IFERROR(__xludf.DUMMYFUNCTION("""COMPUTED_VALUE"""),46162.6458333333)</f>
        <v>46162.645833333299</v>
      </c>
      <c r="B1206" s="1">
        <f ca="1">IFERROR(__xludf.DUMMYFUNCTION("""COMPUTED_VALUE"""),759.5)</f>
        <v>759.5</v>
      </c>
      <c r="C1206" s="3">
        <f t="shared" ca="1" si="36"/>
        <v>-3.8691061708965115E-3</v>
      </c>
      <c r="D1206">
        <f t="shared" ca="1" si="37"/>
        <v>792.08061224489791</v>
      </c>
    </row>
    <row r="1207" spans="1:4" x14ac:dyDescent="0.25">
      <c r="A1207" s="2">
        <f ca="1">IFERROR(__xludf.DUMMYFUNCTION("""COMPUTED_VALUE"""),46163.6458333333)</f>
        <v>46163.645833333299</v>
      </c>
      <c r="B1207" s="1">
        <f ca="1">IFERROR(__xludf.DUMMYFUNCTION("""COMPUTED_VALUE"""),759.15)</f>
        <v>759.15</v>
      </c>
      <c r="C1207" s="3">
        <f t="shared" ca="1" si="36"/>
        <v>-4.6082949308758753E-4</v>
      </c>
      <c r="D1207">
        <f t="shared" ca="1" si="37"/>
        <v>789.66734693877549</v>
      </c>
    </row>
    <row r="1208" spans="1:4" x14ac:dyDescent="0.25">
      <c r="A1208" s="2">
        <f ca="1">IFERROR(__xludf.DUMMYFUNCTION("""COMPUTED_VALUE"""),46164.6458333333)</f>
        <v>46164.645833333299</v>
      </c>
      <c r="B1208" s="1">
        <f ca="1">IFERROR(__xludf.DUMMYFUNCTION("""COMPUTED_VALUE"""),766.8)</f>
        <v>766.8</v>
      </c>
      <c r="C1208" s="3">
        <f t="shared" ca="1" si="36"/>
        <v>1.0077059869590961E-2</v>
      </c>
      <c r="D1208">
        <f t="shared" ca="1" si="37"/>
        <v>787.66938775510209</v>
      </c>
    </row>
    <row r="1209" spans="1:4" x14ac:dyDescent="0.25">
      <c r="A1209" s="2">
        <f ca="1">IFERROR(__xludf.DUMMYFUNCTION("""COMPUTED_VALUE"""),46167.6458333333)</f>
        <v>46167.645833333299</v>
      </c>
      <c r="B1209" s="1">
        <f ca="1">IFERROR(__xludf.DUMMYFUNCTION("""COMPUTED_VALUE"""),786.85)</f>
        <v>786.85</v>
      </c>
      <c r="C1209" s="3">
        <f t="shared" ca="1" si="36"/>
        <v>2.6147626499739268E-2</v>
      </c>
      <c r="D1209">
        <f t="shared" ca="1" si="37"/>
        <v>786.16122448979604</v>
      </c>
    </row>
    <row r="1210" spans="1:4" x14ac:dyDescent="0.25">
      <c r="A1210" s="2">
        <f ca="1">IFERROR(__xludf.DUMMYFUNCTION("""COMPUTED_VALUE"""),46168.6458333333)</f>
        <v>46168.645833333299</v>
      </c>
      <c r="B1210" s="1">
        <f ca="1">IFERROR(__xludf.DUMMYFUNCTION("""COMPUTED_VALUE"""),778.9)</f>
        <v>778.9</v>
      </c>
      <c r="C1210" s="3">
        <f t="shared" ca="1" si="36"/>
        <v>-1.0103577556078091E-2</v>
      </c>
      <c r="D1210">
        <f t="shared" ca="1" si="37"/>
        <v>784.88367346938776</v>
      </c>
    </row>
    <row r="1211" spans="1:4" x14ac:dyDescent="0.25">
      <c r="A1211" s="2">
        <f ca="1">IFERROR(__xludf.DUMMYFUNCTION("""COMPUTED_VALUE"""),46169.6458333333)</f>
        <v>46169.645833333299</v>
      </c>
      <c r="B1211" s="1">
        <f ca="1">IFERROR(__xludf.DUMMYFUNCTION("""COMPUTED_VALUE"""),758.65)</f>
        <v>758.65</v>
      </c>
      <c r="C1211" s="3">
        <f t="shared" ca="1" si="36"/>
        <v>-2.5998202593400951E-2</v>
      </c>
      <c r="D1211">
        <f t="shared" ca="1" si="37"/>
        <v>783.76020408163265</v>
      </c>
    </row>
    <row r="1212" spans="1:4" x14ac:dyDescent="0.25">
      <c r="A1212" s="2">
        <f ca="1">IFERROR(__xludf.DUMMYFUNCTION("""COMPUTED_VALUE"""),46171.6458333333)</f>
        <v>46171.645833333299</v>
      </c>
      <c r="B1212" s="1">
        <f ca="1">IFERROR(__xludf.DUMMYFUNCTION("""COMPUTED_VALUE"""),744.55)</f>
        <v>744.55</v>
      </c>
      <c r="C1212" s="3">
        <f t="shared" ca="1" si="36"/>
        <v>-1.8585645554603604E-2</v>
      </c>
      <c r="D1212">
        <f t="shared" ca="1" si="37"/>
        <v>782.24795918367352</v>
      </c>
    </row>
    <row r="1213" spans="1:4" x14ac:dyDescent="0.25">
      <c r="A1213" s="2">
        <f ca="1">IFERROR(__xludf.DUMMYFUNCTION("""COMPUTED_VALUE"""),46174.6458333333)</f>
        <v>46174.645833333299</v>
      </c>
      <c r="B1213" s="1">
        <f ca="1">IFERROR(__xludf.DUMMYFUNCTION("""COMPUTED_VALUE"""),742.7)</f>
        <v>742.7</v>
      </c>
      <c r="C1213" s="3">
        <f t="shared" ca="1" si="36"/>
        <v>-2.4847223154924572E-3</v>
      </c>
      <c r="D1213">
        <f t="shared" ca="1" si="37"/>
        <v>780.76938775510212</v>
      </c>
    </row>
    <row r="1214" spans="1:4" x14ac:dyDescent="0.25">
      <c r="A1214" s="2">
        <f ca="1">IFERROR(__xludf.DUMMYFUNCTION("""COMPUTED_VALUE"""),46175.6458333333)</f>
        <v>46175.645833333299</v>
      </c>
      <c r="B1214" s="1">
        <f ca="1">IFERROR(__xludf.DUMMYFUNCTION("""COMPUTED_VALUE"""),748.25)</f>
        <v>748.25</v>
      </c>
      <c r="C1214" s="3">
        <f t="shared" ca="1" si="36"/>
        <v>7.4727346169381368E-3</v>
      </c>
      <c r="D1214">
        <f t="shared" ca="1" si="37"/>
        <v>778.7714285714286</v>
      </c>
    </row>
    <row r="1215" spans="1:4" x14ac:dyDescent="0.25">
      <c r="A1215" s="2">
        <f ca="1">IFERROR(__xludf.DUMMYFUNCTION("""COMPUTED_VALUE"""),46176.6458333333)</f>
        <v>46176.645833333299</v>
      </c>
      <c r="B1215" s="1">
        <f ca="1">IFERROR(__xludf.DUMMYFUNCTION("""COMPUTED_VALUE"""),753.65)</f>
        <v>753.65</v>
      </c>
      <c r="C1215" s="3">
        <f t="shared" ca="1" si="36"/>
        <v>7.2168392916805574E-3</v>
      </c>
      <c r="D1215">
        <f t="shared" ca="1" si="37"/>
        <v>776.78979591836742</v>
      </c>
    </row>
    <row r="1216" spans="1:4" x14ac:dyDescent="0.25">
      <c r="A1216" s="2">
        <f ca="1">IFERROR(__xludf.DUMMYFUNCTION("""COMPUTED_VALUE"""),46177.6458333333)</f>
        <v>46177.645833333299</v>
      </c>
      <c r="B1216" s="1">
        <f ca="1">IFERROR(__xludf.DUMMYFUNCTION("""COMPUTED_VALUE"""),754.2)</f>
        <v>754.2</v>
      </c>
      <c r="C1216" s="3">
        <f t="shared" ca="1" si="36"/>
        <v>7.297817289193501E-4</v>
      </c>
      <c r="D1216">
        <f t="shared" ca="1" si="37"/>
        <v>774.96530612244908</v>
      </c>
    </row>
    <row r="1217" spans="1:4" x14ac:dyDescent="0.25">
      <c r="A1217" s="2">
        <f ca="1">IFERROR(__xludf.DUMMYFUNCTION("""COMPUTED_VALUE"""),46178.6458333333)</f>
        <v>46178.645833333299</v>
      </c>
      <c r="B1217" s="1">
        <f ca="1">IFERROR(__xludf.DUMMYFUNCTION("""COMPUTED_VALUE"""),747.05)</f>
        <v>747.05</v>
      </c>
      <c r="C1217" s="3">
        <f t="shared" ca="1" si="36"/>
        <v>-9.4802439671175954E-3</v>
      </c>
      <c r="D1217">
        <f t="shared" ca="1" si="37"/>
        <v>774.06734693877547</v>
      </c>
    </row>
    <row r="1218" spans="1:4" x14ac:dyDescent="0.25">
      <c r="A1218" s="2">
        <f ca="1">IFERROR(__xludf.DUMMYFUNCTION("""COMPUTED_VALUE"""),46181.6458333333)</f>
        <v>46181.645833333299</v>
      </c>
      <c r="B1218" s="1">
        <f ca="1">IFERROR(__xludf.DUMMYFUNCTION("""COMPUTED_VALUE"""),738.65)</f>
        <v>738.65</v>
      </c>
      <c r="C1218" s="3">
        <f t="shared" ca="1" si="36"/>
        <v>-1.1244227294023128E-2</v>
      </c>
      <c r="D1218">
        <f t="shared" ca="1" si="37"/>
        <v>773.38571428571436</v>
      </c>
    </row>
    <row r="1219" spans="1:4" x14ac:dyDescent="0.25">
      <c r="A1219" s="2">
        <f ca="1">IFERROR(__xludf.DUMMYFUNCTION("""COMPUTED_VALUE"""),46182.6458333333)</f>
        <v>46182.645833333299</v>
      </c>
      <c r="B1219" s="1">
        <f ca="1">IFERROR(__xludf.DUMMYFUNCTION("""COMPUTED_VALUE"""),738.35)</f>
        <v>738.35</v>
      </c>
      <c r="C1219" s="3">
        <f t="shared" ca="1" si="36"/>
        <v>-4.0614634806735876E-4</v>
      </c>
      <c r="D1219">
        <f t="shared" ca="1" si="37"/>
        <v>773.27346938775509</v>
      </c>
    </row>
    <row r="1220" spans="1:4" x14ac:dyDescent="0.25">
      <c r="A1220" s="2">
        <f ca="1">IFERROR(__xludf.DUMMYFUNCTION("""COMPUTED_VALUE"""),46183.6458333333)</f>
        <v>46183.645833333299</v>
      </c>
      <c r="B1220" s="1">
        <f ca="1">IFERROR(__xludf.DUMMYFUNCTION("""COMPUTED_VALUE"""),746.85)</f>
        <v>746.85</v>
      </c>
      <c r="C1220" s="3">
        <f t="shared" ref="C1220:C1230" ca="1" si="38">(B1220-B1219)/B1219</f>
        <v>1.1512155481817566E-2</v>
      </c>
      <c r="D1220">
        <f t="shared" ca="1" si="37"/>
        <v>772.7316326530613</v>
      </c>
    </row>
    <row r="1221" spans="1:4" x14ac:dyDescent="0.25">
      <c r="A1221" s="2">
        <f ca="1">IFERROR(__xludf.DUMMYFUNCTION("""COMPUTED_VALUE"""),46184.6458333333)</f>
        <v>46184.645833333299</v>
      </c>
      <c r="B1221" s="1">
        <f ca="1">IFERROR(__xludf.DUMMYFUNCTION("""COMPUTED_VALUE"""),744.6)</f>
        <v>744.6</v>
      </c>
      <c r="C1221" s="3">
        <f t="shared" ca="1" si="38"/>
        <v>-3.012653143201446E-3</v>
      </c>
      <c r="D1221">
        <f t="shared" ca="1" si="37"/>
        <v>772.00816326530617</v>
      </c>
    </row>
    <row r="1222" spans="1:4" x14ac:dyDescent="0.25">
      <c r="A1222" s="2">
        <f ca="1">IFERROR(__xludf.DUMMYFUNCTION("""COMPUTED_VALUE"""),46185.6458333333)</f>
        <v>46185.645833333299</v>
      </c>
      <c r="B1222" s="1">
        <f ca="1">IFERROR(__xludf.DUMMYFUNCTION("""COMPUTED_VALUE"""),772.45)</f>
        <v>772.45</v>
      </c>
      <c r="C1222" s="3">
        <f t="shared" ca="1" si="38"/>
        <v>3.7402632285791056E-2</v>
      </c>
      <c r="D1222">
        <f t="shared" ca="1" si="37"/>
        <v>771.77142857142849</v>
      </c>
    </row>
    <row r="1223" spans="1:4" x14ac:dyDescent="0.25">
      <c r="A1223" s="2">
        <f ca="1">IFERROR(__xludf.DUMMYFUNCTION("""COMPUTED_VALUE"""),46188.6458333333)</f>
        <v>46188.645833333299</v>
      </c>
      <c r="B1223" s="1">
        <f ca="1">IFERROR(__xludf.DUMMYFUNCTION("""COMPUTED_VALUE"""),777.35)</f>
        <v>777.35</v>
      </c>
      <c r="C1223" s="3">
        <f t="shared" ca="1" si="38"/>
        <v>6.3434526506569704E-3</v>
      </c>
      <c r="D1223">
        <f t="shared" ca="1" si="37"/>
        <v>772.60612244897948</v>
      </c>
    </row>
    <row r="1224" spans="1:4" x14ac:dyDescent="0.25">
      <c r="A1224" s="2">
        <f ca="1">IFERROR(__xludf.DUMMYFUNCTION("""COMPUTED_VALUE"""),46189.6458333333)</f>
        <v>46189.645833333299</v>
      </c>
      <c r="B1224" s="1">
        <f ca="1">IFERROR(__xludf.DUMMYFUNCTION("""COMPUTED_VALUE"""),784.9)</f>
        <v>784.9</v>
      </c>
      <c r="C1224" s="3">
        <f t="shared" ca="1" si="38"/>
        <v>9.7124847237408558E-3</v>
      </c>
      <c r="D1224">
        <f t="shared" ca="1" si="37"/>
        <v>773.32244897959174</v>
      </c>
    </row>
    <row r="1225" spans="1:4" x14ac:dyDescent="0.25">
      <c r="A1225" s="2">
        <f ca="1">IFERROR(__xludf.DUMMYFUNCTION("""COMPUTED_VALUE"""),46190.6458333333)</f>
        <v>46190.645833333299</v>
      </c>
      <c r="B1225" s="1">
        <f ca="1">IFERROR(__xludf.DUMMYFUNCTION("""COMPUTED_VALUE"""),787.1)</f>
        <v>787.1</v>
      </c>
      <c r="C1225" s="3">
        <f t="shared" ca="1" si="38"/>
        <v>2.8029048286406493E-3</v>
      </c>
      <c r="D1225">
        <f t="shared" ca="1" si="37"/>
        <v>774.0163265306121</v>
      </c>
    </row>
    <row r="1226" spans="1:4" x14ac:dyDescent="0.25">
      <c r="A1226" s="2">
        <f ca="1">IFERROR(__xludf.DUMMYFUNCTION("""COMPUTED_VALUE"""),46191.6458333333)</f>
        <v>46191.645833333299</v>
      </c>
      <c r="B1226" s="1">
        <f ca="1">IFERROR(__xludf.DUMMYFUNCTION("""COMPUTED_VALUE"""),799)</f>
        <v>799</v>
      </c>
      <c r="C1226" s="3">
        <f t="shared" ca="1" si="38"/>
        <v>1.511879049676023E-2</v>
      </c>
      <c r="D1226">
        <f t="shared" ca="1" si="37"/>
        <v>774.34489795918353</v>
      </c>
    </row>
    <row r="1227" spans="1:4" x14ac:dyDescent="0.25">
      <c r="A1227" s="2">
        <f ca="1">IFERROR(__xludf.DUMMYFUNCTION("""COMPUTED_VALUE"""),46192.6458333333)</f>
        <v>46192.645833333299</v>
      </c>
      <c r="B1227" s="1">
        <f ca="1">IFERROR(__xludf.DUMMYFUNCTION("""COMPUTED_VALUE"""),779.8)</f>
        <v>779.8</v>
      </c>
      <c r="C1227" s="3">
        <f t="shared" ca="1" si="38"/>
        <v>-2.4030037546933725E-2</v>
      </c>
      <c r="D1227">
        <f t="shared" ca="1" si="37"/>
        <v>774.89591836734678</v>
      </c>
    </row>
    <row r="1228" spans="1:4" x14ac:dyDescent="0.25">
      <c r="A1228" s="2">
        <f ca="1">IFERROR(__xludf.DUMMYFUNCTION("""COMPUTED_VALUE"""),46195.6458333333)</f>
        <v>46195.645833333299</v>
      </c>
      <c r="B1228" s="1">
        <f ca="1">IFERROR(__xludf.DUMMYFUNCTION("""COMPUTED_VALUE"""),786.4)</f>
        <v>786.4</v>
      </c>
      <c r="C1228" s="3">
        <f t="shared" ca="1" si="38"/>
        <v>8.4637086432418872E-3</v>
      </c>
      <c r="D1228">
        <f t="shared" ca="1" si="37"/>
        <v>774.15510204081625</v>
      </c>
    </row>
    <row r="1229" spans="1:4" x14ac:dyDescent="0.25">
      <c r="A1229" s="2">
        <f ca="1">IFERROR(__xludf.DUMMYFUNCTION("""COMPUTED_VALUE"""),46196.6458333333)</f>
        <v>46196.645833333299</v>
      </c>
      <c r="B1229" s="1">
        <f ca="1">IFERROR(__xludf.DUMMYFUNCTION("""COMPUTED_VALUE"""),774.65)</f>
        <v>774.65</v>
      </c>
      <c r="C1229" s="3">
        <f t="shared" ca="1" si="38"/>
        <v>-1.4941505595116989E-2</v>
      </c>
      <c r="D1229">
        <f t="shared" ca="1" si="37"/>
        <v>773.92448979591848</v>
      </c>
    </row>
    <row r="1230" spans="1:4" x14ac:dyDescent="0.25">
      <c r="A1230" s="2">
        <f ca="1">IFERROR(__xludf.DUMMYFUNCTION("""COMPUTED_VALUE"""),46197.6458333333)</f>
        <v>46197.645833333299</v>
      </c>
      <c r="B1230" s="1">
        <f ca="1">IFERROR(__xludf.DUMMYFUNCTION("""COMPUTED_VALUE"""),793.2)</f>
        <v>793.2</v>
      </c>
      <c r="C1230" s="3">
        <f t="shared" ca="1" si="38"/>
        <v>2.3946298328277375E-2</v>
      </c>
      <c r="D1230">
        <f ca="1">AVERAGE(B1181:B1229)</f>
        <v>773.19693877551038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230"/>
  <sheetViews>
    <sheetView topLeftCell="A1206" workbookViewId="0">
      <selection activeCell="B51" sqref="B51:B1230"/>
    </sheetView>
  </sheetViews>
  <sheetFormatPr defaultColWidth="12.6640625" defaultRowHeight="15.75" customHeight="1" x14ac:dyDescent="0.25"/>
  <cols>
    <col min="1" max="1" width="19.77734375" customWidth="1"/>
    <col min="3" max="3" width="17.6640625" style="3"/>
    <col min="4" max="4" width="28" customWidth="1"/>
    <col min="5" max="5" width="24.109375" customWidth="1"/>
    <col min="6" max="6" width="20.88671875" customWidth="1"/>
  </cols>
  <sheetData>
    <row r="1" spans="1:6" x14ac:dyDescent="0.25">
      <c r="A1" s="1" t="str">
        <f ca="1">IFERROR(__xludf.DUMMYFUNCTION("GOOGLEFINANCE(""NSE:ICICIBANK"", ""price"", TODAY()-1825, TODAY(), ""DAILY"")"),"Date")</f>
        <v>Date</v>
      </c>
      <c r="B1" s="1" t="str">
        <f ca="1">IFERROR(__xludf.DUMMYFUNCTION("""COMPUTED_VALUE"""),"Close")</f>
        <v>Close</v>
      </c>
      <c r="C1" s="3" t="s">
        <v>0</v>
      </c>
      <c r="D1" t="s">
        <v>1</v>
      </c>
      <c r="E1" s="4" t="s">
        <v>2</v>
      </c>
      <c r="F1" s="4" t="s">
        <v>3</v>
      </c>
    </row>
    <row r="2" spans="1:6" x14ac:dyDescent="0.25">
      <c r="A2" s="2">
        <f ca="1">IFERROR(__xludf.DUMMYFUNCTION("""COMPUTED_VALUE"""),44375.6458333333)</f>
        <v>44375.645833333299</v>
      </c>
      <c r="B2" s="1">
        <f ca="1">IFERROR(__xludf.DUMMYFUNCTION("""COMPUTED_VALUE"""),650.3)</f>
        <v>650.29999999999995</v>
      </c>
      <c r="E2" s="5">
        <f ca="1">_xlfn.STDEV.S(C:C) * SQRT(252)</f>
        <v>0.20404636856640815</v>
      </c>
      <c r="F2" s="5">
        <f ca="1">AVERAGE(C:C)*252</f>
        <v>0.17423500242479087</v>
      </c>
    </row>
    <row r="3" spans="1:6" x14ac:dyDescent="0.25">
      <c r="A3" s="2">
        <f ca="1">IFERROR(__xludf.DUMMYFUNCTION("""COMPUTED_VALUE"""),44376.6458333333)</f>
        <v>44376.645833333299</v>
      </c>
      <c r="B3" s="1">
        <f ca="1">IFERROR(__xludf.DUMMYFUNCTION("""COMPUTED_VALUE"""),640.1)</f>
        <v>640.1</v>
      </c>
      <c r="C3" s="3">
        <f ca="1">(B3-B2)/B2</f>
        <v>-1.56850684299553E-2</v>
      </c>
    </row>
    <row r="4" spans="1:6" x14ac:dyDescent="0.25">
      <c r="A4" s="2">
        <f ca="1">IFERROR(__xludf.DUMMYFUNCTION("""COMPUTED_VALUE"""),44377.6458333333)</f>
        <v>44377.645833333299</v>
      </c>
      <c r="B4" s="1">
        <f ca="1">IFERROR(__xludf.DUMMYFUNCTION("""COMPUTED_VALUE"""),630.9)</f>
        <v>630.9</v>
      </c>
      <c r="C4" s="3">
        <f t="shared" ref="C4:C67" ca="1" si="0">(B4-B3)/B3</f>
        <v>-1.4372754257147392E-2</v>
      </c>
    </row>
    <row r="5" spans="1:6" x14ac:dyDescent="0.25">
      <c r="A5" s="2">
        <f ca="1">IFERROR(__xludf.DUMMYFUNCTION("""COMPUTED_VALUE"""),44378.6458333333)</f>
        <v>44378.645833333299</v>
      </c>
      <c r="B5" s="1">
        <f ca="1">IFERROR(__xludf.DUMMYFUNCTION("""COMPUTED_VALUE"""),630.85)</f>
        <v>630.85</v>
      </c>
      <c r="C5" s="3">
        <f t="shared" ca="1" si="0"/>
        <v>-7.9251862418694771E-5</v>
      </c>
    </row>
    <row r="6" spans="1:6" x14ac:dyDescent="0.25">
      <c r="A6" s="2">
        <f ca="1">IFERROR(__xludf.DUMMYFUNCTION("""COMPUTED_VALUE"""),44379.6458333333)</f>
        <v>44379.645833333299</v>
      </c>
      <c r="B6" s="1">
        <f ca="1">IFERROR(__xludf.DUMMYFUNCTION("""COMPUTED_VALUE"""),640.25)</f>
        <v>640.25</v>
      </c>
      <c r="C6" s="3">
        <f t="shared" ca="1" si="0"/>
        <v>1.4900531029563251E-2</v>
      </c>
    </row>
    <row r="7" spans="1:6" x14ac:dyDescent="0.25">
      <c r="A7" s="2">
        <f ca="1">IFERROR(__xludf.DUMMYFUNCTION("""COMPUTED_VALUE"""),44382.6458333333)</f>
        <v>44382.645833333299</v>
      </c>
      <c r="B7" s="1">
        <f ca="1">IFERROR(__xludf.DUMMYFUNCTION("""COMPUTED_VALUE"""),647.85)</f>
        <v>647.85</v>
      </c>
      <c r="C7" s="3">
        <f t="shared" ca="1" si="0"/>
        <v>1.1870363139398708E-2</v>
      </c>
    </row>
    <row r="8" spans="1:6" x14ac:dyDescent="0.25">
      <c r="A8" s="2">
        <f ca="1">IFERROR(__xludf.DUMMYFUNCTION("""COMPUTED_VALUE"""),44383.6458333333)</f>
        <v>44383.645833333299</v>
      </c>
      <c r="B8" s="1">
        <f ca="1">IFERROR(__xludf.DUMMYFUNCTION("""COMPUTED_VALUE"""),650.3)</f>
        <v>650.29999999999995</v>
      </c>
      <c r="C8" s="3">
        <f t="shared" ca="1" si="0"/>
        <v>3.7817396002159938E-3</v>
      </c>
    </row>
    <row r="9" spans="1:6" x14ac:dyDescent="0.25">
      <c r="A9" s="2">
        <f ca="1">IFERROR(__xludf.DUMMYFUNCTION("""COMPUTED_VALUE"""),44384.6458333333)</f>
        <v>44384.645833333299</v>
      </c>
      <c r="B9" s="1">
        <f ca="1">IFERROR(__xludf.DUMMYFUNCTION("""COMPUTED_VALUE"""),654)</f>
        <v>654</v>
      </c>
      <c r="C9" s="3">
        <f t="shared" ca="1" si="0"/>
        <v>5.6896816853760504E-3</v>
      </c>
    </row>
    <row r="10" spans="1:6" x14ac:dyDescent="0.25">
      <c r="A10" s="2">
        <f ca="1">IFERROR(__xludf.DUMMYFUNCTION("""COMPUTED_VALUE"""),44385.6458333333)</f>
        <v>44385.645833333299</v>
      </c>
      <c r="B10" s="1">
        <f ca="1">IFERROR(__xludf.DUMMYFUNCTION("""COMPUTED_VALUE"""),641.9)</f>
        <v>641.9</v>
      </c>
      <c r="C10" s="3">
        <f t="shared" ca="1" si="0"/>
        <v>-1.8501529051987802E-2</v>
      </c>
    </row>
    <row r="11" spans="1:6" x14ac:dyDescent="0.25">
      <c r="A11" s="2">
        <f ca="1">IFERROR(__xludf.DUMMYFUNCTION("""COMPUTED_VALUE"""),44386.6458333333)</f>
        <v>44386.645833333299</v>
      </c>
      <c r="B11" s="1">
        <f ca="1">IFERROR(__xludf.DUMMYFUNCTION("""COMPUTED_VALUE"""),638.55)</f>
        <v>638.54999999999995</v>
      </c>
      <c r="C11" s="3">
        <f t="shared" ca="1" si="0"/>
        <v>-5.2188814457080901E-3</v>
      </c>
    </row>
    <row r="12" spans="1:6" x14ac:dyDescent="0.25">
      <c r="A12" s="2">
        <f ca="1">IFERROR(__xludf.DUMMYFUNCTION("""COMPUTED_VALUE"""),44389.6458333333)</f>
        <v>44389.645833333299</v>
      </c>
      <c r="B12" s="1">
        <f ca="1">IFERROR(__xludf.DUMMYFUNCTION("""COMPUTED_VALUE"""),646.25)</f>
        <v>646.25</v>
      </c>
      <c r="C12" s="3">
        <f t="shared" ca="1" si="0"/>
        <v>1.2058570198105153E-2</v>
      </c>
    </row>
    <row r="13" spans="1:6" x14ac:dyDescent="0.25">
      <c r="A13" s="2">
        <f ca="1">IFERROR(__xludf.DUMMYFUNCTION("""COMPUTED_VALUE"""),44390.6458333333)</f>
        <v>44390.645833333299</v>
      </c>
      <c r="B13" s="1">
        <f ca="1">IFERROR(__xludf.DUMMYFUNCTION("""COMPUTED_VALUE"""),664.95)</f>
        <v>664.95</v>
      </c>
      <c r="C13" s="3">
        <f t="shared" ca="1" si="0"/>
        <v>2.8936170212766028E-2</v>
      </c>
    </row>
    <row r="14" spans="1:6" x14ac:dyDescent="0.25">
      <c r="A14" s="2">
        <f ca="1">IFERROR(__xludf.DUMMYFUNCTION("""COMPUTED_VALUE"""),44391.6458333333)</f>
        <v>44391.645833333299</v>
      </c>
      <c r="B14" s="1">
        <f ca="1">IFERROR(__xludf.DUMMYFUNCTION("""COMPUTED_VALUE"""),664.35)</f>
        <v>664.35</v>
      </c>
      <c r="C14" s="3">
        <f t="shared" ca="1" si="0"/>
        <v>-9.0232348296867841E-4</v>
      </c>
    </row>
    <row r="15" spans="1:6" x14ac:dyDescent="0.25">
      <c r="A15" s="2">
        <f ca="1">IFERROR(__xludf.DUMMYFUNCTION("""COMPUTED_VALUE"""),44392.6458333333)</f>
        <v>44392.645833333299</v>
      </c>
      <c r="B15" s="1">
        <f ca="1">IFERROR(__xludf.DUMMYFUNCTION("""COMPUTED_VALUE"""),667.45)</f>
        <v>667.45</v>
      </c>
      <c r="C15" s="3">
        <f t="shared" ca="1" si="0"/>
        <v>4.6662150974637207E-3</v>
      </c>
    </row>
    <row r="16" spans="1:6" x14ac:dyDescent="0.25">
      <c r="A16" s="2">
        <f ca="1">IFERROR(__xludf.DUMMYFUNCTION("""COMPUTED_VALUE"""),44393.6458333333)</f>
        <v>44393.645833333299</v>
      </c>
      <c r="B16" s="1">
        <f ca="1">IFERROR(__xludf.DUMMYFUNCTION("""COMPUTED_VALUE"""),660.3)</f>
        <v>660.3</v>
      </c>
      <c r="C16" s="3">
        <f t="shared" ca="1" si="0"/>
        <v>-1.0712412914825217E-2</v>
      </c>
    </row>
    <row r="17" spans="1:3" x14ac:dyDescent="0.25">
      <c r="A17" s="2">
        <f ca="1">IFERROR(__xludf.DUMMYFUNCTION("""COMPUTED_VALUE"""),44396.6458333333)</f>
        <v>44396.645833333299</v>
      </c>
      <c r="B17" s="1">
        <f ca="1">IFERROR(__xludf.DUMMYFUNCTION("""COMPUTED_VALUE"""),655.9)</f>
        <v>655.9</v>
      </c>
      <c r="C17" s="3">
        <f t="shared" ca="1" si="0"/>
        <v>-6.6636377404209867E-3</v>
      </c>
    </row>
    <row r="18" spans="1:3" x14ac:dyDescent="0.25">
      <c r="A18" s="2">
        <f ca="1">IFERROR(__xludf.DUMMYFUNCTION("""COMPUTED_VALUE"""),44397.6458333333)</f>
        <v>44397.645833333299</v>
      </c>
      <c r="B18" s="1">
        <f ca="1">IFERROR(__xludf.DUMMYFUNCTION("""COMPUTED_VALUE"""),641.9)</f>
        <v>641.9</v>
      </c>
      <c r="C18" s="3">
        <f t="shared" ca="1" si="0"/>
        <v>-2.1344717182497332E-2</v>
      </c>
    </row>
    <row r="19" spans="1:3" x14ac:dyDescent="0.25">
      <c r="A19" s="2">
        <f ca="1">IFERROR(__xludf.DUMMYFUNCTION("""COMPUTED_VALUE"""),44399.6458333333)</f>
        <v>44399.645833333299</v>
      </c>
      <c r="B19" s="1">
        <f ca="1">IFERROR(__xludf.DUMMYFUNCTION("""COMPUTED_VALUE"""),655.95)</f>
        <v>655.95</v>
      </c>
      <c r="C19" s="3">
        <f t="shared" ca="1" si="0"/>
        <v>2.188814457080553E-2</v>
      </c>
    </row>
    <row r="20" spans="1:3" x14ac:dyDescent="0.25">
      <c r="A20" s="2">
        <f ca="1">IFERROR(__xludf.DUMMYFUNCTION("""COMPUTED_VALUE"""),44400.6458333333)</f>
        <v>44400.645833333299</v>
      </c>
      <c r="B20" s="1">
        <f ca="1">IFERROR(__xludf.DUMMYFUNCTION("""COMPUTED_VALUE"""),676.65)</f>
        <v>676.65</v>
      </c>
      <c r="C20" s="3">
        <f t="shared" ca="1" si="0"/>
        <v>3.1557283329521964E-2</v>
      </c>
    </row>
    <row r="21" spans="1:3" x14ac:dyDescent="0.25">
      <c r="A21" s="2">
        <f ca="1">IFERROR(__xludf.DUMMYFUNCTION("""COMPUTED_VALUE"""),44403.6458333333)</f>
        <v>44403.645833333299</v>
      </c>
      <c r="B21" s="1">
        <f ca="1">IFERROR(__xludf.DUMMYFUNCTION("""COMPUTED_VALUE"""),676.75)</f>
        <v>676.75</v>
      </c>
      <c r="C21" s="3">
        <f t="shared" ca="1" si="0"/>
        <v>1.4778689130277506E-4</v>
      </c>
    </row>
    <row r="22" spans="1:3" x14ac:dyDescent="0.25">
      <c r="A22" s="2">
        <f ca="1">IFERROR(__xludf.DUMMYFUNCTION("""COMPUTED_VALUE"""),44404.6458333333)</f>
        <v>44404.645833333299</v>
      </c>
      <c r="B22" s="1">
        <f ca="1">IFERROR(__xludf.DUMMYFUNCTION("""COMPUTED_VALUE"""),677.45)</f>
        <v>677.45</v>
      </c>
      <c r="C22" s="3">
        <f t="shared" ca="1" si="0"/>
        <v>1.0343553749538907E-3</v>
      </c>
    </row>
    <row r="23" spans="1:3" x14ac:dyDescent="0.25">
      <c r="A23" s="2">
        <f ca="1">IFERROR(__xludf.DUMMYFUNCTION("""COMPUTED_VALUE"""),44405.6458333333)</f>
        <v>44405.645833333299</v>
      </c>
      <c r="B23" s="1">
        <f ca="1">IFERROR(__xludf.DUMMYFUNCTION("""COMPUTED_VALUE"""),685.05)</f>
        <v>685.05</v>
      </c>
      <c r="C23" s="3">
        <f t="shared" ca="1" si="0"/>
        <v>1.121854011366139E-2</v>
      </c>
    </row>
    <row r="24" spans="1:3" x14ac:dyDescent="0.25">
      <c r="A24" s="2">
        <f ca="1">IFERROR(__xludf.DUMMYFUNCTION("""COMPUTED_VALUE"""),44406.6458333333)</f>
        <v>44406.645833333299</v>
      </c>
      <c r="B24" s="1">
        <f ca="1">IFERROR(__xludf.DUMMYFUNCTION("""COMPUTED_VALUE"""),687.5)</f>
        <v>687.5</v>
      </c>
      <c r="C24" s="3">
        <f t="shared" ca="1" si="0"/>
        <v>3.5763812860375821E-3</v>
      </c>
    </row>
    <row r="25" spans="1:3" x14ac:dyDescent="0.25">
      <c r="A25" s="2">
        <f ca="1">IFERROR(__xludf.DUMMYFUNCTION("""COMPUTED_VALUE"""),44407.6458333333)</f>
        <v>44407.645833333299</v>
      </c>
      <c r="B25" s="1">
        <f ca="1">IFERROR(__xludf.DUMMYFUNCTION("""COMPUTED_VALUE"""),682.5)</f>
        <v>682.5</v>
      </c>
      <c r="C25" s="3">
        <f t="shared" ca="1" si="0"/>
        <v>-7.2727272727272727E-3</v>
      </c>
    </row>
    <row r="26" spans="1:3" x14ac:dyDescent="0.25">
      <c r="A26" s="2">
        <f ca="1">IFERROR(__xludf.DUMMYFUNCTION("""COMPUTED_VALUE"""),44410.6458333333)</f>
        <v>44410.645833333299</v>
      </c>
      <c r="B26" s="1">
        <f ca="1">IFERROR(__xludf.DUMMYFUNCTION("""COMPUTED_VALUE"""),681.4)</f>
        <v>681.4</v>
      </c>
      <c r="C26" s="3">
        <f t="shared" ca="1" si="0"/>
        <v>-1.6117216117216451E-3</v>
      </c>
    </row>
    <row r="27" spans="1:3" x14ac:dyDescent="0.25">
      <c r="A27" s="2">
        <f ca="1">IFERROR(__xludf.DUMMYFUNCTION("""COMPUTED_VALUE"""),44411.6458333333)</f>
        <v>44411.645833333299</v>
      </c>
      <c r="B27" s="1">
        <f ca="1">IFERROR(__xludf.DUMMYFUNCTION("""COMPUTED_VALUE"""),690.4)</f>
        <v>690.4</v>
      </c>
      <c r="C27" s="3">
        <f t="shared" ca="1" si="0"/>
        <v>1.3208100968594072E-2</v>
      </c>
    </row>
    <row r="28" spans="1:3" x14ac:dyDescent="0.25">
      <c r="A28" s="2">
        <f ca="1">IFERROR(__xludf.DUMMYFUNCTION("""COMPUTED_VALUE"""),44412.6458333333)</f>
        <v>44412.645833333299</v>
      </c>
      <c r="B28" s="1">
        <f ca="1">IFERROR(__xludf.DUMMYFUNCTION("""COMPUTED_VALUE"""),714.65)</f>
        <v>714.65</v>
      </c>
      <c r="C28" s="3">
        <f t="shared" ca="1" si="0"/>
        <v>3.5124565469293163E-2</v>
      </c>
    </row>
    <row r="29" spans="1:3" x14ac:dyDescent="0.25">
      <c r="A29" s="2">
        <f ca="1">IFERROR(__xludf.DUMMYFUNCTION("""COMPUTED_VALUE"""),44413.6458333333)</f>
        <v>44413.645833333299</v>
      </c>
      <c r="B29" s="1">
        <f ca="1">IFERROR(__xludf.DUMMYFUNCTION("""COMPUTED_VALUE"""),702.45)</f>
        <v>702.45</v>
      </c>
      <c r="C29" s="3">
        <f t="shared" ca="1" si="0"/>
        <v>-1.707129364024338E-2</v>
      </c>
    </row>
    <row r="30" spans="1:3" x14ac:dyDescent="0.25">
      <c r="A30" s="2">
        <f ca="1">IFERROR(__xludf.DUMMYFUNCTION("""COMPUTED_VALUE"""),44414.6458333333)</f>
        <v>44414.645833333299</v>
      </c>
      <c r="B30" s="1">
        <f ca="1">IFERROR(__xludf.DUMMYFUNCTION("""COMPUTED_VALUE"""),697.65)</f>
        <v>697.65</v>
      </c>
      <c r="C30" s="3">
        <f t="shared" ca="1" si="0"/>
        <v>-6.8332265641683652E-3</v>
      </c>
    </row>
    <row r="31" spans="1:3" x14ac:dyDescent="0.25">
      <c r="A31" s="2">
        <f ca="1">IFERROR(__xludf.DUMMYFUNCTION("""COMPUTED_VALUE"""),44417.6458333333)</f>
        <v>44417.645833333299</v>
      </c>
      <c r="B31" s="1">
        <f ca="1">IFERROR(__xludf.DUMMYFUNCTION("""COMPUTED_VALUE"""),702.85)</f>
        <v>702.85</v>
      </c>
      <c r="C31" s="3">
        <f t="shared" ca="1" si="0"/>
        <v>7.453594209130718E-3</v>
      </c>
    </row>
    <row r="32" spans="1:3" x14ac:dyDescent="0.25">
      <c r="A32" s="2">
        <f ca="1">IFERROR(__xludf.DUMMYFUNCTION("""COMPUTED_VALUE"""),44418.6458333333)</f>
        <v>44418.645833333299</v>
      </c>
      <c r="B32" s="1">
        <f ca="1">IFERROR(__xludf.DUMMYFUNCTION("""COMPUTED_VALUE"""),700.9)</f>
        <v>700.9</v>
      </c>
      <c r="C32" s="3">
        <f t="shared" ca="1" si="0"/>
        <v>-2.7744184392118451E-3</v>
      </c>
    </row>
    <row r="33" spans="1:3" x14ac:dyDescent="0.25">
      <c r="A33" s="2">
        <f ca="1">IFERROR(__xludf.DUMMYFUNCTION("""COMPUTED_VALUE"""),44419.6458333333)</f>
        <v>44419.645833333299</v>
      </c>
      <c r="B33" s="1">
        <f ca="1">IFERROR(__xludf.DUMMYFUNCTION("""COMPUTED_VALUE"""),693.55)</f>
        <v>693.55</v>
      </c>
      <c r="C33" s="3">
        <f t="shared" ca="1" si="0"/>
        <v>-1.0486517334855219E-2</v>
      </c>
    </row>
    <row r="34" spans="1:3" x14ac:dyDescent="0.25">
      <c r="A34" s="2">
        <f ca="1">IFERROR(__xludf.DUMMYFUNCTION("""COMPUTED_VALUE"""),44420.6458333333)</f>
        <v>44420.645833333299</v>
      </c>
      <c r="B34" s="1">
        <f ca="1">IFERROR(__xludf.DUMMYFUNCTION("""COMPUTED_VALUE"""),701.35)</f>
        <v>701.35</v>
      </c>
      <c r="C34" s="3">
        <f t="shared" ca="1" si="0"/>
        <v>1.1246485473289696E-2</v>
      </c>
    </row>
    <row r="35" spans="1:3" x14ac:dyDescent="0.25">
      <c r="A35" s="2">
        <f ca="1">IFERROR(__xludf.DUMMYFUNCTION("""COMPUTED_VALUE"""),44421.6458333333)</f>
        <v>44421.645833333299</v>
      </c>
      <c r="B35" s="1">
        <f ca="1">IFERROR(__xludf.DUMMYFUNCTION("""COMPUTED_VALUE"""),704.8)</f>
        <v>704.8</v>
      </c>
      <c r="C35" s="3">
        <f t="shared" ca="1" si="0"/>
        <v>4.9190846225136264E-3</v>
      </c>
    </row>
    <row r="36" spans="1:3" x14ac:dyDescent="0.25">
      <c r="A36" s="2">
        <f ca="1">IFERROR(__xludf.DUMMYFUNCTION("""COMPUTED_VALUE"""),44424.6458333333)</f>
        <v>44424.645833333299</v>
      </c>
      <c r="B36" s="1">
        <f ca="1">IFERROR(__xludf.DUMMYFUNCTION("""COMPUTED_VALUE"""),702.65)</f>
        <v>702.65</v>
      </c>
      <c r="C36" s="3">
        <f t="shared" ca="1" si="0"/>
        <v>-3.0505107832008759E-3</v>
      </c>
    </row>
    <row r="37" spans="1:3" x14ac:dyDescent="0.25">
      <c r="A37" s="2">
        <f ca="1">IFERROR(__xludf.DUMMYFUNCTION("""COMPUTED_VALUE"""),44425.6458333333)</f>
        <v>44425.645833333299</v>
      </c>
      <c r="B37" s="1">
        <f ca="1">IFERROR(__xludf.DUMMYFUNCTION("""COMPUTED_VALUE"""),701.2)</f>
        <v>701.2</v>
      </c>
      <c r="C37" s="3">
        <f t="shared" ca="1" si="0"/>
        <v>-2.063616309684668E-3</v>
      </c>
    </row>
    <row r="38" spans="1:3" x14ac:dyDescent="0.25">
      <c r="A38" s="2">
        <f ca="1">IFERROR(__xludf.DUMMYFUNCTION("""COMPUTED_VALUE"""),44426.6458333333)</f>
        <v>44426.645833333299</v>
      </c>
      <c r="B38" s="1">
        <f ca="1">IFERROR(__xludf.DUMMYFUNCTION("""COMPUTED_VALUE"""),688.3)</f>
        <v>688.3</v>
      </c>
      <c r="C38" s="3">
        <f t="shared" ca="1" si="0"/>
        <v>-1.8397033656588832E-2</v>
      </c>
    </row>
    <row r="39" spans="1:3" x14ac:dyDescent="0.25">
      <c r="A39" s="2">
        <f ca="1">IFERROR(__xludf.DUMMYFUNCTION("""COMPUTED_VALUE"""),44428.6458333333)</f>
        <v>44428.645833333299</v>
      </c>
      <c r="B39" s="1">
        <f ca="1">IFERROR(__xludf.DUMMYFUNCTION("""COMPUTED_VALUE"""),680.7)</f>
        <v>680.7</v>
      </c>
      <c r="C39" s="3">
        <f t="shared" ca="1" si="0"/>
        <v>-1.1041696934476115E-2</v>
      </c>
    </row>
    <row r="40" spans="1:3" x14ac:dyDescent="0.25">
      <c r="A40" s="2">
        <f ca="1">IFERROR(__xludf.DUMMYFUNCTION("""COMPUTED_VALUE"""),44431.6458333333)</f>
        <v>44431.645833333299</v>
      </c>
      <c r="B40" s="1">
        <f ca="1">IFERROR(__xludf.DUMMYFUNCTION("""COMPUTED_VALUE"""),682.7)</f>
        <v>682.7</v>
      </c>
      <c r="C40" s="3">
        <f t="shared" ca="1" si="0"/>
        <v>2.9381519024533568E-3</v>
      </c>
    </row>
    <row r="41" spans="1:3" x14ac:dyDescent="0.25">
      <c r="A41" s="2">
        <f ca="1">IFERROR(__xludf.DUMMYFUNCTION("""COMPUTED_VALUE"""),44432.6458333333)</f>
        <v>44432.645833333299</v>
      </c>
      <c r="B41" s="1">
        <f ca="1">IFERROR(__xludf.DUMMYFUNCTION("""COMPUTED_VALUE"""),694.45)</f>
        <v>694.45</v>
      </c>
      <c r="C41" s="3">
        <f t="shared" ca="1" si="0"/>
        <v>1.7211073678043063E-2</v>
      </c>
    </row>
    <row r="42" spans="1:3" x14ac:dyDescent="0.25">
      <c r="A42" s="2">
        <f ca="1">IFERROR(__xludf.DUMMYFUNCTION("""COMPUTED_VALUE"""),44433.6458333333)</f>
        <v>44433.645833333299</v>
      </c>
      <c r="B42" s="1">
        <f ca="1">IFERROR(__xludf.DUMMYFUNCTION("""COMPUTED_VALUE"""),691.05)</f>
        <v>691.05</v>
      </c>
      <c r="C42" s="3">
        <f t="shared" ca="1" si="0"/>
        <v>-4.895960832313472E-3</v>
      </c>
    </row>
    <row r="43" spans="1:3" x14ac:dyDescent="0.25">
      <c r="A43" s="2">
        <f ca="1">IFERROR(__xludf.DUMMYFUNCTION("""COMPUTED_VALUE"""),44434.6458333333)</f>
        <v>44434.645833333299</v>
      </c>
      <c r="B43" s="1">
        <f ca="1">IFERROR(__xludf.DUMMYFUNCTION("""COMPUTED_VALUE"""),698.8)</f>
        <v>698.8</v>
      </c>
      <c r="C43" s="3">
        <f t="shared" ca="1" si="0"/>
        <v>1.1214818030533247E-2</v>
      </c>
    </row>
    <row r="44" spans="1:3" x14ac:dyDescent="0.25">
      <c r="A44" s="2">
        <f ca="1">IFERROR(__xludf.DUMMYFUNCTION("""COMPUTED_VALUE"""),44435.6458333333)</f>
        <v>44435.645833333299</v>
      </c>
      <c r="B44" s="1">
        <f ca="1">IFERROR(__xludf.DUMMYFUNCTION("""COMPUTED_VALUE"""),699.75)</f>
        <v>699.75</v>
      </c>
      <c r="C44" s="3">
        <f t="shared" ca="1" si="0"/>
        <v>1.3594733829422518E-3</v>
      </c>
    </row>
    <row r="45" spans="1:3" x14ac:dyDescent="0.25">
      <c r="A45" s="2">
        <f ca="1">IFERROR(__xludf.DUMMYFUNCTION("""COMPUTED_VALUE"""),44438.6458333333)</f>
        <v>44438.645833333299</v>
      </c>
      <c r="B45" s="1">
        <f ca="1">IFERROR(__xludf.DUMMYFUNCTION("""COMPUTED_VALUE"""),713.65)</f>
        <v>713.65</v>
      </c>
      <c r="C45" s="3">
        <f t="shared" ca="1" si="0"/>
        <v>1.9864237227581245E-2</v>
      </c>
    </row>
    <row r="46" spans="1:3" x14ac:dyDescent="0.25">
      <c r="A46" s="2">
        <f ca="1">IFERROR(__xludf.DUMMYFUNCTION("""COMPUTED_VALUE"""),44439.6458333333)</f>
        <v>44439.645833333299</v>
      </c>
      <c r="B46" s="1">
        <f ca="1">IFERROR(__xludf.DUMMYFUNCTION("""COMPUTED_VALUE"""),719.05)</f>
        <v>719.05</v>
      </c>
      <c r="C46" s="3">
        <f t="shared" ca="1" si="0"/>
        <v>7.5667343936102818E-3</v>
      </c>
    </row>
    <row r="47" spans="1:3" x14ac:dyDescent="0.25">
      <c r="A47" s="2">
        <f ca="1">IFERROR(__xludf.DUMMYFUNCTION("""COMPUTED_VALUE"""),44440.6458333333)</f>
        <v>44440.645833333299</v>
      </c>
      <c r="B47" s="1">
        <f ca="1">IFERROR(__xludf.DUMMYFUNCTION("""COMPUTED_VALUE"""),719.9)</f>
        <v>719.9</v>
      </c>
      <c r="C47" s="3">
        <f t="shared" ca="1" si="0"/>
        <v>1.1821152910090019E-3</v>
      </c>
    </row>
    <row r="48" spans="1:3" x14ac:dyDescent="0.25">
      <c r="A48" s="2">
        <f ca="1">IFERROR(__xludf.DUMMYFUNCTION("""COMPUTED_VALUE"""),44441.6458333333)</f>
        <v>44441.645833333299</v>
      </c>
      <c r="B48" s="1">
        <f ca="1">IFERROR(__xludf.DUMMYFUNCTION("""COMPUTED_VALUE"""),725.15)</f>
        <v>725.15</v>
      </c>
      <c r="C48" s="3">
        <f t="shared" ca="1" si="0"/>
        <v>7.292679538824837E-3</v>
      </c>
    </row>
    <row r="49" spans="1:4" x14ac:dyDescent="0.25">
      <c r="A49" s="2">
        <f ca="1">IFERROR(__xludf.DUMMYFUNCTION("""COMPUTED_VALUE"""),44442.6458333333)</f>
        <v>44442.645833333299</v>
      </c>
      <c r="B49" s="1">
        <f ca="1">IFERROR(__xludf.DUMMYFUNCTION("""COMPUTED_VALUE"""),724.3)</f>
        <v>724.3</v>
      </c>
      <c r="C49" s="3">
        <f t="shared" ca="1" si="0"/>
        <v>-1.172171274908671E-3</v>
      </c>
    </row>
    <row r="50" spans="1:4" x14ac:dyDescent="0.25">
      <c r="A50" s="2">
        <f ca="1">IFERROR(__xludf.DUMMYFUNCTION("""COMPUTED_VALUE"""),44445.6458333333)</f>
        <v>44445.645833333299</v>
      </c>
      <c r="B50" s="1">
        <f ca="1">IFERROR(__xludf.DUMMYFUNCTION("""COMPUTED_VALUE"""),721.15)</f>
        <v>721.15</v>
      </c>
      <c r="C50" s="3">
        <f t="shared" ca="1" si="0"/>
        <v>-4.349026646417199E-3</v>
      </c>
    </row>
    <row r="51" spans="1:4" x14ac:dyDescent="0.25">
      <c r="A51" s="2">
        <f ca="1">IFERROR(__xludf.DUMMYFUNCTION("""COMPUTED_VALUE"""),44446.6458333333)</f>
        <v>44446.645833333299</v>
      </c>
      <c r="B51" s="1">
        <f ca="1">IFERROR(__xludf.DUMMYFUNCTION("""COMPUTED_VALUE"""),716.9)</f>
        <v>716.9</v>
      </c>
      <c r="C51" s="3">
        <f t="shared" ca="1" si="0"/>
        <v>-5.8933647646120784E-3</v>
      </c>
      <c r="D51">
        <f ca="1">AVERAGE(B2:B50)</f>
        <v>680.01530612244915</v>
      </c>
    </row>
    <row r="52" spans="1:4" x14ac:dyDescent="0.25">
      <c r="A52" s="2">
        <f ca="1">IFERROR(__xludf.DUMMYFUNCTION("""COMPUTED_VALUE"""),44447.6458333333)</f>
        <v>44447.645833333299</v>
      </c>
      <c r="B52" s="1">
        <f ca="1">IFERROR(__xludf.DUMMYFUNCTION("""COMPUTED_VALUE"""),720.95)</f>
        <v>720.95</v>
      </c>
      <c r="C52" s="3">
        <f t="shared" ca="1" si="0"/>
        <v>5.6493234760776516E-3</v>
      </c>
      <c r="D52">
        <f t="shared" ref="D52:D115" ca="1" si="1">AVERAGE(B3:B51)</f>
        <v>681.37448979591852</v>
      </c>
    </row>
    <row r="53" spans="1:4" x14ac:dyDescent="0.25">
      <c r="A53" s="2">
        <f ca="1">IFERROR(__xludf.DUMMYFUNCTION("""COMPUTED_VALUE"""),44448.6458333333)</f>
        <v>44448.645833333299</v>
      </c>
      <c r="B53" s="1">
        <f ca="1">IFERROR(__xludf.DUMMYFUNCTION("""COMPUTED_VALUE"""),720.25)</f>
        <v>720.25</v>
      </c>
      <c r="C53" s="3">
        <f t="shared" ca="1" si="0"/>
        <v>-9.7094111935646776E-4</v>
      </c>
      <c r="D53">
        <f t="shared" ca="1" si="1"/>
        <v>683.0244897959185</v>
      </c>
    </row>
    <row r="54" spans="1:4" x14ac:dyDescent="0.25">
      <c r="A54" s="2">
        <f ca="1">IFERROR(__xludf.DUMMYFUNCTION("""COMPUTED_VALUE"""),44452.6458333333)</f>
        <v>44452.645833333299</v>
      </c>
      <c r="B54" s="1">
        <f ca="1">IFERROR(__xludf.DUMMYFUNCTION("""COMPUTED_VALUE"""),707.4)</f>
        <v>707.4</v>
      </c>
      <c r="C54" s="3">
        <f t="shared" ca="1" si="0"/>
        <v>-1.7841027421034394E-2</v>
      </c>
      <c r="D54">
        <f t="shared" ca="1" si="1"/>
        <v>684.84795918367354</v>
      </c>
    </row>
    <row r="55" spans="1:4" x14ac:dyDescent="0.25">
      <c r="A55" s="2">
        <f ca="1">IFERROR(__xludf.DUMMYFUNCTION("""COMPUTED_VALUE"""),44453.6458333333)</f>
        <v>44453.645833333299</v>
      </c>
      <c r="B55" s="1">
        <f ca="1">IFERROR(__xludf.DUMMYFUNCTION("""COMPUTED_VALUE"""),707.45)</f>
        <v>707.45</v>
      </c>
      <c r="C55" s="3">
        <f t="shared" ca="1" si="0"/>
        <v>7.068136839138849E-5</v>
      </c>
      <c r="D55">
        <f t="shared" ca="1" si="1"/>
        <v>686.41020408163274</v>
      </c>
    </row>
    <row r="56" spans="1:4" x14ac:dyDescent="0.25">
      <c r="A56" s="2">
        <f ca="1">IFERROR(__xludf.DUMMYFUNCTION("""COMPUTED_VALUE"""),44454.6458333333)</f>
        <v>44454.645833333299</v>
      </c>
      <c r="B56" s="1">
        <f ca="1">IFERROR(__xludf.DUMMYFUNCTION("""COMPUTED_VALUE"""),714.35)</f>
        <v>714.35</v>
      </c>
      <c r="C56" s="3">
        <f t="shared" ca="1" si="0"/>
        <v>9.7533394586189516E-3</v>
      </c>
      <c r="D56">
        <f t="shared" ca="1" si="1"/>
        <v>687.78163265306125</v>
      </c>
    </row>
    <row r="57" spans="1:4" x14ac:dyDescent="0.25">
      <c r="A57" s="2">
        <f ca="1">IFERROR(__xludf.DUMMYFUNCTION("""COMPUTED_VALUE"""),44455.6458333333)</f>
        <v>44455.645833333299</v>
      </c>
      <c r="B57" s="1">
        <f ca="1">IFERROR(__xludf.DUMMYFUNCTION("""COMPUTED_VALUE"""),727.2)</f>
        <v>727.2</v>
      </c>
      <c r="C57" s="3">
        <f t="shared" ca="1" si="0"/>
        <v>1.7988381045705919E-2</v>
      </c>
      <c r="D57">
        <f t="shared" ca="1" si="1"/>
        <v>689.13877551020414</v>
      </c>
    </row>
    <row r="58" spans="1:4" x14ac:dyDescent="0.25">
      <c r="A58" s="2">
        <f ca="1">IFERROR(__xludf.DUMMYFUNCTION("""COMPUTED_VALUE"""),44456.6458333333)</f>
        <v>44456.645833333299</v>
      </c>
      <c r="B58" s="1">
        <f ca="1">IFERROR(__xludf.DUMMYFUNCTION("""COMPUTED_VALUE"""),720.15)</f>
        <v>720.15</v>
      </c>
      <c r="C58" s="3">
        <f t="shared" ca="1" si="0"/>
        <v>-9.6947194719472878E-3</v>
      </c>
      <c r="D58">
        <f t="shared" ca="1" si="1"/>
        <v>690.70816326530621</v>
      </c>
    </row>
    <row r="59" spans="1:4" x14ac:dyDescent="0.25">
      <c r="A59" s="2">
        <f ca="1">IFERROR(__xludf.DUMMYFUNCTION("""COMPUTED_VALUE"""),44459.6458333333)</f>
        <v>44459.645833333299</v>
      </c>
      <c r="B59" s="1">
        <f ca="1">IFERROR(__xludf.DUMMYFUNCTION("""COMPUTED_VALUE"""),710)</f>
        <v>710</v>
      </c>
      <c r="C59" s="3">
        <f t="shared" ca="1" si="0"/>
        <v>-1.4094285912657054E-2</v>
      </c>
      <c r="D59">
        <f t="shared" ca="1" si="1"/>
        <v>692.05816326530623</v>
      </c>
    </row>
    <row r="60" spans="1:4" x14ac:dyDescent="0.25">
      <c r="A60" s="2">
        <f ca="1">IFERROR(__xludf.DUMMYFUNCTION("""COMPUTED_VALUE"""),44460.6458333333)</f>
        <v>44460.645833333299</v>
      </c>
      <c r="B60" s="1">
        <f ca="1">IFERROR(__xludf.DUMMYFUNCTION("""COMPUTED_VALUE"""),711.85)</f>
        <v>711.85</v>
      </c>
      <c r="C60" s="3">
        <f t="shared" ca="1" si="0"/>
        <v>2.6056338028169336E-3</v>
      </c>
      <c r="D60">
        <f t="shared" ca="1" si="1"/>
        <v>693.44795918367356</v>
      </c>
    </row>
    <row r="61" spans="1:4" x14ac:dyDescent="0.25">
      <c r="A61" s="2">
        <f ca="1">IFERROR(__xludf.DUMMYFUNCTION("""COMPUTED_VALUE"""),44461.6458333333)</f>
        <v>44461.645833333299</v>
      </c>
      <c r="B61" s="1">
        <f ca="1">IFERROR(__xludf.DUMMYFUNCTION("""COMPUTED_VALUE"""),703.35)</f>
        <v>703.35</v>
      </c>
      <c r="C61" s="3">
        <f t="shared" ca="1" si="0"/>
        <v>-1.1940717847861207E-2</v>
      </c>
      <c r="D61">
        <f t="shared" ca="1" si="1"/>
        <v>694.94387755102059</v>
      </c>
    </row>
    <row r="62" spans="1:4" x14ac:dyDescent="0.25">
      <c r="A62" s="2">
        <f ca="1">IFERROR(__xludf.DUMMYFUNCTION("""COMPUTED_VALUE"""),44462.6458333333)</f>
        <v>44462.645833333299</v>
      </c>
      <c r="B62" s="1">
        <f ca="1">IFERROR(__xludf.DUMMYFUNCTION("""COMPUTED_VALUE"""),717)</f>
        <v>717</v>
      </c>
      <c r="C62" s="3">
        <f t="shared" ca="1" si="0"/>
        <v>1.9407123053956036E-2</v>
      </c>
      <c r="D62">
        <f t="shared" ca="1" si="1"/>
        <v>696.10918367346949</v>
      </c>
    </row>
    <row r="63" spans="1:4" x14ac:dyDescent="0.25">
      <c r="A63" s="2">
        <f ca="1">IFERROR(__xludf.DUMMYFUNCTION("""COMPUTED_VALUE"""),44463.6458333333)</f>
        <v>44463.645833333299</v>
      </c>
      <c r="B63" s="1">
        <f ca="1">IFERROR(__xludf.DUMMYFUNCTION("""COMPUTED_VALUE"""),722.95)</f>
        <v>722.95</v>
      </c>
      <c r="C63" s="3">
        <f t="shared" ca="1" si="0"/>
        <v>8.2984658298466459E-3</v>
      </c>
      <c r="D63">
        <f t="shared" ca="1" si="1"/>
        <v>697.17142857142881</v>
      </c>
    </row>
    <row r="64" spans="1:4" x14ac:dyDescent="0.25">
      <c r="A64" s="2">
        <f ca="1">IFERROR(__xludf.DUMMYFUNCTION("""COMPUTED_VALUE"""),44466.6458333333)</f>
        <v>44466.645833333299</v>
      </c>
      <c r="B64" s="1">
        <f ca="1">IFERROR(__xludf.DUMMYFUNCTION("""COMPUTED_VALUE"""),730)</f>
        <v>730</v>
      </c>
      <c r="C64" s="3">
        <f t="shared" ca="1" si="0"/>
        <v>9.7517117366345586E-3</v>
      </c>
      <c r="D64">
        <f t="shared" ca="1" si="1"/>
        <v>698.36734693877565</v>
      </c>
    </row>
    <row r="65" spans="1:4" x14ac:dyDescent="0.25">
      <c r="A65" s="2">
        <f ca="1">IFERROR(__xludf.DUMMYFUNCTION("""COMPUTED_VALUE"""),44467.6458333333)</f>
        <v>44467.645833333299</v>
      </c>
      <c r="B65" s="1">
        <f ca="1">IFERROR(__xludf.DUMMYFUNCTION("""COMPUTED_VALUE"""),717.15)</f>
        <v>717.15</v>
      </c>
      <c r="C65" s="3">
        <f t="shared" ca="1" si="0"/>
        <v>-1.7602739726027428E-2</v>
      </c>
      <c r="D65">
        <f t="shared" ca="1" si="1"/>
        <v>699.64387755102052</v>
      </c>
    </row>
    <row r="66" spans="1:4" x14ac:dyDescent="0.25">
      <c r="A66" s="2">
        <f ca="1">IFERROR(__xludf.DUMMYFUNCTION("""COMPUTED_VALUE"""),44468.6458333333)</f>
        <v>44468.645833333299</v>
      </c>
      <c r="B66" s="1">
        <f ca="1">IFERROR(__xludf.DUMMYFUNCTION("""COMPUTED_VALUE"""),709.5)</f>
        <v>709.5</v>
      </c>
      <c r="C66" s="3">
        <f t="shared" ca="1" si="0"/>
        <v>-1.0667224430035526E-2</v>
      </c>
      <c r="D66">
        <f t="shared" ca="1" si="1"/>
        <v>700.80408163265304</v>
      </c>
    </row>
    <row r="67" spans="1:4" x14ac:dyDescent="0.25">
      <c r="A67" s="2">
        <f ca="1">IFERROR(__xludf.DUMMYFUNCTION("""COMPUTED_VALUE"""),44469.6458333333)</f>
        <v>44469.645833333299</v>
      </c>
      <c r="B67" s="1">
        <f ca="1">IFERROR(__xludf.DUMMYFUNCTION("""COMPUTED_VALUE"""),700.85)</f>
        <v>700.85</v>
      </c>
      <c r="C67" s="3">
        <f t="shared" ca="1" si="0"/>
        <v>-1.2191684284707509E-2</v>
      </c>
      <c r="D67">
        <f t="shared" ca="1" si="1"/>
        <v>701.89795918367361</v>
      </c>
    </row>
    <row r="68" spans="1:4" x14ac:dyDescent="0.25">
      <c r="A68" s="2">
        <f ca="1">IFERROR(__xludf.DUMMYFUNCTION("""COMPUTED_VALUE"""),44470.6458333333)</f>
        <v>44470.645833333299</v>
      </c>
      <c r="B68" s="1">
        <f ca="1">IFERROR(__xludf.DUMMYFUNCTION("""COMPUTED_VALUE"""),692.35)</f>
        <v>692.35</v>
      </c>
      <c r="C68" s="3">
        <f t="shared" ref="C68:C131" ca="1" si="2">(B68-B67)/B67</f>
        <v>-1.2128130127702075E-2</v>
      </c>
      <c r="D68">
        <f t="shared" ca="1" si="1"/>
        <v>703.10102040816332</v>
      </c>
    </row>
    <row r="69" spans="1:4" x14ac:dyDescent="0.25">
      <c r="A69" s="2">
        <f ca="1">IFERROR(__xludf.DUMMYFUNCTION("""COMPUTED_VALUE"""),44473.6458333333)</f>
        <v>44473.645833333299</v>
      </c>
      <c r="B69" s="1">
        <f ca="1">IFERROR(__xludf.DUMMYFUNCTION("""COMPUTED_VALUE"""),700.2)</f>
        <v>700.2</v>
      </c>
      <c r="C69" s="3">
        <f t="shared" ca="1" si="2"/>
        <v>1.1338195999133419E-2</v>
      </c>
      <c r="D69">
        <f t="shared" ca="1" si="1"/>
        <v>703.84387755102057</v>
      </c>
    </row>
    <row r="70" spans="1:4" x14ac:dyDescent="0.25">
      <c r="A70" s="2">
        <f ca="1">IFERROR(__xludf.DUMMYFUNCTION("""COMPUTED_VALUE"""),44474.6458333333)</f>
        <v>44474.645833333299</v>
      </c>
      <c r="B70" s="1">
        <f ca="1">IFERROR(__xludf.DUMMYFUNCTION("""COMPUTED_VALUE"""),697.1)</f>
        <v>697.1</v>
      </c>
      <c r="C70" s="3">
        <f t="shared" ca="1" si="2"/>
        <v>-4.4273064838617864E-3</v>
      </c>
      <c r="D70">
        <f t="shared" ca="1" si="1"/>
        <v>704.32448979591845</v>
      </c>
    </row>
    <row r="71" spans="1:4" x14ac:dyDescent="0.25">
      <c r="A71" s="2">
        <f ca="1">IFERROR(__xludf.DUMMYFUNCTION("""COMPUTED_VALUE"""),44475.6458333333)</f>
        <v>44475.645833333299</v>
      </c>
      <c r="B71" s="1">
        <f ca="1">IFERROR(__xludf.DUMMYFUNCTION("""COMPUTED_VALUE"""),689.5)</f>
        <v>689.5</v>
      </c>
      <c r="C71" s="3">
        <f t="shared" ca="1" si="2"/>
        <v>-1.0902309568211192E-2</v>
      </c>
      <c r="D71">
        <f t="shared" ca="1" si="1"/>
        <v>704.73979591836735</v>
      </c>
    </row>
    <row r="72" spans="1:4" x14ac:dyDescent="0.25">
      <c r="A72" s="2">
        <f ca="1">IFERROR(__xludf.DUMMYFUNCTION("""COMPUTED_VALUE"""),44476.6458333333)</f>
        <v>44476.645833333299</v>
      </c>
      <c r="B72" s="1">
        <f ca="1">IFERROR(__xludf.DUMMYFUNCTION("""COMPUTED_VALUE"""),702.2)</f>
        <v>702.2</v>
      </c>
      <c r="C72" s="3">
        <f t="shared" ca="1" si="2"/>
        <v>1.8419144307469246E-2</v>
      </c>
      <c r="D72">
        <f t="shared" ca="1" si="1"/>
        <v>704.98571428571438</v>
      </c>
    </row>
    <row r="73" spans="1:4" x14ac:dyDescent="0.25">
      <c r="A73" s="2">
        <f ca="1">IFERROR(__xludf.DUMMYFUNCTION("""COMPUTED_VALUE"""),44477.6458333333)</f>
        <v>44477.645833333299</v>
      </c>
      <c r="B73" s="1">
        <f ca="1">IFERROR(__xludf.DUMMYFUNCTION("""COMPUTED_VALUE"""),703.4)</f>
        <v>703.4</v>
      </c>
      <c r="C73" s="3">
        <f t="shared" ca="1" si="2"/>
        <v>1.7089148390770888E-3</v>
      </c>
      <c r="D73">
        <f t="shared" ca="1" si="1"/>
        <v>705.3357142857144</v>
      </c>
    </row>
    <row r="74" spans="1:4" x14ac:dyDescent="0.25">
      <c r="A74" s="2">
        <f ca="1">IFERROR(__xludf.DUMMYFUNCTION("""COMPUTED_VALUE"""),44480.6458333333)</f>
        <v>44480.645833333299</v>
      </c>
      <c r="B74" s="1">
        <f ca="1">IFERROR(__xludf.DUMMYFUNCTION("""COMPUTED_VALUE"""),713.3)</f>
        <v>713.3</v>
      </c>
      <c r="C74" s="3">
        <f t="shared" ca="1" si="2"/>
        <v>1.4074495308501533E-2</v>
      </c>
      <c r="D74">
        <f t="shared" ca="1" si="1"/>
        <v>705.66020408163263</v>
      </c>
    </row>
    <row r="75" spans="1:4" x14ac:dyDescent="0.25">
      <c r="A75" s="2">
        <f ca="1">IFERROR(__xludf.DUMMYFUNCTION("""COMPUTED_VALUE"""),44481.6458333333)</f>
        <v>44481.645833333299</v>
      </c>
      <c r="B75" s="1">
        <f ca="1">IFERROR(__xludf.DUMMYFUNCTION("""COMPUTED_VALUE"""),708.6)</f>
        <v>708.6</v>
      </c>
      <c r="C75" s="3">
        <f t="shared" ca="1" si="2"/>
        <v>-6.5890929482685153E-3</v>
      </c>
      <c r="D75">
        <f t="shared" ca="1" si="1"/>
        <v>706.28877551020412</v>
      </c>
    </row>
    <row r="76" spans="1:4" x14ac:dyDescent="0.25">
      <c r="A76" s="2">
        <f ca="1">IFERROR(__xludf.DUMMYFUNCTION("""COMPUTED_VALUE"""),44482.6458333333)</f>
        <v>44482.645833333299</v>
      </c>
      <c r="B76" s="1">
        <f ca="1">IFERROR(__xludf.DUMMYFUNCTION("""COMPUTED_VALUE"""),709.95)</f>
        <v>709.95</v>
      </c>
      <c r="C76" s="3">
        <f t="shared" ca="1" si="2"/>
        <v>1.9051651143099388E-3</v>
      </c>
      <c r="D76">
        <f t="shared" ca="1" si="1"/>
        <v>706.84387755102034</v>
      </c>
    </row>
    <row r="77" spans="1:4" x14ac:dyDescent="0.25">
      <c r="A77" s="2">
        <f ca="1">IFERROR(__xludf.DUMMYFUNCTION("""COMPUTED_VALUE"""),44483.6458333333)</f>
        <v>44483.645833333299</v>
      </c>
      <c r="B77" s="1">
        <f ca="1">IFERROR(__xludf.DUMMYFUNCTION("""COMPUTED_VALUE"""),727.3)</f>
        <v>727.3</v>
      </c>
      <c r="C77" s="3">
        <f t="shared" ca="1" si="2"/>
        <v>2.4438340728220168E-2</v>
      </c>
      <c r="D77">
        <f t="shared" ca="1" si="1"/>
        <v>707.24285714285702</v>
      </c>
    </row>
    <row r="78" spans="1:4" x14ac:dyDescent="0.25">
      <c r="A78" s="2">
        <f ca="1">IFERROR(__xludf.DUMMYFUNCTION("""COMPUTED_VALUE"""),44487.6458333333)</f>
        <v>44487.645833333299</v>
      </c>
      <c r="B78" s="1">
        <f ca="1">IFERROR(__xludf.DUMMYFUNCTION("""COMPUTED_VALUE"""),745.45)</f>
        <v>745.45</v>
      </c>
      <c r="C78" s="3">
        <f t="shared" ca="1" si="2"/>
        <v>2.4955314175718536E-2</v>
      </c>
      <c r="D78">
        <f t="shared" ca="1" si="1"/>
        <v>707.50102040816319</v>
      </c>
    </row>
    <row r="79" spans="1:4" x14ac:dyDescent="0.25">
      <c r="A79" s="2">
        <f ca="1">IFERROR(__xludf.DUMMYFUNCTION("""COMPUTED_VALUE"""),44488.6458333333)</f>
        <v>44488.645833333299</v>
      </c>
      <c r="B79" s="1">
        <f ca="1">IFERROR(__xludf.DUMMYFUNCTION("""COMPUTED_VALUE"""),747.45)</f>
        <v>747.45</v>
      </c>
      <c r="C79" s="3">
        <f t="shared" ca="1" si="2"/>
        <v>2.6829431886779796E-3</v>
      </c>
      <c r="D79">
        <f t="shared" ca="1" si="1"/>
        <v>708.37857142857115</v>
      </c>
    </row>
    <row r="80" spans="1:4" x14ac:dyDescent="0.25">
      <c r="A80" s="2">
        <f ca="1">IFERROR(__xludf.DUMMYFUNCTION("""COMPUTED_VALUE"""),44489.6458333333)</f>
        <v>44489.645833333299</v>
      </c>
      <c r="B80" s="1">
        <f ca="1">IFERROR(__xludf.DUMMYFUNCTION("""COMPUTED_VALUE"""),745.85)</f>
        <v>745.85</v>
      </c>
      <c r="C80" s="3">
        <f t="shared" ca="1" si="2"/>
        <v>-2.1406114121346213E-3</v>
      </c>
      <c r="D80">
        <f t="shared" ca="1" si="1"/>
        <v>709.39489795918348</v>
      </c>
    </row>
    <row r="81" spans="1:4" x14ac:dyDescent="0.25">
      <c r="A81" s="2">
        <f ca="1">IFERROR(__xludf.DUMMYFUNCTION("""COMPUTED_VALUE"""),44490.6458333333)</f>
        <v>44490.645833333299</v>
      </c>
      <c r="B81" s="1">
        <f ca="1">IFERROR(__xludf.DUMMYFUNCTION("""COMPUTED_VALUE"""),755.5)</f>
        <v>755.5</v>
      </c>
      <c r="C81" s="3">
        <f t="shared" ca="1" si="2"/>
        <v>1.2938258362941579E-2</v>
      </c>
      <c r="D81">
        <f t="shared" ca="1" si="1"/>
        <v>710.27244897959156</v>
      </c>
    </row>
    <row r="82" spans="1:4" x14ac:dyDescent="0.25">
      <c r="A82" s="2">
        <f ca="1">IFERROR(__xludf.DUMMYFUNCTION("""COMPUTED_VALUE"""),44491.6458333333)</f>
        <v>44491.645833333299</v>
      </c>
      <c r="B82" s="1">
        <f ca="1">IFERROR(__xludf.DUMMYFUNCTION("""COMPUTED_VALUE"""),759.3)</f>
        <v>759.3</v>
      </c>
      <c r="C82" s="3">
        <f t="shared" ca="1" si="2"/>
        <v>5.0297816015882919E-3</v>
      </c>
      <c r="D82">
        <f t="shared" ca="1" si="1"/>
        <v>711.38673469387732</v>
      </c>
    </row>
    <row r="83" spans="1:4" x14ac:dyDescent="0.25">
      <c r="A83" s="2">
        <f ca="1">IFERROR(__xludf.DUMMYFUNCTION("""COMPUTED_VALUE"""),44494.6458333333)</f>
        <v>44494.645833333299</v>
      </c>
      <c r="B83" s="1">
        <f ca="1">IFERROR(__xludf.DUMMYFUNCTION("""COMPUTED_VALUE"""),841.7)</f>
        <v>841.7</v>
      </c>
      <c r="C83" s="3">
        <f t="shared" ca="1" si="2"/>
        <v>0.10852100618991188</v>
      </c>
      <c r="D83">
        <f t="shared" ca="1" si="1"/>
        <v>712.7285714285714</v>
      </c>
    </row>
    <row r="84" spans="1:4" x14ac:dyDescent="0.25">
      <c r="A84" s="2">
        <f ca="1">IFERROR(__xludf.DUMMYFUNCTION("""COMPUTED_VALUE"""),44495.6458333333)</f>
        <v>44495.645833333299</v>
      </c>
      <c r="B84" s="1">
        <f ca="1">IFERROR(__xludf.DUMMYFUNCTION("""COMPUTED_VALUE"""),829.4)</f>
        <v>829.4</v>
      </c>
      <c r="C84" s="3">
        <f t="shared" ca="1" si="2"/>
        <v>-1.4613282642271673E-2</v>
      </c>
      <c r="D84">
        <f t="shared" ca="1" si="1"/>
        <v>715.59285714285704</v>
      </c>
    </row>
    <row r="85" spans="1:4" x14ac:dyDescent="0.25">
      <c r="A85" s="2">
        <f ca="1">IFERROR(__xludf.DUMMYFUNCTION("""COMPUTED_VALUE"""),44496.6458333333)</f>
        <v>44496.645833333299</v>
      </c>
      <c r="B85" s="1">
        <f ca="1">IFERROR(__xludf.DUMMYFUNCTION("""COMPUTED_VALUE"""),835)</f>
        <v>835</v>
      </c>
      <c r="C85" s="3">
        <f t="shared" ca="1" si="2"/>
        <v>6.751868820834366E-3</v>
      </c>
      <c r="D85">
        <f t="shared" ca="1" si="1"/>
        <v>718.13571428571413</v>
      </c>
    </row>
    <row r="86" spans="1:4" x14ac:dyDescent="0.25">
      <c r="A86" s="2">
        <f ca="1">IFERROR(__xludf.DUMMYFUNCTION("""COMPUTED_VALUE"""),44497.6458333333)</f>
        <v>44497.645833333299</v>
      </c>
      <c r="B86" s="1">
        <f ca="1">IFERROR(__xludf.DUMMYFUNCTION("""COMPUTED_VALUE"""),798.7)</f>
        <v>798.7</v>
      </c>
      <c r="C86" s="3">
        <f t="shared" ca="1" si="2"/>
        <v>-4.3473053892215514E-2</v>
      </c>
      <c r="D86">
        <f t="shared" ca="1" si="1"/>
        <v>720.83673469387736</v>
      </c>
    </row>
    <row r="87" spans="1:4" x14ac:dyDescent="0.25">
      <c r="A87" s="2">
        <f ca="1">IFERROR(__xludf.DUMMYFUNCTION("""COMPUTED_VALUE"""),44498.6458333333)</f>
        <v>44498.645833333299</v>
      </c>
      <c r="B87" s="1">
        <f ca="1">IFERROR(__xludf.DUMMYFUNCTION("""COMPUTED_VALUE"""),802.05)</f>
        <v>802.05</v>
      </c>
      <c r="C87" s="3">
        <f t="shared" ca="1" si="2"/>
        <v>4.1943157631149476E-3</v>
      </c>
      <c r="D87">
        <f t="shared" ca="1" si="1"/>
        <v>722.82653061224471</v>
      </c>
    </row>
    <row r="88" spans="1:4" x14ac:dyDescent="0.25">
      <c r="A88" s="2">
        <f ca="1">IFERROR(__xludf.DUMMYFUNCTION("""COMPUTED_VALUE"""),44501.6458333333)</f>
        <v>44501.645833333299</v>
      </c>
      <c r="B88" s="1">
        <f ca="1">IFERROR(__xludf.DUMMYFUNCTION("""COMPUTED_VALUE"""),803.9)</f>
        <v>803.9</v>
      </c>
      <c r="C88" s="3">
        <f t="shared" ca="1" si="2"/>
        <v>2.3065893647528494E-3</v>
      </c>
      <c r="D88">
        <f t="shared" ca="1" si="1"/>
        <v>725.14795918367349</v>
      </c>
    </row>
    <row r="89" spans="1:4" x14ac:dyDescent="0.25">
      <c r="A89" s="2">
        <f ca="1">IFERROR(__xludf.DUMMYFUNCTION("""COMPUTED_VALUE"""),44502.6458333333)</f>
        <v>44502.645833333299</v>
      </c>
      <c r="B89" s="1">
        <f ca="1">IFERROR(__xludf.DUMMYFUNCTION("""COMPUTED_VALUE"""),800.95)</f>
        <v>800.95</v>
      </c>
      <c r="C89" s="3">
        <f t="shared" ca="1" si="2"/>
        <v>-3.6696106480904739E-3</v>
      </c>
      <c r="D89">
        <f t="shared" ca="1" si="1"/>
        <v>727.66224489795923</v>
      </c>
    </row>
    <row r="90" spans="1:4" x14ac:dyDescent="0.25">
      <c r="A90" s="2">
        <f ca="1">IFERROR(__xludf.DUMMYFUNCTION("""COMPUTED_VALUE"""),44503.6458333333)</f>
        <v>44503.645833333299</v>
      </c>
      <c r="B90" s="1">
        <f ca="1">IFERROR(__xludf.DUMMYFUNCTION("""COMPUTED_VALUE"""),785.95)</f>
        <v>785.95</v>
      </c>
      <c r="C90" s="3">
        <f t="shared" ca="1" si="2"/>
        <v>-1.8727760784068917E-2</v>
      </c>
      <c r="D90">
        <f t="shared" ca="1" si="1"/>
        <v>730.07551020408152</v>
      </c>
    </row>
    <row r="91" spans="1:4" x14ac:dyDescent="0.25">
      <c r="A91" s="2">
        <f ca="1">IFERROR(__xludf.DUMMYFUNCTION("""COMPUTED_VALUE"""),44504.8020833333)</f>
        <v>44504.802083333299</v>
      </c>
      <c r="B91" s="1">
        <f ca="1">IFERROR(__xludf.DUMMYFUNCTION("""COMPUTED_VALUE"""),782.1)</f>
        <v>782.1</v>
      </c>
      <c r="C91" s="3">
        <f t="shared" ca="1" si="2"/>
        <v>-4.8985304408677684E-3</v>
      </c>
      <c r="D91">
        <f t="shared" ca="1" si="1"/>
        <v>731.94285714285706</v>
      </c>
    </row>
    <row r="92" spans="1:4" x14ac:dyDescent="0.25">
      <c r="A92" s="2">
        <f ca="1">IFERROR(__xludf.DUMMYFUNCTION("""COMPUTED_VALUE"""),44508.6458333333)</f>
        <v>44508.645833333299</v>
      </c>
      <c r="B92" s="1">
        <f ca="1">IFERROR(__xludf.DUMMYFUNCTION("""COMPUTED_VALUE"""),780.15)</f>
        <v>780.15</v>
      </c>
      <c r="C92" s="3">
        <f t="shared" ca="1" si="2"/>
        <v>-2.4932873034139436E-3</v>
      </c>
      <c r="D92">
        <f t="shared" ca="1" si="1"/>
        <v>733.80102040816325</v>
      </c>
    </row>
    <row r="93" spans="1:4" x14ac:dyDescent="0.25">
      <c r="A93" s="2">
        <f ca="1">IFERROR(__xludf.DUMMYFUNCTION("""COMPUTED_VALUE"""),44509.6458333333)</f>
        <v>44509.645833333299</v>
      </c>
      <c r="B93" s="1">
        <f ca="1">IFERROR(__xludf.DUMMYFUNCTION("""COMPUTED_VALUE"""),786.55)</f>
        <v>786.55</v>
      </c>
      <c r="C93" s="3">
        <f t="shared" ca="1" si="2"/>
        <v>8.2035505992437054E-3</v>
      </c>
      <c r="D93">
        <f t="shared" ca="1" si="1"/>
        <v>735.46122448979577</v>
      </c>
    </row>
    <row r="94" spans="1:4" x14ac:dyDescent="0.25">
      <c r="A94" s="2">
        <f ca="1">IFERROR(__xludf.DUMMYFUNCTION("""COMPUTED_VALUE"""),44510.6458333333)</f>
        <v>44510.645833333299</v>
      </c>
      <c r="B94" s="1">
        <f ca="1">IFERROR(__xludf.DUMMYFUNCTION("""COMPUTED_VALUE"""),780.9)</f>
        <v>780.9</v>
      </c>
      <c r="C94" s="3">
        <f t="shared" ca="1" si="2"/>
        <v>-7.1832687051045421E-3</v>
      </c>
      <c r="D94">
        <f t="shared" ca="1" si="1"/>
        <v>737.23265306122448</v>
      </c>
    </row>
    <row r="95" spans="1:4" x14ac:dyDescent="0.25">
      <c r="A95" s="2">
        <f ca="1">IFERROR(__xludf.DUMMYFUNCTION("""COMPUTED_VALUE"""),44511.6458333333)</f>
        <v>44511.645833333299</v>
      </c>
      <c r="B95" s="1">
        <f ca="1">IFERROR(__xludf.DUMMYFUNCTION("""COMPUTED_VALUE"""),771.45)</f>
        <v>771.45</v>
      </c>
      <c r="C95" s="3">
        <f t="shared" ca="1" si="2"/>
        <v>-1.2101421436803601E-2</v>
      </c>
      <c r="D95">
        <f t="shared" ca="1" si="1"/>
        <v>738.60510204081652</v>
      </c>
    </row>
    <row r="96" spans="1:4" x14ac:dyDescent="0.25">
      <c r="A96" s="2">
        <f ca="1">IFERROR(__xludf.DUMMYFUNCTION("""COMPUTED_VALUE"""),44512.6458333333)</f>
        <v>44512.645833333299</v>
      </c>
      <c r="B96" s="1">
        <f ca="1">IFERROR(__xludf.DUMMYFUNCTION("""COMPUTED_VALUE"""),776.6)</f>
        <v>776.6</v>
      </c>
      <c r="C96" s="3">
        <f t="shared" ca="1" si="2"/>
        <v>6.6757404886900991E-3</v>
      </c>
      <c r="D96">
        <f t="shared" ca="1" si="1"/>
        <v>739.67448979591859</v>
      </c>
    </row>
    <row r="97" spans="1:4" x14ac:dyDescent="0.25">
      <c r="A97" s="2">
        <f ca="1">IFERROR(__xludf.DUMMYFUNCTION("""COMPUTED_VALUE"""),44515.6458333333)</f>
        <v>44515.645833333299</v>
      </c>
      <c r="B97" s="1">
        <f ca="1">IFERROR(__xludf.DUMMYFUNCTION("""COMPUTED_VALUE"""),773.3)</f>
        <v>773.3</v>
      </c>
      <c r="C97" s="3">
        <f t="shared" ca="1" si="2"/>
        <v>-4.2492917847026376E-3</v>
      </c>
      <c r="D97">
        <f t="shared" ca="1" si="1"/>
        <v>740.83163265306132</v>
      </c>
    </row>
    <row r="98" spans="1:4" x14ac:dyDescent="0.25">
      <c r="A98" s="2">
        <f ca="1">IFERROR(__xludf.DUMMYFUNCTION("""COMPUTED_VALUE"""),44516.6458333333)</f>
        <v>44516.645833333299</v>
      </c>
      <c r="B98" s="1">
        <f ca="1">IFERROR(__xludf.DUMMYFUNCTION("""COMPUTED_VALUE"""),764.05)</f>
        <v>764.05</v>
      </c>
      <c r="C98" s="3">
        <f t="shared" ca="1" si="2"/>
        <v>-1.1961722488038277E-2</v>
      </c>
      <c r="D98">
        <f t="shared" ca="1" si="1"/>
        <v>741.81428571428592</v>
      </c>
    </row>
    <row r="99" spans="1:4" x14ac:dyDescent="0.25">
      <c r="A99" s="2">
        <f ca="1">IFERROR(__xludf.DUMMYFUNCTION("""COMPUTED_VALUE"""),44517.6458333333)</f>
        <v>44517.645833333299</v>
      </c>
      <c r="B99" s="1">
        <f ca="1">IFERROR(__xludf.DUMMYFUNCTION("""COMPUTED_VALUE"""),761.3)</f>
        <v>761.3</v>
      </c>
      <c r="C99" s="3">
        <f t="shared" ca="1" si="2"/>
        <v>-3.599240887376481E-3</v>
      </c>
      <c r="D99">
        <f t="shared" ca="1" si="1"/>
        <v>742.62551020408182</v>
      </c>
    </row>
    <row r="100" spans="1:4" x14ac:dyDescent="0.25">
      <c r="A100" s="2">
        <f ca="1">IFERROR(__xludf.DUMMYFUNCTION("""COMPUTED_VALUE"""),44518.6458333333)</f>
        <v>44518.645833333299</v>
      </c>
      <c r="B100" s="1">
        <f ca="1">IFERROR(__xludf.DUMMYFUNCTION("""COMPUTED_VALUE"""),762.9)</f>
        <v>762.9</v>
      </c>
      <c r="C100" s="3">
        <f t="shared" ca="1" si="2"/>
        <v>2.1016681991330921E-3</v>
      </c>
      <c r="D100">
        <f t="shared" ca="1" si="1"/>
        <v>743.44489795918389</v>
      </c>
    </row>
    <row r="101" spans="1:4" x14ac:dyDescent="0.25">
      <c r="A101" s="2">
        <f ca="1">IFERROR(__xludf.DUMMYFUNCTION("""COMPUTED_VALUE"""),44522.6458333333)</f>
        <v>44522.645833333299</v>
      </c>
      <c r="B101" s="1">
        <f ca="1">IFERROR(__xludf.DUMMYFUNCTION("""COMPUTED_VALUE"""),752)</f>
        <v>752</v>
      </c>
      <c r="C101" s="3">
        <f t="shared" ca="1" si="2"/>
        <v>-1.4287586839690624E-2</v>
      </c>
      <c r="D101">
        <f t="shared" ca="1" si="1"/>
        <v>744.3836734693881</v>
      </c>
    </row>
    <row r="102" spans="1:4" x14ac:dyDescent="0.25">
      <c r="A102" s="2">
        <f ca="1">IFERROR(__xludf.DUMMYFUNCTION("""COMPUTED_VALUE"""),44523.6458333333)</f>
        <v>44523.645833333299</v>
      </c>
      <c r="B102" s="1">
        <f ca="1">IFERROR(__xludf.DUMMYFUNCTION("""COMPUTED_VALUE"""),751.85)</f>
        <v>751.85</v>
      </c>
      <c r="C102" s="3">
        <f t="shared" ca="1" si="2"/>
        <v>-1.9946808510635275E-4</v>
      </c>
      <c r="D102">
        <f t="shared" ca="1" si="1"/>
        <v>745.01734693877575</v>
      </c>
    </row>
    <row r="103" spans="1:4" x14ac:dyDescent="0.25">
      <c r="A103" s="2">
        <f ca="1">IFERROR(__xludf.DUMMYFUNCTION("""COMPUTED_VALUE"""),44524.6458333333)</f>
        <v>44524.645833333299</v>
      </c>
      <c r="B103" s="1">
        <f ca="1">IFERROR(__xludf.DUMMYFUNCTION("""COMPUTED_VALUE"""),760.2)</f>
        <v>760.2</v>
      </c>
      <c r="C103" s="3">
        <f t="shared" ca="1" si="2"/>
        <v>1.1105938684578071E-2</v>
      </c>
      <c r="D103">
        <f t="shared" ca="1" si="1"/>
        <v>745.66224489795945</v>
      </c>
    </row>
    <row r="104" spans="1:4" x14ac:dyDescent="0.25">
      <c r="A104" s="2">
        <f ca="1">IFERROR(__xludf.DUMMYFUNCTION("""COMPUTED_VALUE"""),44525.6458333333)</f>
        <v>44525.645833333299</v>
      </c>
      <c r="B104" s="1">
        <f ca="1">IFERROR(__xludf.DUMMYFUNCTION("""COMPUTED_VALUE"""),751.05)</f>
        <v>751.05</v>
      </c>
      <c r="C104" s="3">
        <f t="shared" ca="1" si="2"/>
        <v>-1.2036306235201381E-2</v>
      </c>
      <c r="D104">
        <f t="shared" ca="1" si="1"/>
        <v>746.73979591836746</v>
      </c>
    </row>
    <row r="105" spans="1:4" x14ac:dyDescent="0.25">
      <c r="A105" s="2">
        <f ca="1">IFERROR(__xludf.DUMMYFUNCTION("""COMPUTED_VALUE"""),44526.6458333333)</f>
        <v>44526.645833333299</v>
      </c>
      <c r="B105" s="1">
        <f ca="1">IFERROR(__xludf.DUMMYFUNCTION("""COMPUTED_VALUE"""),722.2)</f>
        <v>722.2</v>
      </c>
      <c r="C105" s="3">
        <f t="shared" ca="1" si="2"/>
        <v>-3.8412888622594912E-2</v>
      </c>
      <c r="D105">
        <f t="shared" ca="1" si="1"/>
        <v>747.62959183673479</v>
      </c>
    </row>
    <row r="106" spans="1:4" x14ac:dyDescent="0.25">
      <c r="A106" s="2">
        <f ca="1">IFERROR(__xludf.DUMMYFUNCTION("""COMPUTED_VALUE"""),44529.6458333333)</f>
        <v>44529.645833333299</v>
      </c>
      <c r="B106" s="1">
        <f ca="1">IFERROR(__xludf.DUMMYFUNCTION("""COMPUTED_VALUE"""),718.4)</f>
        <v>718.4</v>
      </c>
      <c r="C106" s="3">
        <f t="shared" ca="1" si="2"/>
        <v>-5.2617003600111713E-3</v>
      </c>
      <c r="D106">
        <f t="shared" ca="1" si="1"/>
        <v>747.7897959183673</v>
      </c>
    </row>
    <row r="107" spans="1:4" x14ac:dyDescent="0.25">
      <c r="A107" s="2">
        <f ca="1">IFERROR(__xludf.DUMMYFUNCTION("""COMPUTED_VALUE"""),44530.6458333333)</f>
        <v>44530.645833333299</v>
      </c>
      <c r="B107" s="1">
        <f ca="1">IFERROR(__xludf.DUMMYFUNCTION("""COMPUTED_VALUE"""),714.35)</f>
        <v>714.35</v>
      </c>
      <c r="C107" s="3">
        <f t="shared" ca="1" si="2"/>
        <v>-5.6375278396435897E-3</v>
      </c>
      <c r="D107">
        <f t="shared" ca="1" si="1"/>
        <v>747.61020408163267</v>
      </c>
    </row>
    <row r="108" spans="1:4" x14ac:dyDescent="0.25">
      <c r="A108" s="2">
        <f ca="1">IFERROR(__xludf.DUMMYFUNCTION("""COMPUTED_VALUE"""),44531.6458333333)</f>
        <v>44531.645833333299</v>
      </c>
      <c r="B108" s="1">
        <f ca="1">IFERROR(__xludf.DUMMYFUNCTION("""COMPUTED_VALUE"""),727.7)</f>
        <v>727.7</v>
      </c>
      <c r="C108" s="3">
        <f t="shared" ca="1" si="2"/>
        <v>1.8688318051375406E-2</v>
      </c>
      <c r="D108">
        <f t="shared" ca="1" si="1"/>
        <v>747.49183673469395</v>
      </c>
    </row>
    <row r="109" spans="1:4" x14ac:dyDescent="0.25">
      <c r="A109" s="2">
        <f ca="1">IFERROR(__xludf.DUMMYFUNCTION("""COMPUTED_VALUE"""),44532.6458333333)</f>
        <v>44532.645833333299</v>
      </c>
      <c r="B109" s="1">
        <f ca="1">IFERROR(__xludf.DUMMYFUNCTION("""COMPUTED_VALUE"""),722.4)</f>
        <v>722.4</v>
      </c>
      <c r="C109" s="3">
        <f t="shared" ca="1" si="2"/>
        <v>-7.2832211075993785E-3</v>
      </c>
      <c r="D109">
        <f t="shared" ca="1" si="1"/>
        <v>747.85306122448981</v>
      </c>
    </row>
    <row r="110" spans="1:4" x14ac:dyDescent="0.25">
      <c r="A110" s="2">
        <f ca="1">IFERROR(__xludf.DUMMYFUNCTION("""COMPUTED_VALUE"""),44533.6458333333)</f>
        <v>44533.645833333299</v>
      </c>
      <c r="B110" s="1">
        <f ca="1">IFERROR(__xludf.DUMMYFUNCTION("""COMPUTED_VALUE"""),716.3)</f>
        <v>716.3</v>
      </c>
      <c r="C110" s="3">
        <f t="shared" ca="1" si="2"/>
        <v>-8.4440753045404524E-3</v>
      </c>
      <c r="D110">
        <f t="shared" ca="1" si="1"/>
        <v>748.06836734693877</v>
      </c>
    </row>
    <row r="111" spans="1:4" x14ac:dyDescent="0.25">
      <c r="A111" s="2">
        <f ca="1">IFERROR(__xludf.DUMMYFUNCTION("""COMPUTED_VALUE"""),44536.6458333333)</f>
        <v>44536.645833333299</v>
      </c>
      <c r="B111" s="1">
        <f ca="1">IFERROR(__xludf.DUMMYFUNCTION("""COMPUTED_VALUE"""),709.55)</f>
        <v>709.55</v>
      </c>
      <c r="C111" s="3">
        <f t="shared" ca="1" si="2"/>
        <v>-9.4234259388524359E-3</v>
      </c>
      <c r="D111">
        <f t="shared" ca="1" si="1"/>
        <v>748.33265306122451</v>
      </c>
    </row>
    <row r="112" spans="1:4" x14ac:dyDescent="0.25">
      <c r="A112" s="2">
        <f ca="1">IFERROR(__xludf.DUMMYFUNCTION("""COMPUTED_VALUE"""),44537.6458333333)</f>
        <v>44537.645833333299</v>
      </c>
      <c r="B112" s="1">
        <f ca="1">IFERROR(__xludf.DUMMYFUNCTION("""COMPUTED_VALUE"""),734.65)</f>
        <v>734.65</v>
      </c>
      <c r="C112" s="3">
        <f t="shared" ca="1" si="2"/>
        <v>3.5374533154816465E-2</v>
      </c>
      <c r="D112">
        <f t="shared" ca="1" si="1"/>
        <v>748.18061224489804</v>
      </c>
    </row>
    <row r="113" spans="1:4" x14ac:dyDescent="0.25">
      <c r="A113" s="2">
        <f ca="1">IFERROR(__xludf.DUMMYFUNCTION("""COMPUTED_VALUE"""),44538.6458333333)</f>
        <v>44538.645833333299</v>
      </c>
      <c r="B113" s="1">
        <f ca="1">IFERROR(__xludf.DUMMYFUNCTION("""COMPUTED_VALUE"""),753.4)</f>
        <v>753.4</v>
      </c>
      <c r="C113" s="3">
        <f t="shared" ca="1" si="2"/>
        <v>2.5522357585244675E-2</v>
      </c>
      <c r="D113">
        <f t="shared" ca="1" si="1"/>
        <v>748.41938775510221</v>
      </c>
    </row>
    <row r="114" spans="1:4" x14ac:dyDescent="0.25">
      <c r="A114" s="2">
        <f ca="1">IFERROR(__xludf.DUMMYFUNCTION("""COMPUTED_VALUE"""),44539.6458333333)</f>
        <v>44539.645833333299</v>
      </c>
      <c r="B114" s="1">
        <f ca="1">IFERROR(__xludf.DUMMYFUNCTION("""COMPUTED_VALUE"""),755)</f>
        <v>755</v>
      </c>
      <c r="C114" s="3">
        <f t="shared" ca="1" si="2"/>
        <v>2.1237058667374869E-3</v>
      </c>
      <c r="D114">
        <f t="shared" ca="1" si="1"/>
        <v>748.89693877551042</v>
      </c>
    </row>
    <row r="115" spans="1:4" x14ac:dyDescent="0.25">
      <c r="A115" s="2">
        <f ca="1">IFERROR(__xludf.DUMMYFUNCTION("""COMPUTED_VALUE"""),44540.6458333333)</f>
        <v>44540.645833333299</v>
      </c>
      <c r="B115" s="1">
        <f ca="1">IFERROR(__xludf.DUMMYFUNCTION("""COMPUTED_VALUE"""),758)</f>
        <v>758</v>
      </c>
      <c r="C115" s="3">
        <f t="shared" ca="1" si="2"/>
        <v>3.9735099337748344E-3</v>
      </c>
      <c r="D115">
        <f t="shared" ca="1" si="1"/>
        <v>749.66938775510221</v>
      </c>
    </row>
    <row r="116" spans="1:4" x14ac:dyDescent="0.25">
      <c r="A116" s="2">
        <f ca="1">IFERROR(__xludf.DUMMYFUNCTION("""COMPUTED_VALUE"""),44543.6458333333)</f>
        <v>44543.645833333299</v>
      </c>
      <c r="B116" s="1">
        <f ca="1">IFERROR(__xludf.DUMMYFUNCTION("""COMPUTED_VALUE"""),754)</f>
        <v>754</v>
      </c>
      <c r="C116" s="3">
        <f t="shared" ca="1" si="2"/>
        <v>-5.2770448548812663E-3</v>
      </c>
      <c r="D116">
        <f t="shared" ref="D116:D179" ca="1" si="3">AVERAGE(B67:B115)</f>
        <v>750.65918367346956</v>
      </c>
    </row>
    <row r="117" spans="1:4" x14ac:dyDescent="0.25">
      <c r="A117" s="2">
        <f ca="1">IFERROR(__xludf.DUMMYFUNCTION("""COMPUTED_VALUE"""),44544.6458333333)</f>
        <v>44544.645833333299</v>
      </c>
      <c r="B117" s="1">
        <f ca="1">IFERROR(__xludf.DUMMYFUNCTION("""COMPUTED_VALUE"""),758.65)</f>
        <v>758.65</v>
      </c>
      <c r="C117" s="3">
        <f t="shared" ca="1" si="2"/>
        <v>6.1671087533156201E-3</v>
      </c>
      <c r="D117">
        <f t="shared" ca="1" si="3"/>
        <v>751.74387755102055</v>
      </c>
    </row>
    <row r="118" spans="1:4" x14ac:dyDescent="0.25">
      <c r="A118" s="2">
        <f ca="1">IFERROR(__xludf.DUMMYFUNCTION("""COMPUTED_VALUE"""),44545.6458333333)</f>
        <v>44545.645833333299</v>
      </c>
      <c r="B118" s="1">
        <f ca="1">IFERROR(__xludf.DUMMYFUNCTION("""COMPUTED_VALUE"""),752.25)</f>
        <v>752.25</v>
      </c>
      <c r="C118" s="3">
        <f t="shared" ca="1" si="2"/>
        <v>-8.4360376985434353E-3</v>
      </c>
      <c r="D118">
        <f t="shared" ca="1" si="3"/>
        <v>753.09693877551024</v>
      </c>
    </row>
    <row r="119" spans="1:4" x14ac:dyDescent="0.25">
      <c r="A119" s="2">
        <f ca="1">IFERROR(__xludf.DUMMYFUNCTION("""COMPUTED_VALUE"""),44546.6458333333)</f>
        <v>44546.645833333299</v>
      </c>
      <c r="B119" s="1">
        <f ca="1">IFERROR(__xludf.DUMMYFUNCTION("""COMPUTED_VALUE"""),741.15)</f>
        <v>741.15</v>
      </c>
      <c r="C119" s="3">
        <f t="shared" ca="1" si="2"/>
        <v>-1.4755732801595244E-2</v>
      </c>
      <c r="D119">
        <f t="shared" ca="1" si="3"/>
        <v>754.15918367346944</v>
      </c>
    </row>
    <row r="120" spans="1:4" x14ac:dyDescent="0.25">
      <c r="A120" s="2">
        <f ca="1">IFERROR(__xludf.DUMMYFUNCTION("""COMPUTED_VALUE"""),44547.6458333333)</f>
        <v>44547.645833333299</v>
      </c>
      <c r="B120" s="1">
        <f ca="1">IFERROR(__xludf.DUMMYFUNCTION("""COMPUTED_VALUE"""),728.3)</f>
        <v>728.3</v>
      </c>
      <c r="C120" s="3">
        <f t="shared" ca="1" si="2"/>
        <v>-1.7337920798758719E-2</v>
      </c>
      <c r="D120">
        <f t="shared" ca="1" si="3"/>
        <v>755.05816326530623</v>
      </c>
    </row>
    <row r="121" spans="1:4" x14ac:dyDescent="0.25">
      <c r="A121" s="2">
        <f ca="1">IFERROR(__xludf.DUMMYFUNCTION("""COMPUTED_VALUE"""),44550.6458333333)</f>
        <v>44550.645833333299</v>
      </c>
      <c r="B121" s="1">
        <f ca="1">IFERROR(__xludf.DUMMYFUNCTION("""COMPUTED_VALUE"""),709.95)</f>
        <v>709.95</v>
      </c>
      <c r="C121" s="3">
        <f t="shared" ca="1" si="2"/>
        <v>-2.519566112865565E-2</v>
      </c>
      <c r="D121">
        <f t="shared" ca="1" si="3"/>
        <v>755.85000000000014</v>
      </c>
    </row>
    <row r="122" spans="1:4" x14ac:dyDescent="0.25">
      <c r="A122" s="2">
        <f ca="1">IFERROR(__xludf.DUMMYFUNCTION("""COMPUTED_VALUE"""),44551.6458333333)</f>
        <v>44551.645833333299</v>
      </c>
      <c r="B122" s="1">
        <f ca="1">IFERROR(__xludf.DUMMYFUNCTION("""COMPUTED_VALUE"""),720.35)</f>
        <v>720.35</v>
      </c>
      <c r="C122" s="3">
        <f t="shared" ca="1" si="2"/>
        <v>1.4648918937953344E-2</v>
      </c>
      <c r="D122">
        <f t="shared" ca="1" si="3"/>
        <v>756.00816326530628</v>
      </c>
    </row>
    <row r="123" spans="1:4" x14ac:dyDescent="0.25">
      <c r="A123" s="2">
        <f ca="1">IFERROR(__xludf.DUMMYFUNCTION("""COMPUTED_VALUE"""),44552.6458333333)</f>
        <v>44552.645833333299</v>
      </c>
      <c r="B123" s="1">
        <f ca="1">IFERROR(__xludf.DUMMYFUNCTION("""COMPUTED_VALUE"""),732.8)</f>
        <v>732.8</v>
      </c>
      <c r="C123" s="3">
        <f t="shared" ca="1" si="2"/>
        <v>1.7283265079475158E-2</v>
      </c>
      <c r="D123">
        <f t="shared" ca="1" si="3"/>
        <v>756.35408163265299</v>
      </c>
    </row>
    <row r="124" spans="1:4" x14ac:dyDescent="0.25">
      <c r="A124" s="2">
        <f ca="1">IFERROR(__xludf.DUMMYFUNCTION("""COMPUTED_VALUE"""),44553.6458333333)</f>
        <v>44553.645833333299</v>
      </c>
      <c r="B124" s="1">
        <f ca="1">IFERROR(__xludf.DUMMYFUNCTION("""COMPUTED_VALUE"""),731.3)</f>
        <v>731.3</v>
      </c>
      <c r="C124" s="3">
        <f t="shared" ca="1" si="2"/>
        <v>-2.046943231441048E-3</v>
      </c>
      <c r="D124">
        <f t="shared" ca="1" si="3"/>
        <v>756.7520408163266</v>
      </c>
    </row>
    <row r="125" spans="1:4" x14ac:dyDescent="0.25">
      <c r="A125" s="2">
        <f ca="1">IFERROR(__xludf.DUMMYFUNCTION("""COMPUTED_VALUE"""),44554.6458333333)</f>
        <v>44554.645833333299</v>
      </c>
      <c r="B125" s="1">
        <f ca="1">IFERROR(__xludf.DUMMYFUNCTION("""COMPUTED_VALUE"""),727.1)</f>
        <v>727.1</v>
      </c>
      <c r="C125" s="3">
        <f t="shared" ca="1" si="2"/>
        <v>-5.743197046355712E-3</v>
      </c>
      <c r="D125">
        <f t="shared" ca="1" si="3"/>
        <v>757.21530612244919</v>
      </c>
    </row>
    <row r="126" spans="1:4" x14ac:dyDescent="0.25">
      <c r="A126" s="2">
        <f ca="1">IFERROR(__xludf.DUMMYFUNCTION("""COMPUTED_VALUE"""),44557.6458333333)</f>
        <v>44557.645833333299</v>
      </c>
      <c r="B126" s="1">
        <f ca="1">IFERROR(__xludf.DUMMYFUNCTION("""COMPUTED_VALUE"""),736)</f>
        <v>736</v>
      </c>
      <c r="C126" s="3">
        <f t="shared" ca="1" si="2"/>
        <v>1.2240407096685431E-2</v>
      </c>
      <c r="D126">
        <f t="shared" ca="1" si="3"/>
        <v>757.5653061224491</v>
      </c>
    </row>
    <row r="127" spans="1:4" x14ac:dyDescent="0.25">
      <c r="A127" s="2">
        <f ca="1">IFERROR(__xludf.DUMMYFUNCTION("""COMPUTED_VALUE"""),44558.6458333333)</f>
        <v>44558.645833333299</v>
      </c>
      <c r="B127" s="1">
        <f ca="1">IFERROR(__xludf.DUMMYFUNCTION("""COMPUTED_VALUE"""),735.8)</f>
        <v>735.8</v>
      </c>
      <c r="C127" s="3">
        <f t="shared" ca="1" si="2"/>
        <v>-2.7173913043484441E-4</v>
      </c>
      <c r="D127">
        <f t="shared" ca="1" si="3"/>
        <v>757.74285714285736</v>
      </c>
    </row>
    <row r="128" spans="1:4" x14ac:dyDescent="0.25">
      <c r="A128" s="2">
        <f ca="1">IFERROR(__xludf.DUMMYFUNCTION("""COMPUTED_VALUE"""),44559.6458333333)</f>
        <v>44559.645833333299</v>
      </c>
      <c r="B128" s="1">
        <f ca="1">IFERROR(__xludf.DUMMYFUNCTION("""COMPUTED_VALUE"""),735.7)</f>
        <v>735.7</v>
      </c>
      <c r="C128" s="3">
        <f t="shared" ca="1" si="2"/>
        <v>-1.35906496330401E-4</v>
      </c>
      <c r="D128">
        <f t="shared" ca="1" si="3"/>
        <v>757.54591836734721</v>
      </c>
    </row>
    <row r="129" spans="1:4" x14ac:dyDescent="0.25">
      <c r="A129" s="2">
        <f ca="1">IFERROR(__xludf.DUMMYFUNCTION("""COMPUTED_VALUE"""),44560.6458333333)</f>
        <v>44560.645833333299</v>
      </c>
      <c r="B129" s="1">
        <f ca="1">IFERROR(__xludf.DUMMYFUNCTION("""COMPUTED_VALUE"""),735.7)</f>
        <v>735.7</v>
      </c>
      <c r="C129" s="3">
        <f t="shared" ca="1" si="2"/>
        <v>0</v>
      </c>
      <c r="D129">
        <f t="shared" ca="1" si="3"/>
        <v>757.30612244897975</v>
      </c>
    </row>
    <row r="130" spans="1:4" x14ac:dyDescent="0.25">
      <c r="A130" s="2">
        <f ca="1">IFERROR(__xludf.DUMMYFUNCTION("""COMPUTED_VALUE"""),44561.6458333333)</f>
        <v>44561.645833333299</v>
      </c>
      <c r="B130" s="1">
        <f ca="1">IFERROR(__xludf.DUMMYFUNCTION("""COMPUTED_VALUE"""),740.15)</f>
        <v>740.15</v>
      </c>
      <c r="C130" s="3">
        <f t="shared" ca="1" si="2"/>
        <v>6.0486611390511502E-3</v>
      </c>
      <c r="D130">
        <f t="shared" ca="1" si="3"/>
        <v>757.09897959183672</v>
      </c>
    </row>
    <row r="131" spans="1:4" x14ac:dyDescent="0.25">
      <c r="A131" s="2">
        <f ca="1">IFERROR(__xludf.DUMMYFUNCTION("""COMPUTED_VALUE"""),44564.6458333333)</f>
        <v>44564.645833333299</v>
      </c>
      <c r="B131" s="1">
        <f ca="1">IFERROR(__xludf.DUMMYFUNCTION("""COMPUTED_VALUE"""),764.7)</f>
        <v>764.7</v>
      </c>
      <c r="C131" s="3">
        <f t="shared" ca="1" si="2"/>
        <v>3.316895223941102E-2</v>
      </c>
      <c r="D131">
        <f t="shared" ca="1" si="3"/>
        <v>756.78571428571433</v>
      </c>
    </row>
    <row r="132" spans="1:4" x14ac:dyDescent="0.25">
      <c r="A132" s="2">
        <f ca="1">IFERROR(__xludf.DUMMYFUNCTION("""COMPUTED_VALUE"""),44565.6458333333)</f>
        <v>44565.645833333299</v>
      </c>
      <c r="B132" s="1">
        <f ca="1">IFERROR(__xludf.DUMMYFUNCTION("""COMPUTED_VALUE"""),772.85)</f>
        <v>772.85</v>
      </c>
      <c r="C132" s="3">
        <f t="shared" ref="C132:C195" ca="1" si="4">(B132-B131)/B131</f>
        <v>1.0657774290571435E-2</v>
      </c>
      <c r="D132">
        <f t="shared" ca="1" si="3"/>
        <v>756.89591836734678</v>
      </c>
    </row>
    <row r="133" spans="1:4" x14ac:dyDescent="0.25">
      <c r="A133" s="2">
        <f ca="1">IFERROR(__xludf.DUMMYFUNCTION("""COMPUTED_VALUE"""),44566.6458333333)</f>
        <v>44566.645833333299</v>
      </c>
      <c r="B133" s="1">
        <f ca="1">IFERROR(__xludf.DUMMYFUNCTION("""COMPUTED_VALUE"""),788.05)</f>
        <v>788.05</v>
      </c>
      <c r="C133" s="3">
        <f t="shared" ca="1" si="4"/>
        <v>1.9667464579154987E-2</v>
      </c>
      <c r="D133">
        <f t="shared" ca="1" si="3"/>
        <v>755.49081632653053</v>
      </c>
    </row>
    <row r="134" spans="1:4" x14ac:dyDescent="0.25">
      <c r="A134" s="2">
        <f ca="1">IFERROR(__xludf.DUMMYFUNCTION("""COMPUTED_VALUE"""),44567.6458333333)</f>
        <v>44567.645833333299</v>
      </c>
      <c r="B134" s="1">
        <f ca="1">IFERROR(__xludf.DUMMYFUNCTION("""COMPUTED_VALUE"""),785.05)</f>
        <v>785.05</v>
      </c>
      <c r="C134" s="3">
        <f t="shared" ca="1" si="4"/>
        <v>-3.8068650466340972E-3</v>
      </c>
      <c r="D134">
        <f t="shared" ca="1" si="3"/>
        <v>754.64693877551019</v>
      </c>
    </row>
    <row r="135" spans="1:4" x14ac:dyDescent="0.25">
      <c r="A135" s="2">
        <f ca="1">IFERROR(__xludf.DUMMYFUNCTION("""COMPUTED_VALUE"""),44568.6458333333)</f>
        <v>44568.645833333299</v>
      </c>
      <c r="B135" s="1">
        <f ca="1">IFERROR(__xludf.DUMMYFUNCTION("""COMPUTED_VALUE"""),793.25)</f>
        <v>793.25</v>
      </c>
      <c r="C135" s="3">
        <f t="shared" ca="1" si="4"/>
        <v>1.0445194573594097E-2</v>
      </c>
      <c r="D135">
        <f t="shared" ca="1" si="3"/>
        <v>753.62755102040819</v>
      </c>
    </row>
    <row r="136" spans="1:4" x14ac:dyDescent="0.25">
      <c r="A136" s="2">
        <f ca="1">IFERROR(__xludf.DUMMYFUNCTION("""COMPUTED_VALUE"""),44571.6458333333)</f>
        <v>44571.645833333299</v>
      </c>
      <c r="B136" s="1">
        <f ca="1">IFERROR(__xludf.DUMMYFUNCTION("""COMPUTED_VALUE"""),810.75)</f>
        <v>810.75</v>
      </c>
      <c r="C136" s="3">
        <f t="shared" ca="1" si="4"/>
        <v>2.2061140876142454E-2</v>
      </c>
      <c r="D136">
        <f t="shared" ca="1" si="3"/>
        <v>753.51632653061233</v>
      </c>
    </row>
    <row r="137" spans="1:4" x14ac:dyDescent="0.25">
      <c r="A137" s="2">
        <f ca="1">IFERROR(__xludf.DUMMYFUNCTION("""COMPUTED_VALUE"""),44572.6458333333)</f>
        <v>44572.645833333299</v>
      </c>
      <c r="B137" s="1">
        <f ca="1">IFERROR(__xludf.DUMMYFUNCTION("""COMPUTED_VALUE"""),810.65)</f>
        <v>810.65</v>
      </c>
      <c r="C137" s="3">
        <f t="shared" ca="1" si="4"/>
        <v>-1.2334258402716341E-4</v>
      </c>
      <c r="D137">
        <f t="shared" ca="1" si="3"/>
        <v>753.69387755102059</v>
      </c>
    </row>
    <row r="138" spans="1:4" x14ac:dyDescent="0.25">
      <c r="A138" s="2">
        <f ca="1">IFERROR(__xludf.DUMMYFUNCTION("""COMPUTED_VALUE"""),44573.6458333333)</f>
        <v>44573.645833333299</v>
      </c>
      <c r="B138" s="1">
        <f ca="1">IFERROR(__xludf.DUMMYFUNCTION("""COMPUTED_VALUE"""),823.75)</f>
        <v>823.75</v>
      </c>
      <c r="C138" s="3">
        <f t="shared" ca="1" si="4"/>
        <v>1.6159871707888761E-2</v>
      </c>
      <c r="D138">
        <f t="shared" ca="1" si="3"/>
        <v>753.83163265306155</v>
      </c>
    </row>
    <row r="139" spans="1:4" x14ac:dyDescent="0.25">
      <c r="A139" s="2">
        <f ca="1">IFERROR(__xludf.DUMMYFUNCTION("""COMPUTED_VALUE"""),44574.6458333333)</f>
        <v>44574.645833333299</v>
      </c>
      <c r="B139" s="1">
        <f ca="1">IFERROR(__xludf.DUMMYFUNCTION("""COMPUTED_VALUE"""),824.7)</f>
        <v>824.7</v>
      </c>
      <c r="C139" s="3">
        <f t="shared" ca="1" si="4"/>
        <v>1.1532625189681887E-3</v>
      </c>
      <c r="D139">
        <f t="shared" ca="1" si="3"/>
        <v>754.2969387755104</v>
      </c>
    </row>
    <row r="140" spans="1:4" x14ac:dyDescent="0.25">
      <c r="A140" s="2">
        <f ca="1">IFERROR(__xludf.DUMMYFUNCTION("""COMPUTED_VALUE"""),44575.6458333333)</f>
        <v>44575.645833333299</v>
      </c>
      <c r="B140" s="1">
        <f ca="1">IFERROR(__xludf.DUMMYFUNCTION("""COMPUTED_VALUE"""),820)</f>
        <v>820</v>
      </c>
      <c r="C140" s="3">
        <f t="shared" ca="1" si="4"/>
        <v>-5.6990420759064448E-3</v>
      </c>
      <c r="D140">
        <f t="shared" ca="1" si="3"/>
        <v>755.08775510204089</v>
      </c>
    </row>
    <row r="141" spans="1:4" x14ac:dyDescent="0.25">
      <c r="A141" s="2">
        <f ca="1">IFERROR(__xludf.DUMMYFUNCTION("""COMPUTED_VALUE"""),44578.6458333333)</f>
        <v>44578.645833333299</v>
      </c>
      <c r="B141" s="1">
        <f ca="1">IFERROR(__xludf.DUMMYFUNCTION("""COMPUTED_VALUE"""),819.3)</f>
        <v>819.3</v>
      </c>
      <c r="C141" s="3">
        <f t="shared" ca="1" si="4"/>
        <v>-8.5365853658542136E-4</v>
      </c>
      <c r="D141">
        <f t="shared" ca="1" si="3"/>
        <v>755.86122448979586</v>
      </c>
    </row>
    <row r="142" spans="1:4" x14ac:dyDescent="0.25">
      <c r="A142" s="2">
        <f ca="1">IFERROR(__xludf.DUMMYFUNCTION("""COMPUTED_VALUE"""),44579.6458333333)</f>
        <v>44579.645833333299</v>
      </c>
      <c r="B142" s="1">
        <f ca="1">IFERROR(__xludf.DUMMYFUNCTION("""COMPUTED_VALUE"""),823.1)</f>
        <v>823.1</v>
      </c>
      <c r="C142" s="3">
        <f t="shared" ca="1" si="4"/>
        <v>4.6381056999878776E-3</v>
      </c>
      <c r="D142">
        <f t="shared" ca="1" si="3"/>
        <v>756.66020408163263</v>
      </c>
    </row>
    <row r="143" spans="1:4" x14ac:dyDescent="0.25">
      <c r="A143" s="2">
        <f ca="1">IFERROR(__xludf.DUMMYFUNCTION("""COMPUTED_VALUE"""),44580.6458333333)</f>
        <v>44580.645833333299</v>
      </c>
      <c r="B143" s="1">
        <f ca="1">IFERROR(__xludf.DUMMYFUNCTION("""COMPUTED_VALUE"""),808.6)</f>
        <v>808.6</v>
      </c>
      <c r="C143" s="3">
        <f t="shared" ca="1" si="4"/>
        <v>-1.7616328514153807E-2</v>
      </c>
      <c r="D143">
        <f t="shared" ca="1" si="3"/>
        <v>757.40612244897943</v>
      </c>
    </row>
    <row r="144" spans="1:4" x14ac:dyDescent="0.25">
      <c r="A144" s="2">
        <f ca="1">IFERROR(__xludf.DUMMYFUNCTION("""COMPUTED_VALUE"""),44581.6458333333)</f>
        <v>44581.645833333299</v>
      </c>
      <c r="B144" s="1">
        <f ca="1">IFERROR(__xludf.DUMMYFUNCTION("""COMPUTED_VALUE"""),810.25)</f>
        <v>810.25</v>
      </c>
      <c r="C144" s="3">
        <f t="shared" ca="1" si="4"/>
        <v>2.0405639376700189E-3</v>
      </c>
      <c r="D144">
        <f t="shared" ca="1" si="3"/>
        <v>757.97142857142853</v>
      </c>
    </row>
    <row r="145" spans="1:4" x14ac:dyDescent="0.25">
      <c r="A145" s="2">
        <f ca="1">IFERROR(__xludf.DUMMYFUNCTION("""COMPUTED_VALUE"""),44582.6458333333)</f>
        <v>44582.645833333299</v>
      </c>
      <c r="B145" s="1">
        <f ca="1">IFERROR(__xludf.DUMMYFUNCTION("""COMPUTED_VALUE"""),804.5)</f>
        <v>804.5</v>
      </c>
      <c r="C145" s="3">
        <f t="shared" ca="1" si="4"/>
        <v>-7.0965751311323662E-3</v>
      </c>
      <c r="D145">
        <f t="shared" ca="1" si="3"/>
        <v>758.76326530612232</v>
      </c>
    </row>
    <row r="146" spans="1:4" x14ac:dyDescent="0.25">
      <c r="A146" s="2">
        <f ca="1">IFERROR(__xludf.DUMMYFUNCTION("""COMPUTED_VALUE"""),44585.6458333333)</f>
        <v>44585.645833333299</v>
      </c>
      <c r="B146" s="1">
        <f ca="1">IFERROR(__xludf.DUMMYFUNCTION("""COMPUTED_VALUE"""),798.45)</f>
        <v>798.45</v>
      </c>
      <c r="C146" s="3">
        <f t="shared" ca="1" si="4"/>
        <v>-7.5201988812926722E-3</v>
      </c>
      <c r="D146">
        <f t="shared" ca="1" si="3"/>
        <v>759.33265306122439</v>
      </c>
    </row>
    <row r="147" spans="1:4" x14ac:dyDescent="0.25">
      <c r="A147" s="2">
        <f ca="1">IFERROR(__xludf.DUMMYFUNCTION("""COMPUTED_VALUE"""),44586.6458333333)</f>
        <v>44586.645833333299</v>
      </c>
      <c r="B147" s="1">
        <f ca="1">IFERROR(__xludf.DUMMYFUNCTION("""COMPUTED_VALUE"""),801.65)</f>
        <v>801.65</v>
      </c>
      <c r="C147" s="3">
        <f t="shared" ca="1" si="4"/>
        <v>4.0077650447741643E-3</v>
      </c>
      <c r="D147">
        <f t="shared" ca="1" si="3"/>
        <v>759.84591836734671</v>
      </c>
    </row>
    <row r="148" spans="1:4" x14ac:dyDescent="0.25">
      <c r="A148" s="2">
        <f ca="1">IFERROR(__xludf.DUMMYFUNCTION("""COMPUTED_VALUE"""),44588.6458333333)</f>
        <v>44588.645833333299</v>
      </c>
      <c r="B148" s="1">
        <f ca="1">IFERROR(__xludf.DUMMYFUNCTION("""COMPUTED_VALUE"""),794.65)</f>
        <v>794.65</v>
      </c>
      <c r="C148" s="3">
        <f t="shared" ca="1" si="4"/>
        <v>-8.7319902700679856E-3</v>
      </c>
      <c r="D148">
        <f t="shared" ca="1" si="3"/>
        <v>760.61326530612223</v>
      </c>
    </row>
    <row r="149" spans="1:4" x14ac:dyDescent="0.25">
      <c r="A149" s="2">
        <f ca="1">IFERROR(__xludf.DUMMYFUNCTION("""COMPUTED_VALUE"""),44589.6458333333)</f>
        <v>44589.645833333299</v>
      </c>
      <c r="B149" s="1">
        <f ca="1">IFERROR(__xludf.DUMMYFUNCTION("""COMPUTED_VALUE"""),781.15)</f>
        <v>781.15</v>
      </c>
      <c r="C149" s="3">
        <f t="shared" ca="1" si="4"/>
        <v>-1.6988611338325049E-2</v>
      </c>
      <c r="D149">
        <f t="shared" ca="1" si="3"/>
        <v>761.29387755102027</v>
      </c>
    </row>
    <row r="150" spans="1:4" x14ac:dyDescent="0.25">
      <c r="A150" s="2">
        <f ca="1">IFERROR(__xludf.DUMMYFUNCTION("""COMPUTED_VALUE"""),44592.6458333333)</f>
        <v>44592.645833333299</v>
      </c>
      <c r="B150" s="1">
        <f ca="1">IFERROR(__xludf.DUMMYFUNCTION("""COMPUTED_VALUE"""),788.8)</f>
        <v>788.8</v>
      </c>
      <c r="C150" s="3">
        <f t="shared" ca="1" si="4"/>
        <v>9.7932535364526375E-3</v>
      </c>
      <c r="D150">
        <f t="shared" ca="1" si="3"/>
        <v>761.66632653061231</v>
      </c>
    </row>
    <row r="151" spans="1:4" x14ac:dyDescent="0.25">
      <c r="A151" s="2">
        <f ca="1">IFERROR(__xludf.DUMMYFUNCTION("""COMPUTED_VALUE"""),44593.6458333333)</f>
        <v>44593.645833333299</v>
      </c>
      <c r="B151" s="1">
        <f ca="1">IFERROR(__xludf.DUMMYFUNCTION("""COMPUTED_VALUE"""),810.3)</f>
        <v>810.3</v>
      </c>
      <c r="C151" s="3">
        <f t="shared" ca="1" si="4"/>
        <v>2.7256592292089252E-2</v>
      </c>
      <c r="D151">
        <f t="shared" ca="1" si="3"/>
        <v>762.41734693877561</v>
      </c>
    </row>
    <row r="152" spans="1:4" x14ac:dyDescent="0.25">
      <c r="A152" s="2">
        <f ca="1">IFERROR(__xludf.DUMMYFUNCTION("""COMPUTED_VALUE"""),44594.6458333333)</f>
        <v>44594.645833333299</v>
      </c>
      <c r="B152" s="1">
        <f ca="1">IFERROR(__xludf.DUMMYFUNCTION("""COMPUTED_VALUE"""),813.75)</f>
        <v>813.75</v>
      </c>
      <c r="C152" s="3">
        <f t="shared" ca="1" si="4"/>
        <v>4.257682339874177E-3</v>
      </c>
      <c r="D152">
        <f t="shared" ca="1" si="3"/>
        <v>763.61020408163267</v>
      </c>
    </row>
    <row r="153" spans="1:4" x14ac:dyDescent="0.25">
      <c r="A153" s="2">
        <f ca="1">IFERROR(__xludf.DUMMYFUNCTION("""COMPUTED_VALUE"""),44595.6458333333)</f>
        <v>44595.645833333299</v>
      </c>
      <c r="B153" s="1">
        <f ca="1">IFERROR(__xludf.DUMMYFUNCTION("""COMPUTED_VALUE"""),808.95)</f>
        <v>808.95</v>
      </c>
      <c r="C153" s="3">
        <f t="shared" ca="1" si="4"/>
        <v>-5.8986175115206818E-3</v>
      </c>
      <c r="D153">
        <f t="shared" ca="1" si="3"/>
        <v>764.70306122448983</v>
      </c>
    </row>
    <row r="154" spans="1:4" x14ac:dyDescent="0.25">
      <c r="A154" s="2">
        <f ca="1">IFERROR(__xludf.DUMMYFUNCTION("""COMPUTED_VALUE"""),44596.6458333333)</f>
        <v>44596.645833333299</v>
      </c>
      <c r="B154" s="1">
        <f ca="1">IFERROR(__xludf.DUMMYFUNCTION("""COMPUTED_VALUE"""),805.05)</f>
        <v>805.05</v>
      </c>
      <c r="C154" s="3">
        <f t="shared" ca="1" si="4"/>
        <v>-4.8210643426665313E-3</v>
      </c>
      <c r="D154">
        <f t="shared" ca="1" si="3"/>
        <v>765.88469387755117</v>
      </c>
    </row>
    <row r="155" spans="1:4" x14ac:dyDescent="0.25">
      <c r="A155" s="2">
        <f ca="1">IFERROR(__xludf.DUMMYFUNCTION("""COMPUTED_VALUE"""),44599.6458333333)</f>
        <v>44599.645833333299</v>
      </c>
      <c r="B155" s="1">
        <f ca="1">IFERROR(__xludf.DUMMYFUNCTION("""COMPUTED_VALUE"""),786.4)</f>
        <v>786.4</v>
      </c>
      <c r="C155" s="3">
        <f t="shared" ca="1" si="4"/>
        <v>-2.3166262965033199E-2</v>
      </c>
      <c r="D155">
        <f t="shared" ca="1" si="3"/>
        <v>767.57551020408175</v>
      </c>
    </row>
    <row r="156" spans="1:4" x14ac:dyDescent="0.25">
      <c r="A156" s="2">
        <f ca="1">IFERROR(__xludf.DUMMYFUNCTION("""COMPUTED_VALUE"""),44600.6458333333)</f>
        <v>44600.645833333299</v>
      </c>
      <c r="B156" s="1">
        <f ca="1">IFERROR(__xludf.DUMMYFUNCTION("""COMPUTED_VALUE"""),792.5)</f>
        <v>792.5</v>
      </c>
      <c r="C156" s="3">
        <f t="shared" ca="1" si="4"/>
        <v>7.7568667344862959E-3</v>
      </c>
      <c r="D156">
        <f t="shared" ca="1" si="3"/>
        <v>768.96326530612259</v>
      </c>
    </row>
    <row r="157" spans="1:4" x14ac:dyDescent="0.25">
      <c r="A157" s="2">
        <f ca="1">IFERROR(__xludf.DUMMYFUNCTION("""COMPUTED_VALUE"""),44601.6458333333)</f>
        <v>44601.645833333299</v>
      </c>
      <c r="B157" s="1">
        <f ca="1">IFERROR(__xludf.DUMMYFUNCTION("""COMPUTED_VALUE"""),802.8)</f>
        <v>802.8</v>
      </c>
      <c r="C157" s="3">
        <f t="shared" ca="1" si="4"/>
        <v>1.2996845425867451E-2</v>
      </c>
      <c r="D157">
        <f t="shared" ca="1" si="3"/>
        <v>770.55816326530623</v>
      </c>
    </row>
    <row r="158" spans="1:4" x14ac:dyDescent="0.25">
      <c r="A158" s="2">
        <f ca="1">IFERROR(__xludf.DUMMYFUNCTION("""COMPUTED_VALUE"""),44602.6458333333)</f>
        <v>44602.645833333299</v>
      </c>
      <c r="B158" s="1">
        <f ca="1">IFERROR(__xludf.DUMMYFUNCTION("""COMPUTED_VALUE"""),805.5)</f>
        <v>805.5</v>
      </c>
      <c r="C158" s="3">
        <f t="shared" ca="1" si="4"/>
        <v>3.3632286995516265E-3</v>
      </c>
      <c r="D158">
        <f t="shared" ca="1" si="3"/>
        <v>772.09081632653067</v>
      </c>
    </row>
    <row r="159" spans="1:4" x14ac:dyDescent="0.25">
      <c r="A159" s="2">
        <f ca="1">IFERROR(__xludf.DUMMYFUNCTION("""COMPUTED_VALUE"""),44603.6458333333)</f>
        <v>44603.645833333299</v>
      </c>
      <c r="B159" s="1">
        <f ca="1">IFERROR(__xludf.DUMMYFUNCTION("""COMPUTED_VALUE"""),790.8)</f>
        <v>790.8</v>
      </c>
      <c r="C159" s="3">
        <f t="shared" ca="1" si="4"/>
        <v>-1.8249534450651826E-2</v>
      </c>
      <c r="D159">
        <f t="shared" ca="1" si="3"/>
        <v>773.78673469387763</v>
      </c>
    </row>
    <row r="160" spans="1:4" x14ac:dyDescent="0.25">
      <c r="A160" s="2">
        <f ca="1">IFERROR(__xludf.DUMMYFUNCTION("""COMPUTED_VALUE"""),44606.6458333333)</f>
        <v>44606.645833333299</v>
      </c>
      <c r="B160" s="1">
        <f ca="1">IFERROR(__xludf.DUMMYFUNCTION("""COMPUTED_VALUE"""),753.7)</f>
        <v>753.7</v>
      </c>
      <c r="C160" s="3">
        <f t="shared" ca="1" si="4"/>
        <v>-4.6914516944865849E-2</v>
      </c>
      <c r="D160">
        <f t="shared" ca="1" si="3"/>
        <v>775.30714285714305</v>
      </c>
    </row>
    <row r="161" spans="1:4" x14ac:dyDescent="0.25">
      <c r="A161" s="2">
        <f ca="1">IFERROR(__xludf.DUMMYFUNCTION("""COMPUTED_VALUE"""),44607.6458333333)</f>
        <v>44607.645833333299</v>
      </c>
      <c r="B161" s="1">
        <f ca="1">IFERROR(__xludf.DUMMYFUNCTION("""COMPUTED_VALUE"""),776.05)</f>
        <v>776.05</v>
      </c>
      <c r="C161" s="3">
        <f t="shared" ca="1" si="4"/>
        <v>2.9653708372031191E-2</v>
      </c>
      <c r="D161">
        <f t="shared" ca="1" si="3"/>
        <v>776.20816326530633</v>
      </c>
    </row>
    <row r="162" spans="1:4" x14ac:dyDescent="0.25">
      <c r="A162" s="2">
        <f ca="1">IFERROR(__xludf.DUMMYFUNCTION("""COMPUTED_VALUE"""),44608.6458333333)</f>
        <v>44608.645833333299</v>
      </c>
      <c r="B162" s="1">
        <f ca="1">IFERROR(__xludf.DUMMYFUNCTION("""COMPUTED_VALUE"""),764.05)</f>
        <v>764.05</v>
      </c>
      <c r="C162" s="3">
        <f t="shared" ca="1" si="4"/>
        <v>-1.5462921203530702E-2</v>
      </c>
      <c r="D162">
        <f t="shared" ca="1" si="3"/>
        <v>777.05306122448997</v>
      </c>
    </row>
    <row r="163" spans="1:4" x14ac:dyDescent="0.25">
      <c r="A163" s="2">
        <f ca="1">IFERROR(__xludf.DUMMYFUNCTION("""COMPUTED_VALUE"""),44609.6458333333)</f>
        <v>44609.645833333299</v>
      </c>
      <c r="B163" s="1">
        <f ca="1">IFERROR(__xludf.DUMMYFUNCTION("""COMPUTED_VALUE"""),750.35)</f>
        <v>750.35</v>
      </c>
      <c r="C163" s="3">
        <f t="shared" ca="1" si="4"/>
        <v>-1.793076369347547E-2</v>
      </c>
      <c r="D163">
        <f t="shared" ca="1" si="3"/>
        <v>777.27040816326564</v>
      </c>
    </row>
    <row r="164" spans="1:4" x14ac:dyDescent="0.25">
      <c r="A164" s="2">
        <f ca="1">IFERROR(__xludf.DUMMYFUNCTION("""COMPUTED_VALUE"""),44610.6458333333)</f>
        <v>44610.645833333299</v>
      </c>
      <c r="B164" s="1">
        <f ca="1">IFERROR(__xludf.DUMMYFUNCTION("""COMPUTED_VALUE"""),748.9)</f>
        <v>748.9</v>
      </c>
      <c r="C164" s="3">
        <f t="shared" ca="1" si="4"/>
        <v>-1.9324315319518164E-3</v>
      </c>
      <c r="D164">
        <f t="shared" ca="1" si="3"/>
        <v>777.17551020408189</v>
      </c>
    </row>
    <row r="165" spans="1:4" x14ac:dyDescent="0.25">
      <c r="A165" s="2">
        <f ca="1">IFERROR(__xludf.DUMMYFUNCTION("""COMPUTED_VALUE"""),44613.6458333333)</f>
        <v>44613.645833333299</v>
      </c>
      <c r="B165" s="1">
        <f ca="1">IFERROR(__xludf.DUMMYFUNCTION("""COMPUTED_VALUE"""),754.45)</f>
        <v>754.45</v>
      </c>
      <c r="C165" s="3">
        <f t="shared" ca="1" si="4"/>
        <v>7.4108692749366651E-3</v>
      </c>
      <c r="D165">
        <f t="shared" ca="1" si="3"/>
        <v>776.98979591836769</v>
      </c>
    </row>
    <row r="166" spans="1:4" x14ac:dyDescent="0.25">
      <c r="A166" s="2">
        <f ca="1">IFERROR(__xludf.DUMMYFUNCTION("""COMPUTED_VALUE"""),44614.6458333333)</f>
        <v>44614.645833333299</v>
      </c>
      <c r="B166" s="1">
        <f ca="1">IFERROR(__xludf.DUMMYFUNCTION("""COMPUTED_VALUE"""),751.3)</f>
        <v>751.3</v>
      </c>
      <c r="C166" s="3">
        <f t="shared" ca="1" si="4"/>
        <v>-4.1752269865466115E-3</v>
      </c>
      <c r="D166">
        <f t="shared" ca="1" si="3"/>
        <v>776.99897959183681</v>
      </c>
    </row>
    <row r="167" spans="1:4" x14ac:dyDescent="0.25">
      <c r="A167" s="2">
        <f ca="1">IFERROR(__xludf.DUMMYFUNCTION("""COMPUTED_VALUE"""),44615.6458333333)</f>
        <v>44615.645833333299</v>
      </c>
      <c r="B167" s="1">
        <f ca="1">IFERROR(__xludf.DUMMYFUNCTION("""COMPUTED_VALUE"""),744.6)</f>
        <v>744.6</v>
      </c>
      <c r="C167" s="3">
        <f t="shared" ca="1" si="4"/>
        <v>-8.9178756821508484E-3</v>
      </c>
      <c r="D167">
        <f t="shared" ca="1" si="3"/>
        <v>776.84897959183684</v>
      </c>
    </row>
    <row r="168" spans="1:4" x14ac:dyDescent="0.25">
      <c r="A168" s="2">
        <f ca="1">IFERROR(__xludf.DUMMYFUNCTION("""COMPUTED_VALUE"""),44616.6458333333)</f>
        <v>44616.645833333299</v>
      </c>
      <c r="B168" s="1">
        <f ca="1">IFERROR(__xludf.DUMMYFUNCTION("""COMPUTED_VALUE"""),707.4)</f>
        <v>707.4</v>
      </c>
      <c r="C168" s="3">
        <f t="shared" ca="1" si="4"/>
        <v>-4.9959709911361866E-2</v>
      </c>
      <c r="D168">
        <f t="shared" ca="1" si="3"/>
        <v>776.69285714285718</v>
      </c>
    </row>
    <row r="169" spans="1:4" x14ac:dyDescent="0.25">
      <c r="A169" s="2">
        <f ca="1">IFERROR(__xludf.DUMMYFUNCTION("""COMPUTED_VALUE"""),44617.6458333333)</f>
        <v>44617.645833333299</v>
      </c>
      <c r="B169" s="1">
        <f ca="1">IFERROR(__xludf.DUMMYFUNCTION("""COMPUTED_VALUE"""),730.05)</f>
        <v>730.05</v>
      </c>
      <c r="C169" s="3">
        <f t="shared" ca="1" si="4"/>
        <v>3.2018659881255268E-2</v>
      </c>
      <c r="D169">
        <f t="shared" ca="1" si="3"/>
        <v>776.0040816326532</v>
      </c>
    </row>
    <row r="170" spans="1:4" x14ac:dyDescent="0.25">
      <c r="A170" s="2">
        <f ca="1">IFERROR(__xludf.DUMMYFUNCTION("""COMPUTED_VALUE"""),44620.6458333333)</f>
        <v>44620.645833333299</v>
      </c>
      <c r="B170" s="1">
        <f ca="1">IFERROR(__xludf.DUMMYFUNCTION("""COMPUTED_VALUE"""),742.7)</f>
        <v>742.7</v>
      </c>
      <c r="C170" s="3">
        <f t="shared" ca="1" si="4"/>
        <v>1.7327580302719116E-2</v>
      </c>
      <c r="D170">
        <f t="shared" ca="1" si="3"/>
        <v>776.03979591836742</v>
      </c>
    </row>
    <row r="171" spans="1:4" x14ac:dyDescent="0.25">
      <c r="A171" s="2">
        <f ca="1">IFERROR(__xludf.DUMMYFUNCTION("""COMPUTED_VALUE"""),44622.6458333333)</f>
        <v>44622.645833333299</v>
      </c>
      <c r="B171" s="1">
        <f ca="1">IFERROR(__xludf.DUMMYFUNCTION("""COMPUTED_VALUE"""),714.85)</f>
        <v>714.85</v>
      </c>
      <c r="C171" s="3">
        <f t="shared" ca="1" si="4"/>
        <v>-3.7498316951662877E-2</v>
      </c>
      <c r="D171">
        <f t="shared" ca="1" si="3"/>
        <v>776.70816326530621</v>
      </c>
    </row>
    <row r="172" spans="1:4" x14ac:dyDescent="0.25">
      <c r="A172" s="2">
        <f ca="1">IFERROR(__xludf.DUMMYFUNCTION("""COMPUTED_VALUE"""),44623.6458333333)</f>
        <v>44623.645833333299</v>
      </c>
      <c r="B172" s="1">
        <f ca="1">IFERROR(__xludf.DUMMYFUNCTION("""COMPUTED_VALUE"""),698.3)</f>
        <v>698.3</v>
      </c>
      <c r="C172" s="3">
        <f t="shared" ca="1" si="4"/>
        <v>-2.3151710148982398E-2</v>
      </c>
      <c r="D172">
        <f t="shared" ca="1" si="3"/>
        <v>776.59591836734683</v>
      </c>
    </row>
    <row r="173" spans="1:4" x14ac:dyDescent="0.25">
      <c r="A173" s="2">
        <f ca="1">IFERROR(__xludf.DUMMYFUNCTION("""COMPUTED_VALUE"""),44624.6458333333)</f>
        <v>44624.645833333299</v>
      </c>
      <c r="B173" s="1">
        <f ca="1">IFERROR(__xludf.DUMMYFUNCTION("""COMPUTED_VALUE"""),688.05)</f>
        <v>688.05</v>
      </c>
      <c r="C173" s="3">
        <f t="shared" ca="1" si="4"/>
        <v>-1.4678504940569957E-2</v>
      </c>
      <c r="D173">
        <f t="shared" ca="1" si="3"/>
        <v>775.89183673469392</v>
      </c>
    </row>
    <row r="174" spans="1:4" x14ac:dyDescent="0.25">
      <c r="A174" s="2">
        <f ca="1">IFERROR(__xludf.DUMMYFUNCTION("""COMPUTED_VALUE"""),44627.6458333333)</f>
        <v>44627.645833333299</v>
      </c>
      <c r="B174" s="1">
        <f ca="1">IFERROR(__xludf.DUMMYFUNCTION("""COMPUTED_VALUE"""),653.75)</f>
        <v>653.75</v>
      </c>
      <c r="C174" s="3">
        <f t="shared" ca="1" si="4"/>
        <v>-4.9851028268294392E-2</v>
      </c>
      <c r="D174">
        <f t="shared" ca="1" si="3"/>
        <v>775.00918367346947</v>
      </c>
    </row>
    <row r="175" spans="1:4" x14ac:dyDescent="0.25">
      <c r="A175" s="2">
        <f ca="1">IFERROR(__xludf.DUMMYFUNCTION("""COMPUTED_VALUE"""),44628.6458333333)</f>
        <v>44628.645833333299</v>
      </c>
      <c r="B175" s="1">
        <f ca="1">IFERROR(__xludf.DUMMYFUNCTION("""COMPUTED_VALUE"""),665)</f>
        <v>665</v>
      </c>
      <c r="C175" s="3">
        <f t="shared" ca="1" si="4"/>
        <v>1.7208413001912046E-2</v>
      </c>
      <c r="D175">
        <f t="shared" ca="1" si="3"/>
        <v>773.51224489795925</v>
      </c>
    </row>
    <row r="176" spans="1:4" x14ac:dyDescent="0.25">
      <c r="A176" s="2">
        <f ca="1">IFERROR(__xludf.DUMMYFUNCTION("""COMPUTED_VALUE"""),44629.6458333333)</f>
        <v>44629.645833333299</v>
      </c>
      <c r="B176" s="1">
        <f ca="1">IFERROR(__xludf.DUMMYFUNCTION("""COMPUTED_VALUE"""),667.45)</f>
        <v>667.45</v>
      </c>
      <c r="C176" s="3">
        <f t="shared" ca="1" si="4"/>
        <v>3.6842105263158579E-3</v>
      </c>
      <c r="D176">
        <f t="shared" ca="1" si="3"/>
        <v>772.06326530612262</v>
      </c>
    </row>
    <row r="177" spans="1:4" x14ac:dyDescent="0.25">
      <c r="A177" s="2">
        <f ca="1">IFERROR(__xludf.DUMMYFUNCTION("""COMPUTED_VALUE"""),44630.6458333333)</f>
        <v>44630.645833333299</v>
      </c>
      <c r="B177" s="1">
        <f ca="1">IFERROR(__xludf.DUMMYFUNCTION("""COMPUTED_VALUE"""),676.6)</f>
        <v>676.6</v>
      </c>
      <c r="C177" s="3">
        <f t="shared" ca="1" si="4"/>
        <v>1.3708892051839054E-2</v>
      </c>
      <c r="D177">
        <f t="shared" ca="1" si="3"/>
        <v>770.66836734693879</v>
      </c>
    </row>
    <row r="178" spans="1:4" x14ac:dyDescent="0.25">
      <c r="A178" s="2">
        <f ca="1">IFERROR(__xludf.DUMMYFUNCTION("""COMPUTED_VALUE"""),44631.6458333333)</f>
        <v>44631.645833333299</v>
      </c>
      <c r="B178" s="1">
        <f ca="1">IFERROR(__xludf.DUMMYFUNCTION("""COMPUTED_VALUE"""),677.9)</f>
        <v>677.9</v>
      </c>
      <c r="C178" s="3">
        <f t="shared" ca="1" si="4"/>
        <v>1.9213715637007899E-3</v>
      </c>
      <c r="D178">
        <f t="shared" ca="1" si="3"/>
        <v>769.46224489795907</v>
      </c>
    </row>
    <row r="179" spans="1:4" x14ac:dyDescent="0.25">
      <c r="A179" s="2">
        <f ca="1">IFERROR(__xludf.DUMMYFUNCTION("""COMPUTED_VALUE"""),44634.6458333333)</f>
        <v>44634.645833333299</v>
      </c>
      <c r="B179" s="1">
        <f ca="1">IFERROR(__xludf.DUMMYFUNCTION("""COMPUTED_VALUE"""),696.15)</f>
        <v>696.15</v>
      </c>
      <c r="C179" s="3">
        <f t="shared" ca="1" si="4"/>
        <v>2.692137483404632E-2</v>
      </c>
      <c r="D179">
        <f t="shared" ca="1" si="3"/>
        <v>768.28265306122444</v>
      </c>
    </row>
    <row r="180" spans="1:4" x14ac:dyDescent="0.25">
      <c r="A180" s="2">
        <f ca="1">IFERROR(__xludf.DUMMYFUNCTION("""COMPUTED_VALUE"""),44635.6458333333)</f>
        <v>44635.645833333299</v>
      </c>
      <c r="B180" s="1">
        <f ca="1">IFERROR(__xludf.DUMMYFUNCTION("""COMPUTED_VALUE"""),697.35)</f>
        <v>697.35</v>
      </c>
      <c r="C180" s="3">
        <f t="shared" ca="1" si="4"/>
        <v>1.723766429648848E-3</v>
      </c>
      <c r="D180">
        <f t="shared" ref="D180:D243" ca="1" si="5">AVERAGE(B131:B179)</f>
        <v>767.38469387755094</v>
      </c>
    </row>
    <row r="181" spans="1:4" x14ac:dyDescent="0.25">
      <c r="A181" s="2">
        <f ca="1">IFERROR(__xludf.DUMMYFUNCTION("""COMPUTED_VALUE"""),44636.6458333333)</f>
        <v>44636.645833333299</v>
      </c>
      <c r="B181" s="1">
        <f ca="1">IFERROR(__xludf.DUMMYFUNCTION("""COMPUTED_VALUE"""),708)</f>
        <v>708</v>
      </c>
      <c r="C181" s="3">
        <f t="shared" ca="1" si="4"/>
        <v>1.5272101527210119E-2</v>
      </c>
      <c r="D181">
        <f t="shared" ca="1" si="5"/>
        <v>766.01020408163254</v>
      </c>
    </row>
    <row r="182" spans="1:4" x14ac:dyDescent="0.25">
      <c r="A182" s="2">
        <f ca="1">IFERROR(__xludf.DUMMYFUNCTION("""COMPUTED_VALUE"""),44637.6458333333)</f>
        <v>44637.645833333299</v>
      </c>
      <c r="B182" s="1">
        <f ca="1">IFERROR(__xludf.DUMMYFUNCTION("""COMPUTED_VALUE"""),720.1)</f>
        <v>720.1</v>
      </c>
      <c r="C182" s="3">
        <f t="shared" ca="1" si="4"/>
        <v>1.709039548022602E-2</v>
      </c>
      <c r="D182">
        <f t="shared" ca="1" si="5"/>
        <v>764.68673469387738</v>
      </c>
    </row>
    <row r="183" spans="1:4" x14ac:dyDescent="0.25">
      <c r="A183" s="2">
        <f ca="1">IFERROR(__xludf.DUMMYFUNCTION("""COMPUTED_VALUE"""),44641.6458333333)</f>
        <v>44641.645833333299</v>
      </c>
      <c r="B183" s="1">
        <f ca="1">IFERROR(__xludf.DUMMYFUNCTION("""COMPUTED_VALUE"""),710.75)</f>
        <v>710.75</v>
      </c>
      <c r="C183" s="3">
        <f t="shared" ca="1" si="4"/>
        <v>-1.2984307735036832E-2</v>
      </c>
      <c r="D183">
        <f t="shared" ca="1" si="5"/>
        <v>763.3</v>
      </c>
    </row>
    <row r="184" spans="1:4" x14ac:dyDescent="0.25">
      <c r="A184" s="2">
        <f ca="1">IFERROR(__xludf.DUMMYFUNCTION("""COMPUTED_VALUE"""),44642.6458333333)</f>
        <v>44642.645833333299</v>
      </c>
      <c r="B184" s="1">
        <f ca="1">IFERROR(__xludf.DUMMYFUNCTION("""COMPUTED_VALUE"""),718.2)</f>
        <v>718.2</v>
      </c>
      <c r="C184" s="3">
        <f t="shared" ca="1" si="4"/>
        <v>1.0481885332395422E-2</v>
      </c>
      <c r="D184">
        <f t="shared" ca="1" si="5"/>
        <v>761.78367346938762</v>
      </c>
    </row>
    <row r="185" spans="1:4" x14ac:dyDescent="0.25">
      <c r="A185" s="2">
        <f ca="1">IFERROR(__xludf.DUMMYFUNCTION("""COMPUTED_VALUE"""),44643.6458333333)</f>
        <v>44643.645833333299</v>
      </c>
      <c r="B185" s="1">
        <f ca="1">IFERROR(__xludf.DUMMYFUNCTION("""COMPUTED_VALUE"""),718.3)</f>
        <v>718.3</v>
      </c>
      <c r="C185" s="3">
        <f t="shared" ca="1" si="4"/>
        <v>1.3923698134211786E-4</v>
      </c>
      <c r="D185">
        <f t="shared" ca="1" si="5"/>
        <v>760.25204081632637</v>
      </c>
    </row>
    <row r="186" spans="1:4" x14ac:dyDescent="0.25">
      <c r="A186" s="2">
        <f ca="1">IFERROR(__xludf.DUMMYFUNCTION("""COMPUTED_VALUE"""),44644.6458333333)</f>
        <v>44644.645833333299</v>
      </c>
      <c r="B186" s="1">
        <f ca="1">IFERROR(__xludf.DUMMYFUNCTION("""COMPUTED_VALUE"""),704.2)</f>
        <v>704.2</v>
      </c>
      <c r="C186" s="3">
        <f t="shared" ca="1" si="4"/>
        <v>-1.9629681191702508E-2</v>
      </c>
      <c r="D186">
        <f t="shared" ca="1" si="5"/>
        <v>758.36530612244883</v>
      </c>
    </row>
    <row r="187" spans="1:4" x14ac:dyDescent="0.25">
      <c r="A187" s="2">
        <f ca="1">IFERROR(__xludf.DUMMYFUNCTION("""COMPUTED_VALUE"""),44645.6458333333)</f>
        <v>44645.645833333299</v>
      </c>
      <c r="B187" s="1">
        <f ca="1">IFERROR(__xludf.DUMMYFUNCTION("""COMPUTED_VALUE"""),699.25)</f>
        <v>699.25</v>
      </c>
      <c r="C187" s="3">
        <f t="shared" ca="1" si="4"/>
        <v>-7.0292530531099757E-3</v>
      </c>
      <c r="D187">
        <f t="shared" ca="1" si="5"/>
        <v>756.19285714285695</v>
      </c>
    </row>
    <row r="188" spans="1:4" x14ac:dyDescent="0.25">
      <c r="A188" s="2">
        <f ca="1">IFERROR(__xludf.DUMMYFUNCTION("""COMPUTED_VALUE"""),44648.6458333333)</f>
        <v>44648.645833333299</v>
      </c>
      <c r="B188" s="1">
        <f ca="1">IFERROR(__xludf.DUMMYFUNCTION("""COMPUTED_VALUE"""),710.35)</f>
        <v>710.35</v>
      </c>
      <c r="C188" s="3">
        <f t="shared" ca="1" si="4"/>
        <v>1.5874150875938537E-2</v>
      </c>
      <c r="D188">
        <f t="shared" ca="1" si="5"/>
        <v>753.65204081632635</v>
      </c>
    </row>
    <row r="189" spans="1:4" x14ac:dyDescent="0.25">
      <c r="A189" s="2">
        <f ca="1">IFERROR(__xludf.DUMMYFUNCTION("""COMPUTED_VALUE"""),44649.6458333333)</f>
        <v>44649.645833333299</v>
      </c>
      <c r="B189" s="1">
        <f ca="1">IFERROR(__xludf.DUMMYFUNCTION("""COMPUTED_VALUE"""),715.3)</f>
        <v>715.3</v>
      </c>
      <c r="C189" s="3">
        <f t="shared" ca="1" si="4"/>
        <v>6.9683958611950888E-3</v>
      </c>
      <c r="D189">
        <f t="shared" ca="1" si="5"/>
        <v>751.31836734693843</v>
      </c>
    </row>
    <row r="190" spans="1:4" x14ac:dyDescent="0.25">
      <c r="A190" s="2">
        <f ca="1">IFERROR(__xludf.DUMMYFUNCTION("""COMPUTED_VALUE"""),44650.6458333333)</f>
        <v>44650.645833333299</v>
      </c>
      <c r="B190" s="1">
        <f ca="1">IFERROR(__xludf.DUMMYFUNCTION("""COMPUTED_VALUE"""),730.9)</f>
        <v>730.9</v>
      </c>
      <c r="C190" s="3">
        <f t="shared" ca="1" si="4"/>
        <v>2.1809031175730496E-2</v>
      </c>
      <c r="D190">
        <f t="shared" ca="1" si="5"/>
        <v>749.18163265306111</v>
      </c>
    </row>
    <row r="191" spans="1:4" x14ac:dyDescent="0.25">
      <c r="A191" s="2">
        <f ca="1">IFERROR(__xludf.DUMMYFUNCTION("""COMPUTED_VALUE"""),44651.6458333333)</f>
        <v>44651.645833333299</v>
      </c>
      <c r="B191" s="1">
        <f ca="1">IFERROR(__xludf.DUMMYFUNCTION("""COMPUTED_VALUE"""),730.3)</f>
        <v>730.3</v>
      </c>
      <c r="C191" s="3">
        <f t="shared" ca="1" si="4"/>
        <v>-8.2090573265839752E-4</v>
      </c>
      <c r="D191">
        <f t="shared" ca="1" si="5"/>
        <v>747.37755102040796</v>
      </c>
    </row>
    <row r="192" spans="1:4" x14ac:dyDescent="0.25">
      <c r="A192" s="2">
        <f ca="1">IFERROR(__xludf.DUMMYFUNCTION("""COMPUTED_VALUE"""),44652.6458333333)</f>
        <v>44652.645833333299</v>
      </c>
      <c r="B192" s="1">
        <f ca="1">IFERROR(__xludf.DUMMYFUNCTION("""COMPUTED_VALUE"""),736.25)</f>
        <v>736.25</v>
      </c>
      <c r="C192" s="3">
        <f t="shared" ca="1" si="4"/>
        <v>8.1473367109407713E-3</v>
      </c>
      <c r="D192">
        <f t="shared" ca="1" si="5"/>
        <v>745.48367346938767</v>
      </c>
    </row>
    <row r="193" spans="1:4" x14ac:dyDescent="0.25">
      <c r="A193" s="2">
        <f ca="1">IFERROR(__xludf.DUMMYFUNCTION("""COMPUTED_VALUE"""),44655.6458333333)</f>
        <v>44655.645833333299</v>
      </c>
      <c r="B193" s="1">
        <f ca="1">IFERROR(__xludf.DUMMYFUNCTION("""COMPUTED_VALUE"""),746.6)</f>
        <v>746.6</v>
      </c>
      <c r="C193" s="3">
        <f t="shared" ca="1" si="4"/>
        <v>1.4057724957555209E-2</v>
      </c>
      <c r="D193">
        <f t="shared" ca="1" si="5"/>
        <v>744.00714285714298</v>
      </c>
    </row>
    <row r="194" spans="1:4" x14ac:dyDescent="0.25">
      <c r="A194" s="2">
        <f ca="1">IFERROR(__xludf.DUMMYFUNCTION("""COMPUTED_VALUE"""),44656.6458333333)</f>
        <v>44656.645833333299</v>
      </c>
      <c r="B194" s="1">
        <f ca="1">IFERROR(__xludf.DUMMYFUNCTION("""COMPUTED_VALUE"""),741.8)</f>
        <v>741.8</v>
      </c>
      <c r="C194" s="3">
        <f t="shared" ca="1" si="4"/>
        <v>-6.4291454594161109E-3</v>
      </c>
      <c r="D194">
        <f t="shared" ca="1" si="5"/>
        <v>742.7081632653061</v>
      </c>
    </row>
    <row r="195" spans="1:4" x14ac:dyDescent="0.25">
      <c r="A195" s="2">
        <f ca="1">IFERROR(__xludf.DUMMYFUNCTION("""COMPUTED_VALUE"""),44657.6458333333)</f>
        <v>44657.645833333299</v>
      </c>
      <c r="B195" s="1">
        <f ca="1">IFERROR(__xludf.DUMMYFUNCTION("""COMPUTED_VALUE"""),741.6)</f>
        <v>741.6</v>
      </c>
      <c r="C195" s="3">
        <f t="shared" ca="1" si="4"/>
        <v>-2.6961445133449961E-4</v>
      </c>
      <c r="D195">
        <f t="shared" ca="1" si="5"/>
        <v>741.42857142857144</v>
      </c>
    </row>
    <row r="196" spans="1:4" x14ac:dyDescent="0.25">
      <c r="A196" s="2">
        <f ca="1">IFERROR(__xludf.DUMMYFUNCTION("""COMPUTED_VALUE"""),44658.6458333333)</f>
        <v>44658.645833333299</v>
      </c>
      <c r="B196" s="1">
        <f ca="1">IFERROR(__xludf.DUMMYFUNCTION("""COMPUTED_VALUE"""),748.55)</f>
        <v>748.55</v>
      </c>
      <c r="C196" s="3">
        <f t="shared" ref="C196:C259" ca="1" si="6">(B196-B195)/B195</f>
        <v>9.3716289104637703E-3</v>
      </c>
      <c r="D196">
        <f t="shared" ca="1" si="5"/>
        <v>740.2683673469387</v>
      </c>
    </row>
    <row r="197" spans="1:4" x14ac:dyDescent="0.25">
      <c r="A197" s="2">
        <f ca="1">IFERROR(__xludf.DUMMYFUNCTION("""COMPUTED_VALUE"""),44659.6458333333)</f>
        <v>44659.645833333299</v>
      </c>
      <c r="B197" s="1">
        <f ca="1">IFERROR(__xludf.DUMMYFUNCTION("""COMPUTED_VALUE"""),754.3)</f>
        <v>754.3</v>
      </c>
      <c r="C197" s="3">
        <f t="shared" ca="1" si="6"/>
        <v>7.6815176006946768E-3</v>
      </c>
      <c r="D197">
        <f t="shared" ca="1" si="5"/>
        <v>739.1846938775509</v>
      </c>
    </row>
    <row r="198" spans="1:4" x14ac:dyDescent="0.25">
      <c r="A198" s="2">
        <f ca="1">IFERROR(__xludf.DUMMYFUNCTION("""COMPUTED_VALUE"""),44662.6458333333)</f>
        <v>44662.645833333299</v>
      </c>
      <c r="B198" s="1">
        <f ca="1">IFERROR(__xludf.DUMMYFUNCTION("""COMPUTED_VALUE"""),759.6)</f>
        <v>759.6</v>
      </c>
      <c r="C198" s="3">
        <f t="shared" ca="1" si="6"/>
        <v>7.0263820760971341E-3</v>
      </c>
      <c r="D198">
        <f t="shared" ca="1" si="5"/>
        <v>738.36122448979597</v>
      </c>
    </row>
    <row r="199" spans="1:4" x14ac:dyDescent="0.25">
      <c r="A199" s="2">
        <f ca="1">IFERROR(__xludf.DUMMYFUNCTION("""COMPUTED_VALUE"""),44663.6458333333)</f>
        <v>44663.645833333299</v>
      </c>
      <c r="B199" s="1">
        <f ca="1">IFERROR(__xludf.DUMMYFUNCTION("""COMPUTED_VALUE"""),763.85)</f>
        <v>763.85</v>
      </c>
      <c r="C199" s="3">
        <f t="shared" ca="1" si="6"/>
        <v>5.5950500263296466E-3</v>
      </c>
      <c r="D199">
        <f t="shared" ca="1" si="5"/>
        <v>737.92142857142858</v>
      </c>
    </row>
    <row r="200" spans="1:4" x14ac:dyDescent="0.25">
      <c r="A200" s="2">
        <f ca="1">IFERROR(__xludf.DUMMYFUNCTION("""COMPUTED_VALUE"""),44664.6458333333)</f>
        <v>44664.645833333299</v>
      </c>
      <c r="B200" s="1">
        <f ca="1">IFERROR(__xludf.DUMMYFUNCTION("""COMPUTED_VALUE"""),762.25)</f>
        <v>762.25</v>
      </c>
      <c r="C200" s="3">
        <f t="shared" ca="1" si="6"/>
        <v>-2.0946520913792273E-3</v>
      </c>
      <c r="D200">
        <f t="shared" ca="1" si="5"/>
        <v>737.41224489795911</v>
      </c>
    </row>
    <row r="201" spans="1:4" x14ac:dyDescent="0.25">
      <c r="A201" s="2">
        <f ca="1">IFERROR(__xludf.DUMMYFUNCTION("""COMPUTED_VALUE"""),44669.6458333333)</f>
        <v>44669.645833333299</v>
      </c>
      <c r="B201" s="1">
        <f ca="1">IFERROR(__xludf.DUMMYFUNCTION("""COMPUTED_VALUE"""),757.8)</f>
        <v>757.8</v>
      </c>
      <c r="C201" s="3">
        <f t="shared" ca="1" si="6"/>
        <v>-5.8379796654641465E-3</v>
      </c>
      <c r="D201">
        <f t="shared" ca="1" si="5"/>
        <v>736.43163265306111</v>
      </c>
    </row>
    <row r="202" spans="1:4" x14ac:dyDescent="0.25">
      <c r="A202" s="2">
        <f ca="1">IFERROR(__xludf.DUMMYFUNCTION("""COMPUTED_VALUE"""),44670.6458333333)</f>
        <v>44670.645833333299</v>
      </c>
      <c r="B202" s="1">
        <f ca="1">IFERROR(__xludf.DUMMYFUNCTION("""COMPUTED_VALUE"""),766.3)</f>
        <v>766.3</v>
      </c>
      <c r="C202" s="3">
        <f t="shared" ca="1" si="6"/>
        <v>1.1216679862760624E-2</v>
      </c>
      <c r="D202">
        <f t="shared" ca="1" si="5"/>
        <v>735.2897959183673</v>
      </c>
    </row>
    <row r="203" spans="1:4" x14ac:dyDescent="0.25">
      <c r="A203" s="2">
        <f ca="1">IFERROR(__xludf.DUMMYFUNCTION("""COMPUTED_VALUE"""),44671.6458333333)</f>
        <v>44671.645833333299</v>
      </c>
      <c r="B203" s="1">
        <f ca="1">IFERROR(__xludf.DUMMYFUNCTION("""COMPUTED_VALUE"""),755.55)</f>
        <v>755.55</v>
      </c>
      <c r="C203" s="3">
        <f t="shared" ca="1" si="6"/>
        <v>-1.4028448388359651E-2</v>
      </c>
      <c r="D203">
        <f t="shared" ca="1" si="5"/>
        <v>734.41938775510198</v>
      </c>
    </row>
    <row r="204" spans="1:4" x14ac:dyDescent="0.25">
      <c r="A204" s="2">
        <f ca="1">IFERROR(__xludf.DUMMYFUNCTION("""COMPUTED_VALUE"""),44672.6458333333)</f>
        <v>44672.645833333299</v>
      </c>
      <c r="B204" s="1">
        <f ca="1">IFERROR(__xludf.DUMMYFUNCTION("""COMPUTED_VALUE"""),762.35)</f>
        <v>762.35</v>
      </c>
      <c r="C204" s="3">
        <f t="shared" ca="1" si="6"/>
        <v>9.0000661769572745E-3</v>
      </c>
      <c r="D204">
        <f t="shared" ca="1" si="5"/>
        <v>733.40918367346944</v>
      </c>
    </row>
    <row r="205" spans="1:4" x14ac:dyDescent="0.25">
      <c r="A205" s="2">
        <f ca="1">IFERROR(__xludf.DUMMYFUNCTION("""COMPUTED_VALUE"""),44673.6458333333)</f>
        <v>44673.645833333299</v>
      </c>
      <c r="B205" s="1">
        <f ca="1">IFERROR(__xludf.DUMMYFUNCTION("""COMPUTED_VALUE"""),747.65)</f>
        <v>747.65</v>
      </c>
      <c r="C205" s="3">
        <f t="shared" ca="1" si="6"/>
        <v>-1.928248179969836E-2</v>
      </c>
      <c r="D205">
        <f t="shared" ca="1" si="5"/>
        <v>732.91836734693868</v>
      </c>
    </row>
    <row r="206" spans="1:4" x14ac:dyDescent="0.25">
      <c r="A206" s="2">
        <f ca="1">IFERROR(__xludf.DUMMYFUNCTION("""COMPUTED_VALUE"""),44676.6458333333)</f>
        <v>44676.645833333299</v>
      </c>
      <c r="B206" s="1">
        <f ca="1">IFERROR(__xludf.DUMMYFUNCTION("""COMPUTED_VALUE"""),752.2)</f>
        <v>752.2</v>
      </c>
      <c r="C206" s="3">
        <f t="shared" ca="1" si="6"/>
        <v>6.0857353039524753E-3</v>
      </c>
      <c r="D206">
        <f t="shared" ca="1" si="5"/>
        <v>732.00306122448967</v>
      </c>
    </row>
    <row r="207" spans="1:4" x14ac:dyDescent="0.25">
      <c r="A207" s="2">
        <f ca="1">IFERROR(__xludf.DUMMYFUNCTION("""COMPUTED_VALUE"""),44677.6458333333)</f>
        <v>44677.645833333299</v>
      </c>
      <c r="B207" s="1">
        <f ca="1">IFERROR(__xludf.DUMMYFUNCTION("""COMPUTED_VALUE"""),753.75)</f>
        <v>753.75</v>
      </c>
      <c r="C207" s="3">
        <f t="shared" ca="1" si="6"/>
        <v>2.0606221749534092E-3</v>
      </c>
      <c r="D207">
        <f t="shared" ca="1" si="5"/>
        <v>730.97040816326512</v>
      </c>
    </row>
    <row r="208" spans="1:4" x14ac:dyDescent="0.25">
      <c r="A208" s="2">
        <f ca="1">IFERROR(__xludf.DUMMYFUNCTION("""COMPUTED_VALUE"""),44678.6458333333)</f>
        <v>44678.645833333299</v>
      </c>
      <c r="B208" s="1">
        <f ca="1">IFERROR(__xludf.DUMMYFUNCTION("""COMPUTED_VALUE"""),736.7)</f>
        <v>736.7</v>
      </c>
      <c r="C208" s="3">
        <f t="shared" ca="1" si="6"/>
        <v>-2.2620232172470917E-2</v>
      </c>
      <c r="D208">
        <f t="shared" ca="1" si="5"/>
        <v>729.91428571428548</v>
      </c>
    </row>
    <row r="209" spans="1:4" x14ac:dyDescent="0.25">
      <c r="A209" s="2">
        <f ca="1">IFERROR(__xludf.DUMMYFUNCTION("""COMPUTED_VALUE"""),44679.6458333333)</f>
        <v>44679.645833333299</v>
      </c>
      <c r="B209" s="1">
        <f ca="1">IFERROR(__xludf.DUMMYFUNCTION("""COMPUTED_VALUE"""),747.15)</f>
        <v>747.15</v>
      </c>
      <c r="C209" s="3">
        <f t="shared" ca="1" si="6"/>
        <v>1.4184878512284418E-2</v>
      </c>
      <c r="D209">
        <f t="shared" ca="1" si="5"/>
        <v>728.81020408163226</v>
      </c>
    </row>
    <row r="210" spans="1:4" x14ac:dyDescent="0.25">
      <c r="A210" s="2">
        <f ca="1">IFERROR(__xludf.DUMMYFUNCTION("""COMPUTED_VALUE"""),44680.6458333333)</f>
        <v>44680.645833333299</v>
      </c>
      <c r="B210" s="1">
        <f ca="1">IFERROR(__xludf.DUMMYFUNCTION("""COMPUTED_VALUE"""),743.3)</f>
        <v>743.3</v>
      </c>
      <c r="C210" s="3">
        <f t="shared" ca="1" si="6"/>
        <v>-5.1529144080840836E-3</v>
      </c>
      <c r="D210">
        <f t="shared" ca="1" si="5"/>
        <v>728.67653061224462</v>
      </c>
    </row>
    <row r="211" spans="1:4" x14ac:dyDescent="0.25">
      <c r="A211" s="2">
        <f ca="1">IFERROR(__xludf.DUMMYFUNCTION("""COMPUTED_VALUE"""),44683.6458333333)</f>
        <v>44683.645833333299</v>
      </c>
      <c r="B211" s="1">
        <f ca="1">IFERROR(__xludf.DUMMYFUNCTION("""COMPUTED_VALUE"""),741)</f>
        <v>741</v>
      </c>
      <c r="C211" s="3">
        <f t="shared" ca="1" si="6"/>
        <v>-3.0943091618457616E-3</v>
      </c>
      <c r="D211">
        <f t="shared" ca="1" si="5"/>
        <v>728.00816326530583</v>
      </c>
    </row>
    <row r="212" spans="1:4" x14ac:dyDescent="0.25">
      <c r="A212" s="2">
        <f ca="1">IFERROR(__xludf.DUMMYFUNCTION("""COMPUTED_VALUE"""),44685.6458333333)</f>
        <v>44685.645833333299</v>
      </c>
      <c r="B212" s="1">
        <f ca="1">IFERROR(__xludf.DUMMYFUNCTION("""COMPUTED_VALUE"""),724.25)</f>
        <v>724.25</v>
      </c>
      <c r="C212" s="3">
        <f t="shared" ca="1" si="6"/>
        <v>-2.260458839406208E-2</v>
      </c>
      <c r="D212">
        <f t="shared" ca="1" si="5"/>
        <v>727.53775510204059</v>
      </c>
    </row>
    <row r="213" spans="1:4" x14ac:dyDescent="0.25">
      <c r="A213" s="2">
        <f ca="1">IFERROR(__xludf.DUMMYFUNCTION("""COMPUTED_VALUE"""),44686.6458333333)</f>
        <v>44686.645833333299</v>
      </c>
      <c r="B213" s="1">
        <f ca="1">IFERROR(__xludf.DUMMYFUNCTION("""COMPUTED_VALUE"""),728.8)</f>
        <v>728.8</v>
      </c>
      <c r="C213" s="3">
        <f t="shared" ca="1" si="6"/>
        <v>6.2823610631687326E-3</v>
      </c>
      <c r="D213">
        <f t="shared" ca="1" si="5"/>
        <v>727.00510204081615</v>
      </c>
    </row>
    <row r="214" spans="1:4" x14ac:dyDescent="0.25">
      <c r="A214" s="2">
        <f ca="1">IFERROR(__xludf.DUMMYFUNCTION("""COMPUTED_VALUE"""),44687.6458333333)</f>
        <v>44687.645833333299</v>
      </c>
      <c r="B214" s="1">
        <f ca="1">IFERROR(__xludf.DUMMYFUNCTION("""COMPUTED_VALUE"""),719.25)</f>
        <v>719.25</v>
      </c>
      <c r="C214" s="3">
        <f t="shared" ca="1" si="6"/>
        <v>-1.3103732162458775E-2</v>
      </c>
      <c r="D214">
        <f t="shared" ca="1" si="5"/>
        <v>726.59489795918375</v>
      </c>
    </row>
    <row r="215" spans="1:4" x14ac:dyDescent="0.25">
      <c r="A215" s="2">
        <f ca="1">IFERROR(__xludf.DUMMYFUNCTION("""COMPUTED_VALUE"""),44690.6458333333)</f>
        <v>44690.645833333299</v>
      </c>
      <c r="B215" s="1">
        <f ca="1">IFERROR(__xludf.DUMMYFUNCTION("""COMPUTED_VALUE"""),710.35)</f>
        <v>710.35</v>
      </c>
      <c r="C215" s="3">
        <f t="shared" ca="1" si="6"/>
        <v>-1.2374000695168547E-2</v>
      </c>
      <c r="D215">
        <f t="shared" ca="1" si="5"/>
        <v>725.87653061224489</v>
      </c>
    </row>
    <row r="216" spans="1:4" x14ac:dyDescent="0.25">
      <c r="A216" s="2">
        <f ca="1">IFERROR(__xludf.DUMMYFUNCTION("""COMPUTED_VALUE"""),44691.6458333333)</f>
        <v>44691.645833333299</v>
      </c>
      <c r="B216" s="1">
        <f ca="1">IFERROR(__xludf.DUMMYFUNCTION("""COMPUTED_VALUE"""),711.3)</f>
        <v>711.3</v>
      </c>
      <c r="C216" s="3">
        <f t="shared" ca="1" si="6"/>
        <v>1.3373689026535253E-3</v>
      </c>
      <c r="D216">
        <f t="shared" ca="1" si="5"/>
        <v>725.04081632653049</v>
      </c>
    </row>
    <row r="217" spans="1:4" x14ac:dyDescent="0.25">
      <c r="A217" s="2">
        <f ca="1">IFERROR(__xludf.DUMMYFUNCTION("""COMPUTED_VALUE"""),44692.6458333333)</f>
        <v>44692.645833333299</v>
      </c>
      <c r="B217" s="1">
        <f ca="1">IFERROR(__xludf.DUMMYFUNCTION("""COMPUTED_VALUE"""),714.2)</f>
        <v>714.2</v>
      </c>
      <c r="C217" s="3">
        <f t="shared" ca="1" si="6"/>
        <v>4.0770420357093932E-3</v>
      </c>
      <c r="D217">
        <f t="shared" ca="1" si="5"/>
        <v>724.36122448979586</v>
      </c>
    </row>
    <row r="218" spans="1:4" x14ac:dyDescent="0.25">
      <c r="A218" s="2">
        <f ca="1">IFERROR(__xludf.DUMMYFUNCTION("""COMPUTED_VALUE"""),44693.6458333333)</f>
        <v>44693.645833333299</v>
      </c>
      <c r="B218" s="1">
        <f ca="1">IFERROR(__xludf.DUMMYFUNCTION("""COMPUTED_VALUE"""),695.8)</f>
        <v>695.8</v>
      </c>
      <c r="C218" s="3">
        <f t="shared" ca="1" si="6"/>
        <v>-2.5763091570988644E-2</v>
      </c>
      <c r="D218">
        <f t="shared" ca="1" si="5"/>
        <v>724.49999999999989</v>
      </c>
    </row>
    <row r="219" spans="1:4" x14ac:dyDescent="0.25">
      <c r="A219" s="2">
        <f ca="1">IFERROR(__xludf.DUMMYFUNCTION("""COMPUTED_VALUE"""),44694.6458333333)</f>
        <v>44694.645833333299</v>
      </c>
      <c r="B219" s="1">
        <f ca="1">IFERROR(__xludf.DUMMYFUNCTION("""COMPUTED_VALUE"""),677.35)</f>
        <v>677.35</v>
      </c>
      <c r="C219" s="3">
        <f t="shared" ca="1" si="6"/>
        <v>-2.6516240298936379E-2</v>
      </c>
      <c r="D219">
        <f t="shared" ca="1" si="5"/>
        <v>723.80102040816314</v>
      </c>
    </row>
    <row r="220" spans="1:4" x14ac:dyDescent="0.25">
      <c r="A220" s="2">
        <f ca="1">IFERROR(__xludf.DUMMYFUNCTION("""COMPUTED_VALUE"""),44697.6458333333)</f>
        <v>44697.645833333299</v>
      </c>
      <c r="B220" s="1">
        <f ca="1">IFERROR(__xludf.DUMMYFUNCTION("""COMPUTED_VALUE"""),683)</f>
        <v>683</v>
      </c>
      <c r="C220" s="3">
        <f t="shared" ca="1" si="6"/>
        <v>8.3413301838044986E-3</v>
      </c>
      <c r="D220">
        <f t="shared" ca="1" si="5"/>
        <v>722.46734693877534</v>
      </c>
    </row>
    <row r="221" spans="1:4" x14ac:dyDescent="0.25">
      <c r="A221" s="2">
        <f ca="1">IFERROR(__xludf.DUMMYFUNCTION("""COMPUTED_VALUE"""),44698.6458333333)</f>
        <v>44698.645833333299</v>
      </c>
      <c r="B221" s="1">
        <f ca="1">IFERROR(__xludf.DUMMYFUNCTION("""COMPUTED_VALUE"""),710)</f>
        <v>710</v>
      </c>
      <c r="C221" s="3">
        <f t="shared" ca="1" si="6"/>
        <v>3.9531478770131773E-2</v>
      </c>
      <c r="D221">
        <f t="shared" ca="1" si="5"/>
        <v>721.81734693877547</v>
      </c>
    </row>
    <row r="222" spans="1:4" x14ac:dyDescent="0.25">
      <c r="A222" s="2">
        <f ca="1">IFERROR(__xludf.DUMMYFUNCTION("""COMPUTED_VALUE"""),44699.6458333333)</f>
        <v>44699.645833333299</v>
      </c>
      <c r="B222" s="1">
        <f ca="1">IFERROR(__xludf.DUMMYFUNCTION("""COMPUTED_VALUE"""),707.35)</f>
        <v>707.35</v>
      </c>
      <c r="C222" s="3">
        <f t="shared" ca="1" si="6"/>
        <v>-3.7323943661971512E-3</v>
      </c>
      <c r="D222">
        <f t="shared" ca="1" si="5"/>
        <v>722.05612244897941</v>
      </c>
    </row>
    <row r="223" spans="1:4" x14ac:dyDescent="0.25">
      <c r="A223" s="2">
        <f ca="1">IFERROR(__xludf.DUMMYFUNCTION("""COMPUTED_VALUE"""),44700.6458333333)</f>
        <v>44700.645833333299</v>
      </c>
      <c r="B223" s="1">
        <f ca="1">IFERROR(__xludf.DUMMYFUNCTION("""COMPUTED_VALUE"""),690.3)</f>
        <v>690.3</v>
      </c>
      <c r="C223" s="3">
        <f t="shared" ca="1" si="6"/>
        <v>-2.410405032869169E-2</v>
      </c>
      <c r="D223">
        <f t="shared" ca="1" si="5"/>
        <v>722.44999999999993</v>
      </c>
    </row>
    <row r="224" spans="1:4" x14ac:dyDescent="0.25">
      <c r="A224" s="2">
        <f ca="1">IFERROR(__xludf.DUMMYFUNCTION("""COMPUTED_VALUE"""),44701.6458333333)</f>
        <v>44701.645833333299</v>
      </c>
      <c r="B224" s="1">
        <f ca="1">IFERROR(__xludf.DUMMYFUNCTION("""COMPUTED_VALUE"""),709.55)</f>
        <v>709.55</v>
      </c>
      <c r="C224" s="3">
        <f t="shared" ca="1" si="6"/>
        <v>2.7886426191510938E-2</v>
      </c>
      <c r="D224">
        <f t="shared" ca="1" si="5"/>
        <v>723.19591836734696</v>
      </c>
    </row>
    <row r="225" spans="1:4" x14ac:dyDescent="0.25">
      <c r="A225" s="2">
        <f ca="1">IFERROR(__xludf.DUMMYFUNCTION("""COMPUTED_VALUE"""),44704.6458333333)</f>
        <v>44704.645833333299</v>
      </c>
      <c r="B225" s="1">
        <f ca="1">IFERROR(__xludf.DUMMYFUNCTION("""COMPUTED_VALUE"""),711.05)</f>
        <v>711.05</v>
      </c>
      <c r="C225" s="3">
        <f t="shared" ca="1" si="6"/>
        <v>2.1140159255866394E-3</v>
      </c>
      <c r="D225">
        <f t="shared" ca="1" si="5"/>
        <v>724.10510204081618</v>
      </c>
    </row>
    <row r="226" spans="1:4" x14ac:dyDescent="0.25">
      <c r="A226" s="2">
        <f ca="1">IFERROR(__xludf.DUMMYFUNCTION("""COMPUTED_VALUE"""),44705.6458333333)</f>
        <v>44705.645833333299</v>
      </c>
      <c r="B226" s="1">
        <f ca="1">IFERROR(__xludf.DUMMYFUNCTION("""COMPUTED_VALUE"""),708.15)</f>
        <v>708.15</v>
      </c>
      <c r="C226" s="3">
        <f t="shared" ca="1" si="6"/>
        <v>-4.0784754939877325E-3</v>
      </c>
      <c r="D226">
        <f t="shared" ca="1" si="5"/>
        <v>724.99489795918362</v>
      </c>
    </row>
    <row r="227" spans="1:4" x14ac:dyDescent="0.25">
      <c r="A227" s="2">
        <f ca="1">IFERROR(__xludf.DUMMYFUNCTION("""COMPUTED_VALUE"""),44706.6458333333)</f>
        <v>44706.645833333299</v>
      </c>
      <c r="B227" s="1">
        <f ca="1">IFERROR(__xludf.DUMMYFUNCTION("""COMPUTED_VALUE"""),713.35)</f>
        <v>713.35</v>
      </c>
      <c r="C227" s="3">
        <f t="shared" ca="1" si="6"/>
        <v>7.3430770317023872E-3</v>
      </c>
      <c r="D227">
        <f t="shared" ca="1" si="5"/>
        <v>725.63877551020414</v>
      </c>
    </row>
    <row r="228" spans="1:4" x14ac:dyDescent="0.25">
      <c r="A228" s="2">
        <f ca="1">IFERROR(__xludf.DUMMYFUNCTION("""COMPUTED_VALUE"""),44707.6458333333)</f>
        <v>44707.645833333299</v>
      </c>
      <c r="B228" s="1">
        <f ca="1">IFERROR(__xludf.DUMMYFUNCTION("""COMPUTED_VALUE"""),728.5)</f>
        <v>728.5</v>
      </c>
      <c r="C228" s="3">
        <f t="shared" ca="1" si="6"/>
        <v>2.1237821546225524E-2</v>
      </c>
      <c r="D228">
        <f t="shared" ca="1" si="5"/>
        <v>726.36224489795916</v>
      </c>
    </row>
    <row r="229" spans="1:4" x14ac:dyDescent="0.25">
      <c r="A229" s="2">
        <f ca="1">IFERROR(__xludf.DUMMYFUNCTION("""COMPUTED_VALUE"""),44708.6458333333)</f>
        <v>44708.645833333299</v>
      </c>
      <c r="B229" s="1">
        <f ca="1">IFERROR(__xludf.DUMMYFUNCTION("""COMPUTED_VALUE"""),739.8)</f>
        <v>739.8</v>
      </c>
      <c r="C229" s="3">
        <f t="shared" ca="1" si="6"/>
        <v>1.5511324639670494E-2</v>
      </c>
      <c r="D229">
        <f t="shared" ca="1" si="5"/>
        <v>727.02244897959167</v>
      </c>
    </row>
    <row r="230" spans="1:4" x14ac:dyDescent="0.25">
      <c r="A230" s="2">
        <f ca="1">IFERROR(__xludf.DUMMYFUNCTION("""COMPUTED_VALUE"""),44711.6458333333)</f>
        <v>44711.645833333299</v>
      </c>
      <c r="B230" s="1">
        <f ca="1">IFERROR(__xludf.DUMMYFUNCTION("""COMPUTED_VALUE"""),748.5)</f>
        <v>748.5</v>
      </c>
      <c r="C230" s="3">
        <f t="shared" ca="1" si="6"/>
        <v>1.1759935117599414E-2</v>
      </c>
      <c r="D230">
        <f t="shared" ca="1" si="5"/>
        <v>727.88877551020403</v>
      </c>
    </row>
    <row r="231" spans="1:4" x14ac:dyDescent="0.25">
      <c r="A231" s="2">
        <f ca="1">IFERROR(__xludf.DUMMYFUNCTION("""COMPUTED_VALUE"""),44712.6458333333)</f>
        <v>44712.645833333299</v>
      </c>
      <c r="B231" s="1">
        <f ca="1">IFERROR(__xludf.DUMMYFUNCTION("""COMPUTED_VALUE"""),752.85)</f>
        <v>752.85</v>
      </c>
      <c r="C231" s="3">
        <f t="shared" ca="1" si="6"/>
        <v>5.8116232464930162E-3</v>
      </c>
      <c r="D231">
        <f t="shared" ca="1" si="5"/>
        <v>728.71530612244885</v>
      </c>
    </row>
    <row r="232" spans="1:4" x14ac:dyDescent="0.25">
      <c r="A232" s="2">
        <f ca="1">IFERROR(__xludf.DUMMYFUNCTION("""COMPUTED_VALUE"""),44713.6458333333)</f>
        <v>44713.645833333299</v>
      </c>
      <c r="B232" s="1">
        <f ca="1">IFERROR(__xludf.DUMMYFUNCTION("""COMPUTED_VALUE"""),752.65)</f>
        <v>752.65</v>
      </c>
      <c r="C232" s="3">
        <f t="shared" ca="1" si="6"/>
        <v>-2.6565716942292017E-4</v>
      </c>
      <c r="D232">
        <f t="shared" ca="1" si="5"/>
        <v>729.38367346938765</v>
      </c>
    </row>
    <row r="233" spans="1:4" x14ac:dyDescent="0.25">
      <c r="A233" s="2">
        <f ca="1">IFERROR(__xludf.DUMMYFUNCTION("""COMPUTED_VALUE"""),44714.6458333333)</f>
        <v>44714.645833333299</v>
      </c>
      <c r="B233" s="1">
        <f ca="1">IFERROR(__xludf.DUMMYFUNCTION("""COMPUTED_VALUE"""),749.75)</f>
        <v>749.75</v>
      </c>
      <c r="C233" s="3">
        <f t="shared" ca="1" si="6"/>
        <v>-3.853052547664887E-3</v>
      </c>
      <c r="D233">
        <f t="shared" ca="1" si="5"/>
        <v>730.23877551020405</v>
      </c>
    </row>
    <row r="234" spans="1:4" x14ac:dyDescent="0.25">
      <c r="A234" s="2">
        <f ca="1">IFERROR(__xludf.DUMMYFUNCTION("""COMPUTED_VALUE"""),44715.6458333333)</f>
        <v>44715.645833333299</v>
      </c>
      <c r="B234" s="1">
        <f ca="1">IFERROR(__xludf.DUMMYFUNCTION("""COMPUTED_VALUE"""),744.3)</f>
        <v>744.3</v>
      </c>
      <c r="C234" s="3">
        <f t="shared" ca="1" si="6"/>
        <v>-7.2690896965655824E-3</v>
      </c>
      <c r="D234">
        <f t="shared" ca="1" si="5"/>
        <v>730.88265306122435</v>
      </c>
    </row>
    <row r="235" spans="1:4" x14ac:dyDescent="0.25">
      <c r="A235" s="2">
        <f ca="1">IFERROR(__xludf.DUMMYFUNCTION("""COMPUTED_VALUE"""),44718.6458333333)</f>
        <v>44718.645833333299</v>
      </c>
      <c r="B235" s="1">
        <f ca="1">IFERROR(__xludf.DUMMYFUNCTION("""COMPUTED_VALUE"""),746.75)</f>
        <v>746.75</v>
      </c>
      <c r="C235" s="3">
        <f t="shared" ca="1" si="6"/>
        <v>3.2916834609701003E-3</v>
      </c>
      <c r="D235">
        <f t="shared" ca="1" si="5"/>
        <v>731.41326530612241</v>
      </c>
    </row>
    <row r="236" spans="1:4" x14ac:dyDescent="0.25">
      <c r="A236" s="2">
        <f ca="1">IFERROR(__xludf.DUMMYFUNCTION("""COMPUTED_VALUE"""),44719.6458333333)</f>
        <v>44719.645833333299</v>
      </c>
      <c r="B236" s="1">
        <f ca="1">IFERROR(__xludf.DUMMYFUNCTION("""COMPUTED_VALUE"""),735.25)</f>
        <v>735.25</v>
      </c>
      <c r="C236" s="3">
        <f t="shared" ca="1" si="6"/>
        <v>-1.5400066956812855E-2</v>
      </c>
      <c r="D236">
        <f t="shared" ca="1" si="5"/>
        <v>732.28163265306114</v>
      </c>
    </row>
    <row r="237" spans="1:4" x14ac:dyDescent="0.25">
      <c r="A237" s="2">
        <f ca="1">IFERROR(__xludf.DUMMYFUNCTION("""COMPUTED_VALUE"""),44720.6458333333)</f>
        <v>44720.645833333299</v>
      </c>
      <c r="B237" s="1">
        <f ca="1">IFERROR(__xludf.DUMMYFUNCTION("""COMPUTED_VALUE"""),729.5)</f>
        <v>729.5</v>
      </c>
      <c r="C237" s="3">
        <f t="shared" ca="1" si="6"/>
        <v>-7.8204692281536887E-3</v>
      </c>
      <c r="D237">
        <f t="shared" ca="1" si="5"/>
        <v>733.0163265306121</v>
      </c>
    </row>
    <row r="238" spans="1:4" x14ac:dyDescent="0.25">
      <c r="A238" s="2">
        <f ca="1">IFERROR(__xludf.DUMMYFUNCTION("""COMPUTED_VALUE"""),44721.6458333333)</f>
        <v>44721.645833333299</v>
      </c>
      <c r="B238" s="1">
        <f ca="1">IFERROR(__xludf.DUMMYFUNCTION("""COMPUTED_VALUE"""),732.75)</f>
        <v>732.75</v>
      </c>
      <c r="C238" s="3">
        <f t="shared" ca="1" si="6"/>
        <v>4.4551062371487324E-3</v>
      </c>
      <c r="D238">
        <f t="shared" ca="1" si="5"/>
        <v>733.40714285714284</v>
      </c>
    </row>
    <row r="239" spans="1:4" x14ac:dyDescent="0.25">
      <c r="A239" s="2">
        <f ca="1">IFERROR(__xludf.DUMMYFUNCTION("""COMPUTED_VALUE"""),44722.6458333333)</f>
        <v>44722.645833333299</v>
      </c>
      <c r="B239" s="1">
        <f ca="1">IFERROR(__xludf.DUMMYFUNCTION("""COMPUTED_VALUE"""),720)</f>
        <v>720</v>
      </c>
      <c r="C239" s="3">
        <f t="shared" ca="1" si="6"/>
        <v>-1.7400204708290685E-2</v>
      </c>
      <c r="D239">
        <f t="shared" ca="1" si="5"/>
        <v>733.76326530612232</v>
      </c>
    </row>
    <row r="240" spans="1:4" x14ac:dyDescent="0.25">
      <c r="A240" s="2">
        <f ca="1">IFERROR(__xludf.DUMMYFUNCTION("""COMPUTED_VALUE"""),44725.6458333333)</f>
        <v>44725.645833333299</v>
      </c>
      <c r="B240" s="1">
        <f ca="1">IFERROR(__xludf.DUMMYFUNCTION("""COMPUTED_VALUE"""),688)</f>
        <v>688</v>
      </c>
      <c r="C240" s="3">
        <f t="shared" ca="1" si="6"/>
        <v>-4.4444444444444446E-2</v>
      </c>
      <c r="D240">
        <f t="shared" ca="1" si="5"/>
        <v>733.54081632653026</v>
      </c>
    </row>
    <row r="241" spans="1:4" x14ac:dyDescent="0.25">
      <c r="A241" s="2">
        <f ca="1">IFERROR(__xludf.DUMMYFUNCTION("""COMPUTED_VALUE"""),44726.6458333333)</f>
        <v>44726.645833333299</v>
      </c>
      <c r="B241" s="1">
        <f ca="1">IFERROR(__xludf.DUMMYFUNCTION("""COMPUTED_VALUE"""),685.5)</f>
        <v>685.5</v>
      </c>
      <c r="C241" s="3">
        <f t="shared" ca="1" si="6"/>
        <v>-3.6337209302325581E-3</v>
      </c>
      <c r="D241">
        <f t="shared" ca="1" si="5"/>
        <v>732.67755102040792</v>
      </c>
    </row>
    <row r="242" spans="1:4" x14ac:dyDescent="0.25">
      <c r="A242" s="2">
        <f ca="1">IFERROR(__xludf.DUMMYFUNCTION("""COMPUTED_VALUE"""),44727.6458333333)</f>
        <v>44727.645833333299</v>
      </c>
      <c r="B242" s="1">
        <f ca="1">IFERROR(__xludf.DUMMYFUNCTION("""COMPUTED_VALUE"""),687.25)</f>
        <v>687.25</v>
      </c>
      <c r="C242" s="3">
        <f t="shared" ca="1" si="6"/>
        <v>2.552881108679796E-3</v>
      </c>
      <c r="D242">
        <f t="shared" ca="1" si="5"/>
        <v>731.6418367346937</v>
      </c>
    </row>
    <row r="243" spans="1:4" x14ac:dyDescent="0.25">
      <c r="A243" s="2">
        <f ca="1">IFERROR(__xludf.DUMMYFUNCTION("""COMPUTED_VALUE"""),44728.6458333333)</f>
        <v>44728.645833333299</v>
      </c>
      <c r="B243" s="1">
        <f ca="1">IFERROR(__xludf.DUMMYFUNCTION("""COMPUTED_VALUE"""),678.5)</f>
        <v>678.5</v>
      </c>
      <c r="C243" s="3">
        <f t="shared" ca="1" si="6"/>
        <v>-1.2731902510003638E-2</v>
      </c>
      <c r="D243">
        <f t="shared" ca="1" si="5"/>
        <v>730.43061224489782</v>
      </c>
    </row>
    <row r="244" spans="1:4" x14ac:dyDescent="0.25">
      <c r="A244" s="2">
        <f ca="1">IFERROR(__xludf.DUMMYFUNCTION("""COMPUTED_VALUE"""),44729.6458333333)</f>
        <v>44729.645833333299</v>
      </c>
      <c r="B244" s="1">
        <f ca="1">IFERROR(__xludf.DUMMYFUNCTION("""COMPUTED_VALUE"""),686.85)</f>
        <v>686.85</v>
      </c>
      <c r="C244" s="3">
        <f t="shared" ca="1" si="6"/>
        <v>1.2306558585114256E-2</v>
      </c>
      <c r="D244">
        <f t="shared" ref="D244:D307" ca="1" si="7">AVERAGE(B195:B243)</f>
        <v>729.13877551020403</v>
      </c>
    </row>
    <row r="245" spans="1:4" x14ac:dyDescent="0.25">
      <c r="A245" s="2">
        <f ca="1">IFERROR(__xludf.DUMMYFUNCTION("""COMPUTED_VALUE"""),44732.6458333333)</f>
        <v>44732.645833333299</v>
      </c>
      <c r="B245" s="1">
        <f ca="1">IFERROR(__xludf.DUMMYFUNCTION("""COMPUTED_VALUE"""),685.95)</f>
        <v>685.95</v>
      </c>
      <c r="C245" s="3">
        <f t="shared" ca="1" si="6"/>
        <v>-1.3103297663244918E-3</v>
      </c>
      <c r="D245">
        <f t="shared" ca="1" si="7"/>
        <v>728.02142857142849</v>
      </c>
    </row>
    <row r="246" spans="1:4" x14ac:dyDescent="0.25">
      <c r="A246" s="2">
        <f ca="1">IFERROR(__xludf.DUMMYFUNCTION("""COMPUTED_VALUE"""),44733.6458333333)</f>
        <v>44733.645833333299</v>
      </c>
      <c r="B246" s="1">
        <f ca="1">IFERROR(__xludf.DUMMYFUNCTION("""COMPUTED_VALUE"""),696.1)</f>
        <v>696.1</v>
      </c>
      <c r="C246" s="3">
        <f t="shared" ca="1" si="6"/>
        <v>1.4796996865660729E-2</v>
      </c>
      <c r="D246">
        <f t="shared" ca="1" si="7"/>
        <v>726.7438775510202</v>
      </c>
    </row>
    <row r="247" spans="1:4" x14ac:dyDescent="0.25">
      <c r="A247" s="2">
        <f ca="1">IFERROR(__xludf.DUMMYFUNCTION("""COMPUTED_VALUE"""),44734.6458333333)</f>
        <v>44734.645833333299</v>
      </c>
      <c r="B247" s="1">
        <f ca="1">IFERROR(__xludf.DUMMYFUNCTION("""COMPUTED_VALUE"""),686.6)</f>
        <v>686.6</v>
      </c>
      <c r="C247" s="3">
        <f t="shared" ca="1" si="6"/>
        <v>-1.3647464444763682E-2</v>
      </c>
      <c r="D247">
        <f t="shared" ca="1" si="7"/>
        <v>725.55612244897929</v>
      </c>
    </row>
    <row r="248" spans="1:4" x14ac:dyDescent="0.25">
      <c r="A248" s="2">
        <f ca="1">IFERROR(__xludf.DUMMYFUNCTION("""COMPUTED_VALUE"""),44735.6458333333)</f>
        <v>44735.645833333299</v>
      </c>
      <c r="B248" s="1">
        <f ca="1">IFERROR(__xludf.DUMMYFUNCTION("""COMPUTED_VALUE"""),699.15)</f>
        <v>699.15</v>
      </c>
      <c r="C248" s="3">
        <f t="shared" ca="1" si="6"/>
        <v>1.8278473638217236E-2</v>
      </c>
      <c r="D248">
        <f t="shared" ca="1" si="7"/>
        <v>724.06632653061195</v>
      </c>
    </row>
    <row r="249" spans="1:4" x14ac:dyDescent="0.25">
      <c r="A249" s="2">
        <f ca="1">IFERROR(__xludf.DUMMYFUNCTION("""COMPUTED_VALUE"""),44736.6458333333)</f>
        <v>44736.645833333299</v>
      </c>
      <c r="B249" s="1">
        <f ca="1">IFERROR(__xludf.DUMMYFUNCTION("""COMPUTED_VALUE"""),713.45)</f>
        <v>713.45</v>
      </c>
      <c r="C249" s="3">
        <f t="shared" ca="1" si="6"/>
        <v>2.0453407709361465E-2</v>
      </c>
      <c r="D249">
        <f t="shared" ca="1" si="7"/>
        <v>722.74591836734669</v>
      </c>
    </row>
    <row r="250" spans="1:4" x14ac:dyDescent="0.25">
      <c r="A250" s="2">
        <f ca="1">IFERROR(__xludf.DUMMYFUNCTION("""COMPUTED_VALUE"""),44739.6458333333)</f>
        <v>44739.645833333299</v>
      </c>
      <c r="B250" s="1">
        <f ca="1">IFERROR(__xludf.DUMMYFUNCTION("""COMPUTED_VALUE"""),717.35)</f>
        <v>717.35</v>
      </c>
      <c r="C250" s="3">
        <f t="shared" ca="1" si="6"/>
        <v>5.4663956829490183E-3</v>
      </c>
      <c r="D250">
        <f t="shared" ca="1" si="7"/>
        <v>721.74999999999989</v>
      </c>
    </row>
    <row r="251" spans="1:4" x14ac:dyDescent="0.25">
      <c r="A251" s="2">
        <f ca="1">IFERROR(__xludf.DUMMYFUNCTION("""COMPUTED_VALUE"""),44740.6458333333)</f>
        <v>44740.645833333299</v>
      </c>
      <c r="B251" s="1">
        <f ca="1">IFERROR(__xludf.DUMMYFUNCTION("""COMPUTED_VALUE"""),710.3)</f>
        <v>710.3</v>
      </c>
      <c r="C251" s="3">
        <f t="shared" ca="1" si="6"/>
        <v>-9.8278385725239677E-3</v>
      </c>
      <c r="D251">
        <f t="shared" ca="1" si="7"/>
        <v>720.92448979591825</v>
      </c>
    </row>
    <row r="252" spans="1:4" x14ac:dyDescent="0.25">
      <c r="A252" s="2">
        <f ca="1">IFERROR(__xludf.DUMMYFUNCTION("""COMPUTED_VALUE"""),44741.6458333333)</f>
        <v>44741.645833333299</v>
      </c>
      <c r="B252" s="1">
        <f ca="1">IFERROR(__xludf.DUMMYFUNCTION("""COMPUTED_VALUE"""),702.75)</f>
        <v>702.75</v>
      </c>
      <c r="C252" s="3">
        <f t="shared" ca="1" si="6"/>
        <v>-1.0629311558496347E-2</v>
      </c>
      <c r="D252">
        <f t="shared" ca="1" si="7"/>
        <v>719.78163265306102</v>
      </c>
    </row>
    <row r="253" spans="1:4" x14ac:dyDescent="0.25">
      <c r="A253" s="2">
        <f ca="1">IFERROR(__xludf.DUMMYFUNCTION("""COMPUTED_VALUE"""),44742.6458333333)</f>
        <v>44742.645833333299</v>
      </c>
      <c r="B253" s="1">
        <f ca="1">IFERROR(__xludf.DUMMYFUNCTION("""COMPUTED_VALUE"""),707.2)</f>
        <v>707.2</v>
      </c>
      <c r="C253" s="3">
        <f t="shared" ca="1" si="6"/>
        <v>6.332266097474273E-3</v>
      </c>
      <c r="D253">
        <f t="shared" ca="1" si="7"/>
        <v>718.7040816326529</v>
      </c>
    </row>
    <row r="254" spans="1:4" x14ac:dyDescent="0.25">
      <c r="A254" s="2">
        <f ca="1">IFERROR(__xludf.DUMMYFUNCTION("""COMPUTED_VALUE"""),44743.6458333333)</f>
        <v>44743.645833333299</v>
      </c>
      <c r="B254" s="1">
        <f ca="1">IFERROR(__xludf.DUMMYFUNCTION("""COMPUTED_VALUE"""),703.9)</f>
        <v>703.9</v>
      </c>
      <c r="C254" s="3">
        <f t="shared" ca="1" si="6"/>
        <v>-4.6662895927602772E-3</v>
      </c>
      <c r="D254">
        <f t="shared" ca="1" si="7"/>
        <v>717.57857142857142</v>
      </c>
    </row>
    <row r="255" spans="1:4" x14ac:dyDescent="0.25">
      <c r="A255" s="2">
        <f ca="1">IFERROR(__xludf.DUMMYFUNCTION("""COMPUTED_VALUE"""),44746.6458333333)</f>
        <v>44746.645833333299</v>
      </c>
      <c r="B255" s="1">
        <f ca="1">IFERROR(__xludf.DUMMYFUNCTION("""COMPUTED_VALUE"""),720.1)</f>
        <v>720.1</v>
      </c>
      <c r="C255" s="3">
        <f t="shared" ca="1" si="6"/>
        <v>2.301463276033534E-2</v>
      </c>
      <c r="D255">
        <f t="shared" ca="1" si="7"/>
        <v>716.68571428571431</v>
      </c>
    </row>
    <row r="256" spans="1:4" x14ac:dyDescent="0.25">
      <c r="A256" s="2">
        <f ca="1">IFERROR(__xludf.DUMMYFUNCTION("""COMPUTED_VALUE"""),44747.6458333333)</f>
        <v>44747.645833333299</v>
      </c>
      <c r="B256" s="1">
        <f ca="1">IFERROR(__xludf.DUMMYFUNCTION("""COMPUTED_VALUE"""),719.45)</f>
        <v>719.45</v>
      </c>
      <c r="C256" s="3">
        <f t="shared" ca="1" si="6"/>
        <v>-9.0265240938755347E-4</v>
      </c>
      <c r="D256">
        <f t="shared" ca="1" si="7"/>
        <v>716.03061224489784</v>
      </c>
    </row>
    <row r="257" spans="1:4" x14ac:dyDescent="0.25">
      <c r="A257" s="2">
        <f ca="1">IFERROR(__xludf.DUMMYFUNCTION("""COMPUTED_VALUE"""),44748.6458333333)</f>
        <v>44748.645833333299</v>
      </c>
      <c r="B257" s="1">
        <f ca="1">IFERROR(__xludf.DUMMYFUNCTION("""COMPUTED_VALUE"""),725.95)</f>
        <v>725.95</v>
      </c>
      <c r="C257" s="3">
        <f t="shared" ca="1" si="6"/>
        <v>9.0346792688859538E-3</v>
      </c>
      <c r="D257">
        <f t="shared" ca="1" si="7"/>
        <v>715.33061224489779</v>
      </c>
    </row>
    <row r="258" spans="1:4" x14ac:dyDescent="0.25">
      <c r="A258" s="2">
        <f ca="1">IFERROR(__xludf.DUMMYFUNCTION("""COMPUTED_VALUE"""),44749.6458333333)</f>
        <v>44749.645833333299</v>
      </c>
      <c r="B258" s="1">
        <f ca="1">IFERROR(__xludf.DUMMYFUNCTION("""COMPUTED_VALUE"""),742)</f>
        <v>742</v>
      </c>
      <c r="C258" s="3">
        <f t="shared" ca="1" si="6"/>
        <v>2.2108960672222542E-2</v>
      </c>
      <c r="D258">
        <f t="shared" ca="1" si="7"/>
        <v>715.11122448979575</v>
      </c>
    </row>
    <row r="259" spans="1:4" x14ac:dyDescent="0.25">
      <c r="A259" s="2">
        <f ca="1">IFERROR(__xludf.DUMMYFUNCTION("""COMPUTED_VALUE"""),44750.6458333333)</f>
        <v>44750.645833333299</v>
      </c>
      <c r="B259" s="1">
        <f ca="1">IFERROR(__xludf.DUMMYFUNCTION("""COMPUTED_VALUE"""),755.7)</f>
        <v>755.7</v>
      </c>
      <c r="C259" s="3">
        <f t="shared" ca="1" si="6"/>
        <v>1.8463611859838337E-2</v>
      </c>
      <c r="D259">
        <f t="shared" ca="1" si="7"/>
        <v>715.00612244897945</v>
      </c>
    </row>
    <row r="260" spans="1:4" x14ac:dyDescent="0.25">
      <c r="A260" s="2">
        <f ca="1">IFERROR(__xludf.DUMMYFUNCTION("""COMPUTED_VALUE"""),44753.6458333333)</f>
        <v>44753.645833333299</v>
      </c>
      <c r="B260" s="1">
        <f ca="1">IFERROR(__xludf.DUMMYFUNCTION("""COMPUTED_VALUE"""),769.5)</f>
        <v>769.5</v>
      </c>
      <c r="C260" s="3">
        <f t="shared" ref="C260:C323" ca="1" si="8">(B260-B259)/B259</f>
        <v>1.8261214767764926E-2</v>
      </c>
      <c r="D260">
        <f t="shared" ca="1" si="7"/>
        <v>715.25918367346912</v>
      </c>
    </row>
    <row r="261" spans="1:4" x14ac:dyDescent="0.25">
      <c r="A261" s="2">
        <f ca="1">IFERROR(__xludf.DUMMYFUNCTION("""COMPUTED_VALUE"""),44754.6458333333)</f>
        <v>44754.645833333299</v>
      </c>
      <c r="B261" s="1">
        <f ca="1">IFERROR(__xludf.DUMMYFUNCTION("""COMPUTED_VALUE"""),759.9)</f>
        <v>759.9</v>
      </c>
      <c r="C261" s="3">
        <f t="shared" ca="1" si="8"/>
        <v>-1.2475633528265136E-2</v>
      </c>
      <c r="D261">
        <f t="shared" ca="1" si="7"/>
        <v>715.84081632653044</v>
      </c>
    </row>
    <row r="262" spans="1:4" x14ac:dyDescent="0.25">
      <c r="A262" s="2">
        <f ca="1">IFERROR(__xludf.DUMMYFUNCTION("""COMPUTED_VALUE"""),44755.6458333333)</f>
        <v>44755.645833333299</v>
      </c>
      <c r="B262" s="1">
        <f ca="1">IFERROR(__xludf.DUMMYFUNCTION("""COMPUTED_VALUE"""),753.2)</f>
        <v>753.2</v>
      </c>
      <c r="C262" s="3">
        <f t="shared" ca="1" si="8"/>
        <v>-8.8169495986313087E-3</v>
      </c>
      <c r="D262">
        <f t="shared" ca="1" si="7"/>
        <v>716.56836734693877</v>
      </c>
    </row>
    <row r="263" spans="1:4" x14ac:dyDescent="0.25">
      <c r="A263" s="2">
        <f ca="1">IFERROR(__xludf.DUMMYFUNCTION("""COMPUTED_VALUE"""),44756.6458333333)</f>
        <v>44756.645833333299</v>
      </c>
      <c r="B263" s="1">
        <f ca="1">IFERROR(__xludf.DUMMYFUNCTION("""COMPUTED_VALUE"""),752.4)</f>
        <v>752.4</v>
      </c>
      <c r="C263" s="3">
        <f t="shared" ca="1" si="8"/>
        <v>-1.0621348911312642E-3</v>
      </c>
      <c r="D263">
        <f t="shared" ca="1" si="7"/>
        <v>717.06632653061206</v>
      </c>
    </row>
    <row r="264" spans="1:4" x14ac:dyDescent="0.25">
      <c r="A264" s="2">
        <f ca="1">IFERROR(__xludf.DUMMYFUNCTION("""COMPUTED_VALUE"""),44757.6458333333)</f>
        <v>44757.645833333299</v>
      </c>
      <c r="B264" s="1">
        <f ca="1">IFERROR(__xludf.DUMMYFUNCTION("""COMPUTED_VALUE"""),751.2)</f>
        <v>751.2</v>
      </c>
      <c r="C264" s="3">
        <f t="shared" ca="1" si="8"/>
        <v>-1.5948963317383464E-3</v>
      </c>
      <c r="D264">
        <f t="shared" ca="1" si="7"/>
        <v>717.74285714285702</v>
      </c>
    </row>
    <row r="265" spans="1:4" x14ac:dyDescent="0.25">
      <c r="A265" s="2">
        <f ca="1">IFERROR(__xludf.DUMMYFUNCTION("""COMPUTED_VALUE"""),44760.6458333333)</f>
        <v>44760.645833333299</v>
      </c>
      <c r="B265" s="1">
        <f ca="1">IFERROR(__xludf.DUMMYFUNCTION("""COMPUTED_VALUE"""),772)</f>
        <v>772</v>
      </c>
      <c r="C265" s="3">
        <f t="shared" ca="1" si="8"/>
        <v>2.7689030883919E-2</v>
      </c>
      <c r="D265">
        <f t="shared" ca="1" si="7"/>
        <v>718.57653061224471</v>
      </c>
    </row>
    <row r="266" spans="1:4" x14ac:dyDescent="0.25">
      <c r="A266" s="2">
        <f ca="1">IFERROR(__xludf.DUMMYFUNCTION("""COMPUTED_VALUE"""),44761.6458333333)</f>
        <v>44761.645833333299</v>
      </c>
      <c r="B266" s="1">
        <f ca="1">IFERROR(__xludf.DUMMYFUNCTION("""COMPUTED_VALUE"""),780.65)</f>
        <v>780.65</v>
      </c>
      <c r="C266" s="3">
        <f t="shared" ca="1" si="8"/>
        <v>1.1204663212435203E-2</v>
      </c>
      <c r="D266">
        <f t="shared" ca="1" si="7"/>
        <v>719.81530612244887</v>
      </c>
    </row>
    <row r="267" spans="1:4" x14ac:dyDescent="0.25">
      <c r="A267" s="2">
        <f ca="1">IFERROR(__xludf.DUMMYFUNCTION("""COMPUTED_VALUE"""),44762.6458333333)</f>
        <v>44762.645833333299</v>
      </c>
      <c r="B267" s="1">
        <f ca="1">IFERROR(__xludf.DUMMYFUNCTION("""COMPUTED_VALUE"""),783.1)</f>
        <v>783.1</v>
      </c>
      <c r="C267" s="3">
        <f t="shared" ca="1" si="8"/>
        <v>3.1384102991097746E-3</v>
      </c>
      <c r="D267">
        <f t="shared" ca="1" si="7"/>
        <v>721.17142857142858</v>
      </c>
    </row>
    <row r="268" spans="1:4" x14ac:dyDescent="0.25">
      <c r="A268" s="2">
        <f ca="1">IFERROR(__xludf.DUMMYFUNCTION("""COMPUTED_VALUE"""),44763.6458333333)</f>
        <v>44763.645833333299</v>
      </c>
      <c r="B268" s="1">
        <f ca="1">IFERROR(__xludf.DUMMYFUNCTION("""COMPUTED_VALUE"""),786)</f>
        <v>786</v>
      </c>
      <c r="C268" s="3">
        <f t="shared" ca="1" si="8"/>
        <v>3.7032307495849536E-3</v>
      </c>
      <c r="D268">
        <f t="shared" ca="1" si="7"/>
        <v>722.95306122448983</v>
      </c>
    </row>
    <row r="269" spans="1:4" x14ac:dyDescent="0.25">
      <c r="A269" s="2">
        <f ca="1">IFERROR(__xludf.DUMMYFUNCTION("""COMPUTED_VALUE"""),44764.6458333333)</f>
        <v>44764.645833333299</v>
      </c>
      <c r="B269" s="1">
        <f ca="1">IFERROR(__xludf.DUMMYFUNCTION("""COMPUTED_VALUE"""),800.05)</f>
        <v>800.05</v>
      </c>
      <c r="C269" s="3">
        <f t="shared" ca="1" si="8"/>
        <v>1.7875318066157702E-2</v>
      </c>
      <c r="D269">
        <f t="shared" ca="1" si="7"/>
        <v>725.17040816326539</v>
      </c>
    </row>
    <row r="270" spans="1:4" x14ac:dyDescent="0.25">
      <c r="A270" s="2">
        <f ca="1">IFERROR(__xludf.DUMMYFUNCTION("""COMPUTED_VALUE"""),44767.6458333333)</f>
        <v>44767.645833333299</v>
      </c>
      <c r="B270" s="1">
        <f ca="1">IFERROR(__xludf.DUMMYFUNCTION("""COMPUTED_VALUE"""),800.9)</f>
        <v>800.9</v>
      </c>
      <c r="C270" s="3">
        <f t="shared" ca="1" si="8"/>
        <v>1.0624335979001597E-3</v>
      </c>
      <c r="D270">
        <f t="shared" ca="1" si="7"/>
        <v>727.55918367346942</v>
      </c>
    </row>
    <row r="271" spans="1:4" x14ac:dyDescent="0.25">
      <c r="A271" s="2">
        <f ca="1">IFERROR(__xludf.DUMMYFUNCTION("""COMPUTED_VALUE"""),44768.6458333333)</f>
        <v>44768.645833333299</v>
      </c>
      <c r="B271" s="1">
        <f ca="1">IFERROR(__xludf.DUMMYFUNCTION("""COMPUTED_VALUE"""),796.3)</f>
        <v>796.3</v>
      </c>
      <c r="C271" s="3">
        <f t="shared" ca="1" si="8"/>
        <v>-5.7435385191659666E-3</v>
      </c>
      <c r="D271">
        <f t="shared" ca="1" si="7"/>
        <v>729.41428571428594</v>
      </c>
    </row>
    <row r="272" spans="1:4" x14ac:dyDescent="0.25">
      <c r="A272" s="2">
        <f ca="1">IFERROR(__xludf.DUMMYFUNCTION("""COMPUTED_VALUE"""),44769.6458333333)</f>
        <v>44769.645833333299</v>
      </c>
      <c r="B272" s="1">
        <f ca="1">IFERROR(__xludf.DUMMYFUNCTION("""COMPUTED_VALUE"""),800.5)</f>
        <v>800.5</v>
      </c>
      <c r="C272" s="3">
        <f t="shared" ca="1" si="8"/>
        <v>5.2743940725857663E-3</v>
      </c>
      <c r="D272">
        <f t="shared" ca="1" si="7"/>
        <v>731.22959183673481</v>
      </c>
    </row>
    <row r="273" spans="1:4" x14ac:dyDescent="0.25">
      <c r="A273" s="2">
        <f ca="1">IFERROR(__xludf.DUMMYFUNCTION("""COMPUTED_VALUE"""),44770.6458333333)</f>
        <v>44770.645833333299</v>
      </c>
      <c r="B273" s="1">
        <f ca="1">IFERROR(__xludf.DUMMYFUNCTION("""COMPUTED_VALUE"""),814.6)</f>
        <v>814.6</v>
      </c>
      <c r="C273" s="3">
        <f t="shared" ca="1" si="8"/>
        <v>1.7613991255465363E-2</v>
      </c>
      <c r="D273">
        <f t="shared" ca="1" si="7"/>
        <v>733.47857142857163</v>
      </c>
    </row>
    <row r="274" spans="1:4" x14ac:dyDescent="0.25">
      <c r="A274" s="2">
        <f ca="1">IFERROR(__xludf.DUMMYFUNCTION("""COMPUTED_VALUE"""),44771.6458333333)</f>
        <v>44771.645833333299</v>
      </c>
      <c r="B274" s="1">
        <f ca="1">IFERROR(__xludf.DUMMYFUNCTION("""COMPUTED_VALUE"""),818.6)</f>
        <v>818.6</v>
      </c>
      <c r="C274" s="3">
        <f t="shared" ca="1" si="8"/>
        <v>4.9103854652590229E-3</v>
      </c>
      <c r="D274">
        <f t="shared" ca="1" si="7"/>
        <v>735.62244897959215</v>
      </c>
    </row>
    <row r="275" spans="1:4" x14ac:dyDescent="0.25">
      <c r="A275" s="2">
        <f ca="1">IFERROR(__xludf.DUMMYFUNCTION("""COMPUTED_VALUE"""),44774.6458333333)</f>
        <v>44774.645833333299</v>
      </c>
      <c r="B275" s="1">
        <f ca="1">IFERROR(__xludf.DUMMYFUNCTION("""COMPUTED_VALUE"""),823.4)</f>
        <v>823.4</v>
      </c>
      <c r="C275" s="3">
        <f t="shared" ca="1" si="8"/>
        <v>5.8636696799413074E-3</v>
      </c>
      <c r="D275">
        <f t="shared" ca="1" si="7"/>
        <v>737.8173469387757</v>
      </c>
    </row>
    <row r="276" spans="1:4" x14ac:dyDescent="0.25">
      <c r="A276" s="2">
        <f ca="1">IFERROR(__xludf.DUMMYFUNCTION("""COMPUTED_VALUE"""),44775.6458333333)</f>
        <v>44775.645833333299</v>
      </c>
      <c r="B276" s="1">
        <f ca="1">IFERROR(__xludf.DUMMYFUNCTION("""COMPUTED_VALUE"""),817.75)</f>
        <v>817.75</v>
      </c>
      <c r="C276" s="3">
        <f t="shared" ca="1" si="8"/>
        <v>-6.8617925674034214E-3</v>
      </c>
      <c r="D276">
        <f t="shared" ca="1" si="7"/>
        <v>740.16938775510221</v>
      </c>
    </row>
    <row r="277" spans="1:4" x14ac:dyDescent="0.25">
      <c r="A277" s="2">
        <f ca="1">IFERROR(__xludf.DUMMYFUNCTION("""COMPUTED_VALUE"""),44776.6458333333)</f>
        <v>44776.645833333299</v>
      </c>
      <c r="B277" s="1">
        <f ca="1">IFERROR(__xludf.DUMMYFUNCTION("""COMPUTED_VALUE"""),824.8)</f>
        <v>824.8</v>
      </c>
      <c r="C277" s="3">
        <f t="shared" ca="1" si="8"/>
        <v>8.6212167532864013E-3</v>
      </c>
      <c r="D277">
        <f t="shared" ca="1" si="7"/>
        <v>742.30000000000007</v>
      </c>
    </row>
    <row r="278" spans="1:4" x14ac:dyDescent="0.25">
      <c r="A278" s="2">
        <f ca="1">IFERROR(__xludf.DUMMYFUNCTION("""COMPUTED_VALUE"""),44777.6458333333)</f>
        <v>44777.645833333299</v>
      </c>
      <c r="B278" s="1">
        <f ca="1">IFERROR(__xludf.DUMMYFUNCTION("""COMPUTED_VALUE"""),820.25)</f>
        <v>820.25</v>
      </c>
      <c r="C278" s="3">
        <f t="shared" ca="1" si="8"/>
        <v>-5.5164888457807405E-3</v>
      </c>
      <c r="D278">
        <f t="shared" ca="1" si="7"/>
        <v>744.26530612244926</v>
      </c>
    </row>
    <row r="279" spans="1:4" x14ac:dyDescent="0.25">
      <c r="A279" s="2">
        <f ca="1">IFERROR(__xludf.DUMMYFUNCTION("""COMPUTED_VALUE"""),44778.6458333333)</f>
        <v>44778.645833333299</v>
      </c>
      <c r="B279" s="1">
        <f ca="1">IFERROR(__xludf.DUMMYFUNCTION("""COMPUTED_VALUE"""),838.2)</f>
        <v>838.2</v>
      </c>
      <c r="C279" s="3">
        <f t="shared" ca="1" si="8"/>
        <v>2.188357208168247E-2</v>
      </c>
      <c r="D279">
        <f t="shared" ca="1" si="7"/>
        <v>745.90714285714307</v>
      </c>
    </row>
    <row r="280" spans="1:4" x14ac:dyDescent="0.25">
      <c r="A280" s="2">
        <f ca="1">IFERROR(__xludf.DUMMYFUNCTION("""COMPUTED_VALUE"""),44781.6458333333)</f>
        <v>44781.645833333299</v>
      </c>
      <c r="B280" s="1">
        <f ca="1">IFERROR(__xludf.DUMMYFUNCTION("""COMPUTED_VALUE"""),836.95)</f>
        <v>836.95</v>
      </c>
      <c r="C280" s="3">
        <f t="shared" ca="1" si="8"/>
        <v>-1.4912908613696014E-3</v>
      </c>
      <c r="D280">
        <f t="shared" ca="1" si="7"/>
        <v>747.73775510204086</v>
      </c>
    </row>
    <row r="281" spans="1:4" x14ac:dyDescent="0.25">
      <c r="A281" s="2">
        <f ca="1">IFERROR(__xludf.DUMMYFUNCTION("""COMPUTED_VALUE"""),44783.6458333333)</f>
        <v>44783.645833333299</v>
      </c>
      <c r="B281" s="1">
        <f ca="1">IFERROR(__xludf.DUMMYFUNCTION("""COMPUTED_VALUE"""),848.75)</f>
        <v>848.75</v>
      </c>
      <c r="C281" s="3">
        <f t="shared" ca="1" si="8"/>
        <v>1.4098811159567423E-2</v>
      </c>
      <c r="D281">
        <f t="shared" ca="1" si="7"/>
        <v>749.45408163265301</v>
      </c>
    </row>
    <row r="282" spans="1:4" x14ac:dyDescent="0.25">
      <c r="A282" s="2">
        <f ca="1">IFERROR(__xludf.DUMMYFUNCTION("""COMPUTED_VALUE"""),44784.6458333333)</f>
        <v>44784.645833333299</v>
      </c>
      <c r="B282" s="1">
        <f ca="1">IFERROR(__xludf.DUMMYFUNCTION("""COMPUTED_VALUE"""),859.7)</f>
        <v>859.7</v>
      </c>
      <c r="C282" s="3">
        <f t="shared" ca="1" si="8"/>
        <v>1.290132547864512E-2</v>
      </c>
      <c r="D282">
        <f t="shared" ca="1" si="7"/>
        <v>751.4153061224489</v>
      </c>
    </row>
    <row r="283" spans="1:4" x14ac:dyDescent="0.25">
      <c r="A283" s="2">
        <f ca="1">IFERROR(__xludf.DUMMYFUNCTION("""COMPUTED_VALUE"""),44785.6458333333)</f>
        <v>44785.645833333299</v>
      </c>
      <c r="B283" s="1">
        <f ca="1">IFERROR(__xludf.DUMMYFUNCTION("""COMPUTED_VALUE"""),874.4)</f>
        <v>874.4</v>
      </c>
      <c r="C283" s="3">
        <f t="shared" ca="1" si="8"/>
        <v>1.709898801907634E-2</v>
      </c>
      <c r="D283">
        <f t="shared" ca="1" si="7"/>
        <v>753.65918367346933</v>
      </c>
    </row>
    <row r="284" spans="1:4" x14ac:dyDescent="0.25">
      <c r="A284" s="2">
        <f ca="1">IFERROR(__xludf.DUMMYFUNCTION("""COMPUTED_VALUE"""),44789.6458333333)</f>
        <v>44789.645833333299</v>
      </c>
      <c r="B284" s="1">
        <f ca="1">IFERROR(__xludf.DUMMYFUNCTION("""COMPUTED_VALUE"""),879.25)</f>
        <v>879.25</v>
      </c>
      <c r="C284" s="3">
        <f t="shared" ca="1" si="8"/>
        <v>5.5466605672461373E-3</v>
      </c>
      <c r="D284">
        <f t="shared" ca="1" si="7"/>
        <v>756.31428571428569</v>
      </c>
    </row>
    <row r="285" spans="1:4" x14ac:dyDescent="0.25">
      <c r="A285" s="2">
        <f ca="1">IFERROR(__xludf.DUMMYFUNCTION("""COMPUTED_VALUE"""),44790.6458333333)</f>
        <v>44790.645833333299</v>
      </c>
      <c r="B285" s="1">
        <f ca="1">IFERROR(__xludf.DUMMYFUNCTION("""COMPUTED_VALUE"""),883.25)</f>
        <v>883.25</v>
      </c>
      <c r="C285" s="3">
        <f t="shared" ca="1" si="8"/>
        <v>4.549331816889394E-3</v>
      </c>
      <c r="D285">
        <f t="shared" ca="1" si="7"/>
        <v>759.01836734693882</v>
      </c>
    </row>
    <row r="286" spans="1:4" x14ac:dyDescent="0.25">
      <c r="A286" s="2">
        <f ca="1">IFERROR(__xludf.DUMMYFUNCTION("""COMPUTED_VALUE"""),44791.6458333333)</f>
        <v>44791.645833333299</v>
      </c>
      <c r="B286" s="1">
        <f ca="1">IFERROR(__xludf.DUMMYFUNCTION("""COMPUTED_VALUE"""),885.1)</f>
        <v>885.1</v>
      </c>
      <c r="C286" s="3">
        <f t="shared" ca="1" si="8"/>
        <v>2.0945372204925249E-3</v>
      </c>
      <c r="D286">
        <f t="shared" ca="1" si="7"/>
        <v>762.03877551020412</v>
      </c>
    </row>
    <row r="287" spans="1:4" x14ac:dyDescent="0.25">
      <c r="A287" s="2">
        <f ca="1">IFERROR(__xludf.DUMMYFUNCTION("""COMPUTED_VALUE"""),44792.6458333333)</f>
        <v>44792.645833333299</v>
      </c>
      <c r="B287" s="1">
        <f ca="1">IFERROR(__xludf.DUMMYFUNCTION("""COMPUTED_VALUE"""),870.4)</f>
        <v>870.4</v>
      </c>
      <c r="C287" s="3">
        <f t="shared" ca="1" si="8"/>
        <v>-1.6608292848265784E-2</v>
      </c>
      <c r="D287">
        <f t="shared" ca="1" si="7"/>
        <v>765.21428571428567</v>
      </c>
    </row>
    <row r="288" spans="1:4" x14ac:dyDescent="0.25">
      <c r="A288" s="2">
        <f ca="1">IFERROR(__xludf.DUMMYFUNCTION("""COMPUTED_VALUE"""),44795.6458333333)</f>
        <v>44795.645833333299</v>
      </c>
      <c r="B288" s="1">
        <f ca="1">IFERROR(__xludf.DUMMYFUNCTION("""COMPUTED_VALUE"""),852.25)</f>
        <v>852.25</v>
      </c>
      <c r="C288" s="3">
        <f t="shared" ca="1" si="8"/>
        <v>-2.0852481617647033E-2</v>
      </c>
      <c r="D288">
        <f t="shared" ca="1" si="7"/>
        <v>768.02346938775509</v>
      </c>
    </row>
    <row r="289" spans="1:4" x14ac:dyDescent="0.25">
      <c r="A289" s="2">
        <f ca="1">IFERROR(__xludf.DUMMYFUNCTION("""COMPUTED_VALUE"""),44796.6458333333)</f>
        <v>44796.645833333299</v>
      </c>
      <c r="B289" s="1">
        <f ca="1">IFERROR(__xludf.DUMMYFUNCTION("""COMPUTED_VALUE"""),863.9)</f>
        <v>863.9</v>
      </c>
      <c r="C289" s="3">
        <f t="shared" ca="1" si="8"/>
        <v>1.3669697858609536E-2</v>
      </c>
      <c r="D289">
        <f t="shared" ca="1" si="7"/>
        <v>770.72244897959183</v>
      </c>
    </row>
    <row r="290" spans="1:4" x14ac:dyDescent="0.25">
      <c r="A290" s="2">
        <f ca="1">IFERROR(__xludf.DUMMYFUNCTION("""COMPUTED_VALUE"""),44797.6458333333)</f>
        <v>44797.645833333299</v>
      </c>
      <c r="B290" s="1">
        <f ca="1">IFERROR(__xludf.DUMMYFUNCTION("""COMPUTED_VALUE"""),873.3)</f>
        <v>873.3</v>
      </c>
      <c r="C290" s="3">
        <f t="shared" ca="1" si="8"/>
        <v>1.088088899178143E-2</v>
      </c>
      <c r="D290">
        <f t="shared" ca="1" si="7"/>
        <v>774.31224489795943</v>
      </c>
    </row>
    <row r="291" spans="1:4" x14ac:dyDescent="0.25">
      <c r="A291" s="2">
        <f ca="1">IFERROR(__xludf.DUMMYFUNCTION("""COMPUTED_VALUE"""),44798.6458333333)</f>
        <v>44798.645833333299</v>
      </c>
      <c r="B291" s="1">
        <f ca="1">IFERROR(__xludf.DUMMYFUNCTION("""COMPUTED_VALUE"""),872.35)</f>
        <v>872.35</v>
      </c>
      <c r="C291" s="3">
        <f t="shared" ca="1" si="8"/>
        <v>-1.0878277796861696E-3</v>
      </c>
      <c r="D291">
        <f t="shared" ca="1" si="7"/>
        <v>778.14489795918394</v>
      </c>
    </row>
    <row r="292" spans="1:4" x14ac:dyDescent="0.25">
      <c r="A292" s="2">
        <f ca="1">IFERROR(__xludf.DUMMYFUNCTION("""COMPUTED_VALUE"""),44799.6458333333)</f>
        <v>44799.645833333299</v>
      </c>
      <c r="B292" s="1">
        <f ca="1">IFERROR(__xludf.DUMMYFUNCTION("""COMPUTED_VALUE"""),870.85)</f>
        <v>870.85</v>
      </c>
      <c r="C292" s="3">
        <f t="shared" ca="1" si="8"/>
        <v>-1.7194933226342638E-3</v>
      </c>
      <c r="D292">
        <f t="shared" ca="1" si="7"/>
        <v>781.9224489795921</v>
      </c>
    </row>
    <row r="293" spans="1:4" x14ac:dyDescent="0.25">
      <c r="A293" s="2">
        <f ca="1">IFERROR(__xludf.DUMMYFUNCTION("""COMPUTED_VALUE"""),44802.6458333333)</f>
        <v>44802.645833333299</v>
      </c>
      <c r="B293" s="1">
        <f ca="1">IFERROR(__xludf.DUMMYFUNCTION("""COMPUTED_VALUE"""),855.85)</f>
        <v>855.85</v>
      </c>
      <c r="C293" s="3">
        <f t="shared" ca="1" si="8"/>
        <v>-1.7224550726301888E-2</v>
      </c>
      <c r="D293">
        <f t="shared" ca="1" si="7"/>
        <v>785.84795918367365</v>
      </c>
    </row>
    <row r="294" spans="1:4" x14ac:dyDescent="0.25">
      <c r="A294" s="2">
        <f ca="1">IFERROR(__xludf.DUMMYFUNCTION("""COMPUTED_VALUE"""),44803.6458333333)</f>
        <v>44803.645833333299</v>
      </c>
      <c r="B294" s="1">
        <f ca="1">IFERROR(__xludf.DUMMYFUNCTION("""COMPUTED_VALUE"""),887.3)</f>
        <v>887.3</v>
      </c>
      <c r="C294" s="3">
        <f t="shared" ca="1" si="8"/>
        <v>3.6747093532745141E-2</v>
      </c>
      <c r="D294">
        <f t="shared" ca="1" si="7"/>
        <v>789.29693877551028</v>
      </c>
    </row>
    <row r="295" spans="1:4" x14ac:dyDescent="0.25">
      <c r="A295" s="2">
        <f ca="1">IFERROR(__xludf.DUMMYFUNCTION("""COMPUTED_VALUE"""),44805.6458333333)</f>
        <v>44805.645833333299</v>
      </c>
      <c r="B295" s="1">
        <f ca="1">IFERROR(__xludf.DUMMYFUNCTION("""COMPUTED_VALUE"""),874.35)</f>
        <v>874.35</v>
      </c>
      <c r="C295" s="3">
        <f t="shared" ca="1" si="8"/>
        <v>-1.4594838273413652E-2</v>
      </c>
      <c r="D295">
        <f t="shared" ca="1" si="7"/>
        <v>793.40612244897966</v>
      </c>
    </row>
    <row r="296" spans="1:4" x14ac:dyDescent="0.25">
      <c r="A296" s="2">
        <f ca="1">IFERROR(__xludf.DUMMYFUNCTION("""COMPUTED_VALUE"""),44806.6458333333)</f>
        <v>44806.645833333299</v>
      </c>
      <c r="B296" s="1">
        <f ca="1">IFERROR(__xludf.DUMMYFUNCTION("""COMPUTED_VALUE"""),872.4)</f>
        <v>872.4</v>
      </c>
      <c r="C296" s="3">
        <f t="shared" ca="1" si="8"/>
        <v>-2.230228169497393E-3</v>
      </c>
      <c r="D296">
        <f t="shared" ca="1" si="7"/>
        <v>797.04387755102039</v>
      </c>
    </row>
    <row r="297" spans="1:4" x14ac:dyDescent="0.25">
      <c r="A297" s="2">
        <f ca="1">IFERROR(__xludf.DUMMYFUNCTION("""COMPUTED_VALUE"""),44809.6458333333)</f>
        <v>44809.645833333299</v>
      </c>
      <c r="B297" s="1">
        <f ca="1">IFERROR(__xludf.DUMMYFUNCTION("""COMPUTED_VALUE"""),882.45)</f>
        <v>882.45</v>
      </c>
      <c r="C297" s="3">
        <f t="shared" ca="1" si="8"/>
        <v>1.1519944979367341E-2</v>
      </c>
      <c r="D297">
        <f t="shared" ca="1" si="7"/>
        <v>800.8357142857144</v>
      </c>
    </row>
    <row r="298" spans="1:4" x14ac:dyDescent="0.25">
      <c r="A298" s="2">
        <f ca="1">IFERROR(__xludf.DUMMYFUNCTION("""COMPUTED_VALUE"""),44810.6458333333)</f>
        <v>44810.645833333299</v>
      </c>
      <c r="B298" s="1">
        <f ca="1">IFERROR(__xludf.DUMMYFUNCTION("""COMPUTED_VALUE"""),883.65)</f>
        <v>883.65</v>
      </c>
      <c r="C298" s="3">
        <f t="shared" ca="1" si="8"/>
        <v>1.3598504164541126E-3</v>
      </c>
      <c r="D298">
        <f t="shared" ca="1" si="7"/>
        <v>804.57653061224494</v>
      </c>
    </row>
    <row r="299" spans="1:4" x14ac:dyDescent="0.25">
      <c r="A299" s="2">
        <f ca="1">IFERROR(__xludf.DUMMYFUNCTION("""COMPUTED_VALUE"""),44811.6458333333)</f>
        <v>44811.645833333299</v>
      </c>
      <c r="B299" s="1">
        <f ca="1">IFERROR(__xludf.DUMMYFUNCTION("""COMPUTED_VALUE"""),876.2)</f>
        <v>876.2</v>
      </c>
      <c r="C299" s="3">
        <f t="shared" ca="1" si="8"/>
        <v>-8.4309398517511819E-3</v>
      </c>
      <c r="D299">
        <f t="shared" ca="1" si="7"/>
        <v>808.05000000000007</v>
      </c>
    </row>
    <row r="300" spans="1:4" x14ac:dyDescent="0.25">
      <c r="A300" s="2">
        <f ca="1">IFERROR(__xludf.DUMMYFUNCTION("""COMPUTED_VALUE"""),44812.6458333333)</f>
        <v>44812.645833333299</v>
      </c>
      <c r="B300" s="1">
        <f ca="1">IFERROR(__xludf.DUMMYFUNCTION("""COMPUTED_VALUE"""),898.8)</f>
        <v>898.8</v>
      </c>
      <c r="C300" s="3">
        <f t="shared" ca="1" si="8"/>
        <v>2.579319790002272E-2</v>
      </c>
      <c r="D300">
        <f t="shared" ca="1" si="7"/>
        <v>811.29183673469379</v>
      </c>
    </row>
    <row r="301" spans="1:4" x14ac:dyDescent="0.25">
      <c r="A301" s="2">
        <f ca="1">IFERROR(__xludf.DUMMYFUNCTION("""COMPUTED_VALUE"""),44813.6458333333)</f>
        <v>44813.645833333299</v>
      </c>
      <c r="B301" s="1">
        <f ca="1">IFERROR(__xludf.DUMMYFUNCTION("""COMPUTED_VALUE"""),901.25)</f>
        <v>901.25</v>
      </c>
      <c r="C301" s="3">
        <f t="shared" ca="1" si="8"/>
        <v>2.7258566978193653E-3</v>
      </c>
      <c r="D301">
        <f t="shared" ca="1" si="7"/>
        <v>815.13877551020414</v>
      </c>
    </row>
    <row r="302" spans="1:4" x14ac:dyDescent="0.25">
      <c r="A302" s="2">
        <f ca="1">IFERROR(__xludf.DUMMYFUNCTION("""COMPUTED_VALUE"""),44817.6458333333)</f>
        <v>44817.645833333299</v>
      </c>
      <c r="B302" s="1">
        <f ca="1">IFERROR(__xludf.DUMMYFUNCTION("""COMPUTED_VALUE"""),910)</f>
        <v>910</v>
      </c>
      <c r="C302" s="3">
        <f t="shared" ca="1" si="8"/>
        <v>9.7087378640776691E-3</v>
      </c>
      <c r="D302">
        <f t="shared" ca="1" si="7"/>
        <v>819.18979591836739</v>
      </c>
    </row>
    <row r="303" spans="1:4" x14ac:dyDescent="0.25">
      <c r="A303" s="2">
        <f ca="1">IFERROR(__xludf.DUMMYFUNCTION("""COMPUTED_VALUE"""),44818.6458333333)</f>
        <v>44818.645833333299</v>
      </c>
      <c r="B303" s="1">
        <f ca="1">IFERROR(__xludf.DUMMYFUNCTION("""COMPUTED_VALUE"""),918.1)</f>
        <v>918.1</v>
      </c>
      <c r="C303" s="3">
        <f t="shared" ca="1" si="8"/>
        <v>8.901098901098926E-3</v>
      </c>
      <c r="D303">
        <f t="shared" ca="1" si="7"/>
        <v>823.32857142857142</v>
      </c>
    </row>
    <row r="304" spans="1:4" x14ac:dyDescent="0.25">
      <c r="A304" s="2">
        <f ca="1">IFERROR(__xludf.DUMMYFUNCTION("""COMPUTED_VALUE"""),44819.6458333333)</f>
        <v>44819.645833333299</v>
      </c>
      <c r="B304" s="1">
        <f ca="1">IFERROR(__xludf.DUMMYFUNCTION("""COMPUTED_VALUE"""),917.6)</f>
        <v>917.6</v>
      </c>
      <c r="C304" s="3">
        <f t="shared" ca="1" si="8"/>
        <v>-5.4460298442435468E-4</v>
      </c>
      <c r="D304">
        <f t="shared" ca="1" si="7"/>
        <v>827.69999999999993</v>
      </c>
    </row>
    <row r="305" spans="1:4" x14ac:dyDescent="0.25">
      <c r="A305" s="2">
        <f ca="1">IFERROR(__xludf.DUMMYFUNCTION("""COMPUTED_VALUE"""),44820.6458333333)</f>
        <v>44820.645833333299</v>
      </c>
      <c r="B305" s="1">
        <f ca="1">IFERROR(__xludf.DUMMYFUNCTION("""COMPUTED_VALUE"""),909.1)</f>
        <v>909.1</v>
      </c>
      <c r="C305" s="3">
        <f t="shared" ca="1" si="8"/>
        <v>-9.2632955536181335E-3</v>
      </c>
      <c r="D305">
        <f t="shared" ca="1" si="7"/>
        <v>831.73061224489777</v>
      </c>
    </row>
    <row r="306" spans="1:4" x14ac:dyDescent="0.25">
      <c r="A306" s="2">
        <f ca="1">IFERROR(__xludf.DUMMYFUNCTION("""COMPUTED_VALUE"""),44823.6458333333)</f>
        <v>44823.645833333299</v>
      </c>
      <c r="B306" s="1">
        <f ca="1">IFERROR(__xludf.DUMMYFUNCTION("""COMPUTED_VALUE"""),899.2)</f>
        <v>899.2</v>
      </c>
      <c r="C306" s="3">
        <f t="shared" ca="1" si="8"/>
        <v>-1.0889891101088964E-2</v>
      </c>
      <c r="D306">
        <f t="shared" ca="1" si="7"/>
        <v>835.60102040816309</v>
      </c>
    </row>
    <row r="307" spans="1:4" x14ac:dyDescent="0.25">
      <c r="A307" s="2">
        <f ca="1">IFERROR(__xludf.DUMMYFUNCTION("""COMPUTED_VALUE"""),44824.6458333333)</f>
        <v>44824.645833333299</v>
      </c>
      <c r="B307" s="1">
        <f ca="1">IFERROR(__xludf.DUMMYFUNCTION("""COMPUTED_VALUE"""),916.75)</f>
        <v>916.75</v>
      </c>
      <c r="C307" s="3">
        <f t="shared" ca="1" si="8"/>
        <v>1.9517348754448348E-2</v>
      </c>
      <c r="D307">
        <f t="shared" ca="1" si="7"/>
        <v>839.13673469387732</v>
      </c>
    </row>
    <row r="308" spans="1:4" x14ac:dyDescent="0.25">
      <c r="A308" s="2">
        <f ca="1">IFERROR(__xludf.DUMMYFUNCTION("""COMPUTED_VALUE"""),44825.6458333333)</f>
        <v>44825.645833333299</v>
      </c>
      <c r="B308" s="1">
        <f ca="1">IFERROR(__xludf.DUMMYFUNCTION("""COMPUTED_VALUE"""),915.25)</f>
        <v>915.25</v>
      </c>
      <c r="C308" s="3">
        <f t="shared" ca="1" si="8"/>
        <v>-1.636214889555495E-3</v>
      </c>
      <c r="D308">
        <f t="shared" ref="D308:D371" ca="1" si="9">AVERAGE(B259:B307)</f>
        <v>842.7030612244896</v>
      </c>
    </row>
    <row r="309" spans="1:4" x14ac:dyDescent="0.25">
      <c r="A309" s="2">
        <f ca="1">IFERROR(__xludf.DUMMYFUNCTION("""COMPUTED_VALUE"""),44826.6458333333)</f>
        <v>44826.645833333299</v>
      </c>
      <c r="B309" s="1">
        <f ca="1">IFERROR(__xludf.DUMMYFUNCTION("""COMPUTED_VALUE"""),903.4)</f>
        <v>903.4</v>
      </c>
      <c r="C309" s="3">
        <f t="shared" ca="1" si="8"/>
        <v>-1.2947282163343374E-2</v>
      </c>
      <c r="D309">
        <f t="shared" ca="1" si="9"/>
        <v>845.95918367346928</v>
      </c>
    </row>
    <row r="310" spans="1:4" x14ac:dyDescent="0.25">
      <c r="A310" s="2">
        <f ca="1">IFERROR(__xludf.DUMMYFUNCTION("""COMPUTED_VALUE"""),44827.6458333333)</f>
        <v>44827.645833333299</v>
      </c>
      <c r="B310" s="1">
        <f ca="1">IFERROR(__xludf.DUMMYFUNCTION("""COMPUTED_VALUE"""),882.25)</f>
        <v>882.25</v>
      </c>
      <c r="C310" s="3">
        <f t="shared" ca="1" si="8"/>
        <v>-2.3411556342705312E-2</v>
      </c>
      <c r="D310">
        <f t="shared" ca="1" si="9"/>
        <v>848.69183673469377</v>
      </c>
    </row>
    <row r="311" spans="1:4" x14ac:dyDescent="0.25">
      <c r="A311" s="2">
        <f ca="1">IFERROR(__xludf.DUMMYFUNCTION("""COMPUTED_VALUE"""),44830.6458333333)</f>
        <v>44830.645833333299</v>
      </c>
      <c r="B311" s="1">
        <f ca="1">IFERROR(__xludf.DUMMYFUNCTION("""COMPUTED_VALUE"""),861.05)</f>
        <v>861.05</v>
      </c>
      <c r="C311" s="3">
        <f t="shared" ca="1" si="8"/>
        <v>-2.4029470104845616E-2</v>
      </c>
      <c r="D311">
        <f t="shared" ca="1" si="9"/>
        <v>851.18877551020398</v>
      </c>
    </row>
    <row r="312" spans="1:4" x14ac:dyDescent="0.25">
      <c r="A312" s="2">
        <f ca="1">IFERROR(__xludf.DUMMYFUNCTION("""COMPUTED_VALUE"""),44831.6458333333)</f>
        <v>44831.645833333299</v>
      </c>
      <c r="B312" s="1">
        <f ca="1">IFERROR(__xludf.DUMMYFUNCTION("""COMPUTED_VALUE"""),852.55)</f>
        <v>852.55</v>
      </c>
      <c r="C312" s="3">
        <f t="shared" ca="1" si="8"/>
        <v>-9.8716683119447184E-3</v>
      </c>
      <c r="D312">
        <f t="shared" ca="1" si="9"/>
        <v>853.38979591836733</v>
      </c>
    </row>
    <row r="313" spans="1:4" x14ac:dyDescent="0.25">
      <c r="A313" s="2">
        <f ca="1">IFERROR(__xludf.DUMMYFUNCTION("""COMPUTED_VALUE"""),44832.6458333333)</f>
        <v>44832.645833333299</v>
      </c>
      <c r="B313" s="1">
        <f ca="1">IFERROR(__xludf.DUMMYFUNCTION("""COMPUTED_VALUE"""),849.5)</f>
        <v>849.5</v>
      </c>
      <c r="C313" s="3">
        <f t="shared" ca="1" si="8"/>
        <v>-3.5775027857603129E-3</v>
      </c>
      <c r="D313">
        <f t="shared" ca="1" si="9"/>
        <v>855.43367346938771</v>
      </c>
    </row>
    <row r="314" spans="1:4" x14ac:dyDescent="0.25">
      <c r="A314" s="2">
        <f ca="1">IFERROR(__xludf.DUMMYFUNCTION("""COMPUTED_VALUE"""),44833.6458333333)</f>
        <v>44833.645833333299</v>
      </c>
      <c r="B314" s="1">
        <f ca="1">IFERROR(__xludf.DUMMYFUNCTION("""COMPUTED_VALUE"""),843.9)</f>
        <v>843.9</v>
      </c>
      <c r="C314" s="3">
        <f t="shared" ca="1" si="8"/>
        <v>-6.5921130076515861E-3</v>
      </c>
      <c r="D314">
        <f t="shared" ca="1" si="9"/>
        <v>857.43979591836739</v>
      </c>
    </row>
    <row r="315" spans="1:4" x14ac:dyDescent="0.25">
      <c r="A315" s="2">
        <f ca="1">IFERROR(__xludf.DUMMYFUNCTION("""COMPUTED_VALUE"""),44834.6458333333)</f>
        <v>44834.645833333299</v>
      </c>
      <c r="B315" s="1">
        <f ca="1">IFERROR(__xludf.DUMMYFUNCTION("""COMPUTED_VALUE"""),862)</f>
        <v>862</v>
      </c>
      <c r="C315" s="3">
        <f t="shared" ca="1" si="8"/>
        <v>2.1448038867164385E-2</v>
      </c>
      <c r="D315">
        <f t="shared" ca="1" si="9"/>
        <v>858.90714285714296</v>
      </c>
    </row>
    <row r="316" spans="1:4" x14ac:dyDescent="0.25">
      <c r="A316" s="2">
        <f ca="1">IFERROR(__xludf.DUMMYFUNCTION("""COMPUTED_VALUE"""),44837.6458333333)</f>
        <v>44837.645833333299</v>
      </c>
      <c r="B316" s="1">
        <f ca="1">IFERROR(__xludf.DUMMYFUNCTION("""COMPUTED_VALUE"""),848.35)</f>
        <v>848.35</v>
      </c>
      <c r="C316" s="3">
        <f t="shared" ca="1" si="8"/>
        <v>-1.583526682134568E-2</v>
      </c>
      <c r="D316">
        <f t="shared" ca="1" si="9"/>
        <v>860.56734693877559</v>
      </c>
    </row>
    <row r="317" spans="1:4" x14ac:dyDescent="0.25">
      <c r="A317" s="2">
        <f ca="1">IFERROR(__xludf.DUMMYFUNCTION("""COMPUTED_VALUE"""),44838.6458333333)</f>
        <v>44838.645833333299</v>
      </c>
      <c r="B317" s="1">
        <f ca="1">IFERROR(__xludf.DUMMYFUNCTION("""COMPUTED_VALUE"""),867.65)</f>
        <v>867.65</v>
      </c>
      <c r="C317" s="3">
        <f t="shared" ca="1" si="8"/>
        <v>2.2750044203453709E-2</v>
      </c>
      <c r="D317">
        <f t="shared" ca="1" si="9"/>
        <v>861.89897959183679</v>
      </c>
    </row>
    <row r="318" spans="1:4" x14ac:dyDescent="0.25">
      <c r="A318" s="2">
        <f ca="1">IFERROR(__xludf.DUMMYFUNCTION("""COMPUTED_VALUE"""),44840.6458333333)</f>
        <v>44840.645833333299</v>
      </c>
      <c r="B318" s="1">
        <f ca="1">IFERROR(__xludf.DUMMYFUNCTION("""COMPUTED_VALUE"""),885.45)</f>
        <v>885.45</v>
      </c>
      <c r="C318" s="3">
        <f t="shared" ca="1" si="8"/>
        <v>2.051518469428925E-2</v>
      </c>
      <c r="D318">
        <f t="shared" ca="1" si="9"/>
        <v>863.5653061224491</v>
      </c>
    </row>
    <row r="319" spans="1:4" x14ac:dyDescent="0.25">
      <c r="A319" s="2">
        <f ca="1">IFERROR(__xludf.DUMMYFUNCTION("""COMPUTED_VALUE"""),44841.6458333333)</f>
        <v>44841.645833333299</v>
      </c>
      <c r="B319" s="1">
        <f ca="1">IFERROR(__xludf.DUMMYFUNCTION("""COMPUTED_VALUE"""),882.55)</f>
        <v>882.55</v>
      </c>
      <c r="C319" s="3">
        <f t="shared" ca="1" si="8"/>
        <v>-3.2751708170987528E-3</v>
      </c>
      <c r="D319">
        <f t="shared" ca="1" si="9"/>
        <v>865.30816326530612</v>
      </c>
    </row>
    <row r="320" spans="1:4" x14ac:dyDescent="0.25">
      <c r="A320" s="2">
        <f ca="1">IFERROR(__xludf.DUMMYFUNCTION("""COMPUTED_VALUE"""),44844.6458333333)</f>
        <v>44844.645833333299</v>
      </c>
      <c r="B320" s="1">
        <f ca="1">IFERROR(__xludf.DUMMYFUNCTION("""COMPUTED_VALUE"""),881.75)</f>
        <v>881.75</v>
      </c>
      <c r="C320" s="3">
        <f t="shared" ca="1" si="8"/>
        <v>-9.0646422299014734E-4</v>
      </c>
      <c r="D320">
        <f t="shared" ca="1" si="9"/>
        <v>866.97448979591832</v>
      </c>
    </row>
    <row r="321" spans="1:4" x14ac:dyDescent="0.25">
      <c r="A321" s="2">
        <f ca="1">IFERROR(__xludf.DUMMYFUNCTION("""COMPUTED_VALUE"""),44845.6458333333)</f>
        <v>44845.645833333299</v>
      </c>
      <c r="B321" s="1">
        <f ca="1">IFERROR(__xludf.DUMMYFUNCTION("""COMPUTED_VALUE"""),870.6)</f>
        <v>870.6</v>
      </c>
      <c r="C321" s="3">
        <f t="shared" ca="1" si="8"/>
        <v>-1.2645307626878341E-2</v>
      </c>
      <c r="D321">
        <f t="shared" ca="1" si="9"/>
        <v>868.71836734693875</v>
      </c>
    </row>
    <row r="322" spans="1:4" x14ac:dyDescent="0.25">
      <c r="A322" s="2">
        <f ca="1">IFERROR(__xludf.DUMMYFUNCTION("""COMPUTED_VALUE"""),44846.6458333333)</f>
        <v>44846.645833333299</v>
      </c>
      <c r="B322" s="1">
        <f ca="1">IFERROR(__xludf.DUMMYFUNCTION("""COMPUTED_VALUE"""),868.35)</f>
        <v>868.35</v>
      </c>
      <c r="C322" s="3">
        <f t="shared" ca="1" si="8"/>
        <v>-2.5844245348035835E-3</v>
      </c>
      <c r="D322">
        <f t="shared" ca="1" si="9"/>
        <v>870.14897959183679</v>
      </c>
    </row>
    <row r="323" spans="1:4" x14ac:dyDescent="0.25">
      <c r="A323" s="2">
        <f ca="1">IFERROR(__xludf.DUMMYFUNCTION("""COMPUTED_VALUE"""),44847.6458333333)</f>
        <v>44847.645833333299</v>
      </c>
      <c r="B323" s="1">
        <f ca="1">IFERROR(__xludf.DUMMYFUNCTION("""COMPUTED_VALUE"""),853.6)</f>
        <v>853.6</v>
      </c>
      <c r="C323" s="3">
        <f t="shared" ca="1" si="8"/>
        <v>-1.69862382679795E-2</v>
      </c>
      <c r="D323">
        <f t="shared" ca="1" si="9"/>
        <v>871.24591836734703</v>
      </c>
    </row>
    <row r="324" spans="1:4" x14ac:dyDescent="0.25">
      <c r="A324" s="2">
        <f ca="1">IFERROR(__xludf.DUMMYFUNCTION("""COMPUTED_VALUE"""),44848.6458333333)</f>
        <v>44848.645833333299</v>
      </c>
      <c r="B324" s="1">
        <f ca="1">IFERROR(__xludf.DUMMYFUNCTION("""COMPUTED_VALUE"""),870.25)</f>
        <v>870.25</v>
      </c>
      <c r="C324" s="3">
        <f t="shared" ref="C324:C387" ca="1" si="10">(B324-B323)/B323</f>
        <v>1.9505623242736619E-2</v>
      </c>
      <c r="D324">
        <f t="shared" ca="1" si="9"/>
        <v>871.96020408163258</v>
      </c>
    </row>
    <row r="325" spans="1:4" x14ac:dyDescent="0.25">
      <c r="A325" s="2">
        <f ca="1">IFERROR(__xludf.DUMMYFUNCTION("""COMPUTED_VALUE"""),44851.6458333333)</f>
        <v>44851.645833333299</v>
      </c>
      <c r="B325" s="1">
        <f ca="1">IFERROR(__xludf.DUMMYFUNCTION("""COMPUTED_VALUE"""),885.2)</f>
        <v>885.2</v>
      </c>
      <c r="C325" s="3">
        <f t="shared" ca="1" si="10"/>
        <v>1.7178971559896634E-2</v>
      </c>
      <c r="D325">
        <f t="shared" ca="1" si="9"/>
        <v>872.91632653061208</v>
      </c>
    </row>
    <row r="326" spans="1:4" x14ac:dyDescent="0.25">
      <c r="A326" s="2">
        <f ca="1">IFERROR(__xludf.DUMMYFUNCTION("""COMPUTED_VALUE"""),44852.6458333333)</f>
        <v>44852.645833333299</v>
      </c>
      <c r="B326" s="1">
        <f ca="1">IFERROR(__xludf.DUMMYFUNCTION("""COMPUTED_VALUE"""),896.9)</f>
        <v>896.9</v>
      </c>
      <c r="C326" s="3">
        <f t="shared" ca="1" si="10"/>
        <v>1.3217352010844929E-2</v>
      </c>
      <c r="D326">
        <f t="shared" ca="1" si="9"/>
        <v>874.29285714285697</v>
      </c>
    </row>
    <row r="327" spans="1:4" x14ac:dyDescent="0.25">
      <c r="A327" s="2">
        <f ca="1">IFERROR(__xludf.DUMMYFUNCTION("""COMPUTED_VALUE"""),44853.6458333333)</f>
        <v>44853.645833333299</v>
      </c>
      <c r="B327" s="1">
        <f ca="1">IFERROR(__xludf.DUMMYFUNCTION("""COMPUTED_VALUE"""),892.1)</f>
        <v>892.1</v>
      </c>
      <c r="C327" s="3">
        <f t="shared" ca="1" si="10"/>
        <v>-5.3517671981268312E-3</v>
      </c>
      <c r="D327">
        <f t="shared" ca="1" si="9"/>
        <v>875.76428571428562</v>
      </c>
    </row>
    <row r="328" spans="1:4" x14ac:dyDescent="0.25">
      <c r="A328" s="2">
        <f ca="1">IFERROR(__xludf.DUMMYFUNCTION("""COMPUTED_VALUE"""),44854.6458333333)</f>
        <v>44854.645833333299</v>
      </c>
      <c r="B328" s="1">
        <f ca="1">IFERROR(__xludf.DUMMYFUNCTION("""COMPUTED_VALUE"""),888.65)</f>
        <v>888.65</v>
      </c>
      <c r="C328" s="3">
        <f t="shared" ca="1" si="10"/>
        <v>-3.8672794529761747E-3</v>
      </c>
      <c r="D328">
        <f t="shared" ca="1" si="9"/>
        <v>877.23061224489788</v>
      </c>
    </row>
    <row r="329" spans="1:4" x14ac:dyDescent="0.25">
      <c r="A329" s="2">
        <f ca="1">IFERROR(__xludf.DUMMYFUNCTION("""COMPUTED_VALUE"""),44855.6458333333)</f>
        <v>44855.645833333299</v>
      </c>
      <c r="B329" s="1">
        <f ca="1">IFERROR(__xludf.DUMMYFUNCTION("""COMPUTED_VALUE"""),907.15)</f>
        <v>907.15</v>
      </c>
      <c r="C329" s="3">
        <f t="shared" ca="1" si="10"/>
        <v>2.0818094862994432E-2</v>
      </c>
      <c r="D329">
        <f t="shared" ca="1" si="9"/>
        <v>878.26020408163254</v>
      </c>
    </row>
    <row r="330" spans="1:4" x14ac:dyDescent="0.25">
      <c r="A330" s="2">
        <f ca="1">IFERROR(__xludf.DUMMYFUNCTION("""COMPUTED_VALUE"""),44859.6458333333)</f>
        <v>44859.645833333299</v>
      </c>
      <c r="B330" s="1">
        <f ca="1">IFERROR(__xludf.DUMMYFUNCTION("""COMPUTED_VALUE"""),925.05)</f>
        <v>925.05</v>
      </c>
      <c r="C330" s="3">
        <f t="shared" ca="1" si="10"/>
        <v>1.9732128093479556E-2</v>
      </c>
      <c r="D330">
        <f t="shared" ca="1" si="9"/>
        <v>879.69285714285706</v>
      </c>
    </row>
    <row r="331" spans="1:4" x14ac:dyDescent="0.25">
      <c r="A331" s="2">
        <f ca="1">IFERROR(__xludf.DUMMYFUNCTION("""COMPUTED_VALUE"""),44861.6458333333)</f>
        <v>44861.645833333299</v>
      </c>
      <c r="B331" s="1">
        <f ca="1">IFERROR(__xludf.DUMMYFUNCTION("""COMPUTED_VALUE"""),924.4)</f>
        <v>924.4</v>
      </c>
      <c r="C331" s="3">
        <f t="shared" ca="1" si="10"/>
        <v>-7.0266472082587672E-4</v>
      </c>
      <c r="D331">
        <f t="shared" ca="1" si="9"/>
        <v>881.25</v>
      </c>
    </row>
    <row r="332" spans="1:4" x14ac:dyDescent="0.25">
      <c r="A332" s="2">
        <f ca="1">IFERROR(__xludf.DUMMYFUNCTION("""COMPUTED_VALUE"""),44862.6458333333)</f>
        <v>44862.645833333299</v>
      </c>
      <c r="B332" s="1">
        <f ca="1">IFERROR(__xludf.DUMMYFUNCTION("""COMPUTED_VALUE"""),907.85)</f>
        <v>907.85</v>
      </c>
      <c r="C332" s="3">
        <f t="shared" ca="1" si="10"/>
        <v>-1.7903504976200729E-2</v>
      </c>
      <c r="D332">
        <f t="shared" ca="1" si="9"/>
        <v>882.57040816326526</v>
      </c>
    </row>
    <row r="333" spans="1:4" x14ac:dyDescent="0.25">
      <c r="A333" s="2">
        <f ca="1">IFERROR(__xludf.DUMMYFUNCTION("""COMPUTED_VALUE"""),44865.6458333333)</f>
        <v>44865.645833333299</v>
      </c>
      <c r="B333" s="1">
        <f ca="1">IFERROR(__xludf.DUMMYFUNCTION("""COMPUTED_VALUE"""),908.7)</f>
        <v>908.7</v>
      </c>
      <c r="C333" s="3">
        <f t="shared" ca="1" si="10"/>
        <v>9.3627801949663794E-4</v>
      </c>
      <c r="D333">
        <f t="shared" ca="1" si="9"/>
        <v>883.25306122448978</v>
      </c>
    </row>
    <row r="334" spans="1:4" x14ac:dyDescent="0.25">
      <c r="A334" s="2">
        <f ca="1">IFERROR(__xludf.DUMMYFUNCTION("""COMPUTED_VALUE"""),44866.6458333333)</f>
        <v>44866.645833333299</v>
      </c>
      <c r="B334" s="1">
        <f ca="1">IFERROR(__xludf.DUMMYFUNCTION("""COMPUTED_VALUE"""),908.6)</f>
        <v>908.6</v>
      </c>
      <c r="C334" s="3">
        <f t="shared" ca="1" si="10"/>
        <v>-1.1004732034777455E-4</v>
      </c>
      <c r="D334">
        <f t="shared" ca="1" si="9"/>
        <v>883.85408163265299</v>
      </c>
    </row>
    <row r="335" spans="1:4" x14ac:dyDescent="0.25">
      <c r="A335" s="2">
        <f ca="1">IFERROR(__xludf.DUMMYFUNCTION("""COMPUTED_VALUE"""),44867.6458333333)</f>
        <v>44867.645833333299</v>
      </c>
      <c r="B335" s="1">
        <f ca="1">IFERROR(__xludf.DUMMYFUNCTION("""COMPUTED_VALUE"""),904.7)</f>
        <v>904.7</v>
      </c>
      <c r="C335" s="3">
        <f t="shared" ca="1" si="10"/>
        <v>-4.2923178516398606E-3</v>
      </c>
      <c r="D335">
        <f t="shared" ca="1" si="9"/>
        <v>884.37142857142851</v>
      </c>
    </row>
    <row r="336" spans="1:4" x14ac:dyDescent="0.25">
      <c r="A336" s="2">
        <f ca="1">IFERROR(__xludf.DUMMYFUNCTION("""COMPUTED_VALUE"""),44868.6458333333)</f>
        <v>44868.645833333299</v>
      </c>
      <c r="B336" s="1">
        <f ca="1">IFERROR(__xludf.DUMMYFUNCTION("""COMPUTED_VALUE"""),908.65)</f>
        <v>908.65</v>
      </c>
      <c r="C336" s="3">
        <f t="shared" ca="1" si="10"/>
        <v>4.3660882060350742E-3</v>
      </c>
      <c r="D336">
        <f t="shared" ca="1" si="9"/>
        <v>884.77142857142849</v>
      </c>
    </row>
    <row r="337" spans="1:4" x14ac:dyDescent="0.25">
      <c r="A337" s="2">
        <f ca="1">IFERROR(__xludf.DUMMYFUNCTION("""COMPUTED_VALUE"""),44869.6458333333)</f>
        <v>44869.645833333299</v>
      </c>
      <c r="B337" s="1">
        <f ca="1">IFERROR(__xludf.DUMMYFUNCTION("""COMPUTED_VALUE"""),905.3)</f>
        <v>905.3</v>
      </c>
      <c r="C337" s="3">
        <f t="shared" ca="1" si="10"/>
        <v>-3.6867880922247542E-3</v>
      </c>
      <c r="D337">
        <f t="shared" ca="1" si="9"/>
        <v>885.55204081632644</v>
      </c>
    </row>
    <row r="338" spans="1:4" x14ac:dyDescent="0.25">
      <c r="A338" s="2">
        <f ca="1">IFERROR(__xludf.DUMMYFUNCTION("""COMPUTED_VALUE"""),44872.6458333333)</f>
        <v>44872.645833333299</v>
      </c>
      <c r="B338" s="1">
        <f ca="1">IFERROR(__xludf.DUMMYFUNCTION("""COMPUTED_VALUE"""),917.5)</f>
        <v>917.5</v>
      </c>
      <c r="C338" s="3">
        <f t="shared" ca="1" si="10"/>
        <v>1.3476195736220088E-2</v>
      </c>
      <c r="D338">
        <f t="shared" ca="1" si="9"/>
        <v>886.63469387755094</v>
      </c>
    </row>
    <row r="339" spans="1:4" x14ac:dyDescent="0.25">
      <c r="A339" s="2">
        <f ca="1">IFERROR(__xludf.DUMMYFUNCTION("""COMPUTED_VALUE"""),44874.6458333333)</f>
        <v>44874.645833333299</v>
      </c>
      <c r="B339" s="1">
        <f ca="1">IFERROR(__xludf.DUMMYFUNCTION("""COMPUTED_VALUE"""),910.5)</f>
        <v>910.5</v>
      </c>
      <c r="C339" s="3">
        <f t="shared" ca="1" si="10"/>
        <v>-7.6294277929155312E-3</v>
      </c>
      <c r="D339">
        <f t="shared" ca="1" si="9"/>
        <v>887.72857142857151</v>
      </c>
    </row>
    <row r="340" spans="1:4" x14ac:dyDescent="0.25">
      <c r="A340" s="2">
        <f ca="1">IFERROR(__xludf.DUMMYFUNCTION("""COMPUTED_VALUE"""),44875.6458333333)</f>
        <v>44875.645833333299</v>
      </c>
      <c r="B340" s="1">
        <f ca="1">IFERROR(__xludf.DUMMYFUNCTION("""COMPUTED_VALUE"""),910.7)</f>
        <v>910.7</v>
      </c>
      <c r="C340" s="3">
        <f t="shared" ca="1" si="10"/>
        <v>2.1965952773206533E-4</v>
      </c>
      <c r="D340">
        <f t="shared" ca="1" si="9"/>
        <v>888.48775510204086</v>
      </c>
    </row>
    <row r="341" spans="1:4" x14ac:dyDescent="0.25">
      <c r="A341" s="2">
        <f ca="1">IFERROR(__xludf.DUMMYFUNCTION("""COMPUTED_VALUE"""),44876.6458333333)</f>
        <v>44876.645833333299</v>
      </c>
      <c r="B341" s="1">
        <f ca="1">IFERROR(__xludf.DUMMYFUNCTION("""COMPUTED_VALUE"""),906.55)</f>
        <v>906.55</v>
      </c>
      <c r="C341" s="3">
        <f t="shared" ca="1" si="10"/>
        <v>-4.5569342264193376E-3</v>
      </c>
      <c r="D341">
        <f t="shared" ca="1" si="9"/>
        <v>889.27040816326519</v>
      </c>
    </row>
    <row r="342" spans="1:4" x14ac:dyDescent="0.25">
      <c r="A342" s="2">
        <f ca="1">IFERROR(__xludf.DUMMYFUNCTION("""COMPUTED_VALUE"""),44879.6458333333)</f>
        <v>44879.645833333299</v>
      </c>
      <c r="B342" s="1">
        <f ca="1">IFERROR(__xludf.DUMMYFUNCTION("""COMPUTED_VALUE"""),894.95)</f>
        <v>894.95</v>
      </c>
      <c r="C342" s="3">
        <f t="shared" ca="1" si="10"/>
        <v>-1.2795764160829419E-2</v>
      </c>
      <c r="D342">
        <f t="shared" ca="1" si="9"/>
        <v>889.9989795918367</v>
      </c>
    </row>
    <row r="343" spans="1:4" x14ac:dyDescent="0.25">
      <c r="A343" s="2">
        <f ca="1">IFERROR(__xludf.DUMMYFUNCTION("""COMPUTED_VALUE"""),44880.6458333333)</f>
        <v>44880.645833333299</v>
      </c>
      <c r="B343" s="1">
        <f ca="1">IFERROR(__xludf.DUMMYFUNCTION("""COMPUTED_VALUE"""),911.7)</f>
        <v>911.7</v>
      </c>
      <c r="C343" s="3">
        <f t="shared" ca="1" si="10"/>
        <v>1.8716129392703503E-2</v>
      </c>
      <c r="D343">
        <f t="shared" ca="1" si="9"/>
        <v>890.79693877551017</v>
      </c>
    </row>
    <row r="344" spans="1:4" x14ac:dyDescent="0.25">
      <c r="A344" s="2">
        <f ca="1">IFERROR(__xludf.DUMMYFUNCTION("""COMPUTED_VALUE"""),44881.6458333333)</f>
        <v>44881.645833333299</v>
      </c>
      <c r="B344" s="1">
        <f ca="1">IFERROR(__xludf.DUMMYFUNCTION("""COMPUTED_VALUE"""),913.6)</f>
        <v>913.6</v>
      </c>
      <c r="C344" s="3">
        <f t="shared" ca="1" si="10"/>
        <v>2.084018865854971E-3</v>
      </c>
      <c r="D344">
        <f t="shared" ca="1" si="9"/>
        <v>891.29489795918346</v>
      </c>
    </row>
    <row r="345" spans="1:4" x14ac:dyDescent="0.25">
      <c r="A345" s="2">
        <f ca="1">IFERROR(__xludf.DUMMYFUNCTION("""COMPUTED_VALUE"""),44882.6458333333)</f>
        <v>44882.645833333299</v>
      </c>
      <c r="B345" s="1">
        <f ca="1">IFERROR(__xludf.DUMMYFUNCTION("""COMPUTED_VALUE"""),919.8)</f>
        <v>919.8</v>
      </c>
      <c r="C345" s="3">
        <f t="shared" ca="1" si="10"/>
        <v>6.7863397548160375E-3</v>
      </c>
      <c r="D345">
        <f t="shared" ca="1" si="9"/>
        <v>892.09591836734671</v>
      </c>
    </row>
    <row r="346" spans="1:4" x14ac:dyDescent="0.25">
      <c r="A346" s="2">
        <f ca="1">IFERROR(__xludf.DUMMYFUNCTION("""COMPUTED_VALUE"""),44883.6458333333)</f>
        <v>44883.645833333299</v>
      </c>
      <c r="B346" s="1">
        <f ca="1">IFERROR(__xludf.DUMMYFUNCTION("""COMPUTED_VALUE"""),920.35)</f>
        <v>920.35</v>
      </c>
      <c r="C346" s="3">
        <f t="shared" ca="1" si="10"/>
        <v>5.9795607740820644E-4</v>
      </c>
      <c r="D346">
        <f t="shared" ca="1" si="9"/>
        <v>893.06326530612228</v>
      </c>
    </row>
    <row r="347" spans="1:4" x14ac:dyDescent="0.25">
      <c r="A347" s="2">
        <f ca="1">IFERROR(__xludf.DUMMYFUNCTION("""COMPUTED_VALUE"""),44886.6458333333)</f>
        <v>44886.645833333299</v>
      </c>
      <c r="B347" s="1">
        <f ca="1">IFERROR(__xludf.DUMMYFUNCTION("""COMPUTED_VALUE"""),921.4)</f>
        <v>921.4</v>
      </c>
      <c r="C347" s="3">
        <f t="shared" ca="1" si="10"/>
        <v>1.1408703210734551E-3</v>
      </c>
      <c r="D347">
        <f t="shared" ca="1" si="9"/>
        <v>893.83673469387736</v>
      </c>
    </row>
    <row r="348" spans="1:4" x14ac:dyDescent="0.25">
      <c r="A348" s="2">
        <f ca="1">IFERROR(__xludf.DUMMYFUNCTION("""COMPUTED_VALUE"""),44887.6458333333)</f>
        <v>44887.645833333299</v>
      </c>
      <c r="B348" s="1">
        <f ca="1">IFERROR(__xludf.DUMMYFUNCTION("""COMPUTED_VALUE"""),923.7)</f>
        <v>923.7</v>
      </c>
      <c r="C348" s="3">
        <f t="shared" ca="1" si="10"/>
        <v>2.4962014326026355E-3</v>
      </c>
      <c r="D348">
        <f t="shared" ca="1" si="9"/>
        <v>894.60714285714266</v>
      </c>
    </row>
    <row r="349" spans="1:4" x14ac:dyDescent="0.25">
      <c r="A349" s="2">
        <f ca="1">IFERROR(__xludf.DUMMYFUNCTION("""COMPUTED_VALUE"""),44888.6458333333)</f>
        <v>44888.645833333299</v>
      </c>
      <c r="B349" s="1">
        <f ca="1">IFERROR(__xludf.DUMMYFUNCTION("""COMPUTED_VALUE"""),927.45)</f>
        <v>927.45</v>
      </c>
      <c r="C349" s="3">
        <f t="shared" ca="1" si="10"/>
        <v>4.059759662227996E-3</v>
      </c>
      <c r="D349">
        <f t="shared" ca="1" si="9"/>
        <v>895.57653061224471</v>
      </c>
    </row>
    <row r="350" spans="1:4" x14ac:dyDescent="0.25">
      <c r="A350" s="2">
        <f ca="1">IFERROR(__xludf.DUMMYFUNCTION("""COMPUTED_VALUE"""),44889.6458333333)</f>
        <v>44889.645833333299</v>
      </c>
      <c r="B350" s="1">
        <f ca="1">IFERROR(__xludf.DUMMYFUNCTION("""COMPUTED_VALUE"""),938.85)</f>
        <v>938.85</v>
      </c>
      <c r="C350" s="3">
        <f t="shared" ca="1" si="10"/>
        <v>1.229176775028301E-2</v>
      </c>
      <c r="D350">
        <f t="shared" ca="1" si="9"/>
        <v>896.1612244897957</v>
      </c>
    </row>
    <row r="351" spans="1:4" x14ac:dyDescent="0.25">
      <c r="A351" s="2">
        <f ca="1">IFERROR(__xludf.DUMMYFUNCTION("""COMPUTED_VALUE"""),44890.6458333333)</f>
        <v>44890.645833333299</v>
      </c>
      <c r="B351" s="1">
        <f ca="1">IFERROR(__xludf.DUMMYFUNCTION("""COMPUTED_VALUE"""),930.3)</f>
        <v>930.3</v>
      </c>
      <c r="C351" s="3">
        <f t="shared" ca="1" si="10"/>
        <v>-9.1068860840390568E-3</v>
      </c>
      <c r="D351">
        <f t="shared" ca="1" si="9"/>
        <v>896.9285714285711</v>
      </c>
    </row>
    <row r="352" spans="1:4" x14ac:dyDescent="0.25">
      <c r="A352" s="2">
        <f ca="1">IFERROR(__xludf.DUMMYFUNCTION("""COMPUTED_VALUE"""),44893.6458333333)</f>
        <v>44893.645833333299</v>
      </c>
      <c r="B352" s="1">
        <f ca="1">IFERROR(__xludf.DUMMYFUNCTION("""COMPUTED_VALUE"""),937.4)</f>
        <v>937.4</v>
      </c>
      <c r="C352" s="3">
        <f t="shared" ca="1" si="10"/>
        <v>7.6319466838654449E-3</v>
      </c>
      <c r="D352">
        <f t="shared" ca="1" si="9"/>
        <v>897.34285714285693</v>
      </c>
    </row>
    <row r="353" spans="1:4" x14ac:dyDescent="0.25">
      <c r="A353" s="2">
        <f ca="1">IFERROR(__xludf.DUMMYFUNCTION("""COMPUTED_VALUE"""),44894.6458333333)</f>
        <v>44894.645833333299</v>
      </c>
      <c r="B353" s="1">
        <f ca="1">IFERROR(__xludf.DUMMYFUNCTION("""COMPUTED_VALUE"""),946.75)</f>
        <v>946.75</v>
      </c>
      <c r="C353" s="3">
        <f t="shared" ca="1" si="10"/>
        <v>9.9743972690420554E-3</v>
      </c>
      <c r="D353">
        <f t="shared" ca="1" si="9"/>
        <v>897.73673469387757</v>
      </c>
    </row>
    <row r="354" spans="1:4" x14ac:dyDescent="0.25">
      <c r="A354" s="2">
        <f ca="1">IFERROR(__xludf.DUMMYFUNCTION("""COMPUTED_VALUE"""),44895.6458333333)</f>
        <v>44895.645833333299</v>
      </c>
      <c r="B354" s="1">
        <f ca="1">IFERROR(__xludf.DUMMYFUNCTION("""COMPUTED_VALUE"""),952.9)</f>
        <v>952.9</v>
      </c>
      <c r="C354" s="3">
        <f t="shared" ca="1" si="10"/>
        <v>6.4959070504356769E-3</v>
      </c>
      <c r="D354">
        <f t="shared" ca="1" si="9"/>
        <v>898.33163265306121</v>
      </c>
    </row>
    <row r="355" spans="1:4" x14ac:dyDescent="0.25">
      <c r="A355" s="2">
        <f ca="1">IFERROR(__xludf.DUMMYFUNCTION("""COMPUTED_VALUE"""),44896.6458333333)</f>
        <v>44896.645833333299</v>
      </c>
      <c r="B355" s="1">
        <f ca="1">IFERROR(__xludf.DUMMYFUNCTION("""COMPUTED_VALUE"""),940.2)</f>
        <v>940.2</v>
      </c>
      <c r="C355" s="3">
        <f t="shared" ca="1" si="10"/>
        <v>-1.3327736383670827E-2</v>
      </c>
      <c r="D355">
        <f t="shared" ca="1" si="9"/>
        <v>899.22551020408173</v>
      </c>
    </row>
    <row r="356" spans="1:4" x14ac:dyDescent="0.25">
      <c r="A356" s="2">
        <f ca="1">IFERROR(__xludf.DUMMYFUNCTION("""COMPUTED_VALUE"""),44897.6458333333)</f>
        <v>44897.645833333299</v>
      </c>
      <c r="B356" s="1">
        <f ca="1">IFERROR(__xludf.DUMMYFUNCTION("""COMPUTED_VALUE"""),930.6)</f>
        <v>930.6</v>
      </c>
      <c r="C356" s="3">
        <f t="shared" ca="1" si="10"/>
        <v>-1.0210593490746673E-2</v>
      </c>
      <c r="D356">
        <f t="shared" ca="1" si="9"/>
        <v>900.0622448979592</v>
      </c>
    </row>
    <row r="357" spans="1:4" x14ac:dyDescent="0.25">
      <c r="A357" s="2">
        <f ca="1">IFERROR(__xludf.DUMMYFUNCTION("""COMPUTED_VALUE"""),44900.6458333333)</f>
        <v>44900.645833333299</v>
      </c>
      <c r="B357" s="1">
        <f ca="1">IFERROR(__xludf.DUMMYFUNCTION("""COMPUTED_VALUE"""),933.6)</f>
        <v>933.6</v>
      </c>
      <c r="C357" s="3">
        <f t="shared" ca="1" si="10"/>
        <v>3.2237266279819469E-3</v>
      </c>
      <c r="D357">
        <f t="shared" ca="1" si="9"/>
        <v>900.34489795918375</v>
      </c>
    </row>
    <row r="358" spans="1:4" x14ac:dyDescent="0.25">
      <c r="A358" s="2">
        <f ca="1">IFERROR(__xludf.DUMMYFUNCTION("""COMPUTED_VALUE"""),44901.6458333333)</f>
        <v>44901.645833333299</v>
      </c>
      <c r="B358" s="1">
        <f ca="1">IFERROR(__xludf.DUMMYFUNCTION("""COMPUTED_VALUE"""),922.65)</f>
        <v>922.65</v>
      </c>
      <c r="C358" s="3">
        <f t="shared" ca="1" si="10"/>
        <v>-1.1728791773778969E-2</v>
      </c>
      <c r="D358">
        <f t="shared" ca="1" si="9"/>
        <v>900.71938775510205</v>
      </c>
    </row>
    <row r="359" spans="1:4" x14ac:dyDescent="0.25">
      <c r="A359" s="2">
        <f ca="1">IFERROR(__xludf.DUMMYFUNCTION("""COMPUTED_VALUE"""),44902.6458333333)</f>
        <v>44902.645833333299</v>
      </c>
      <c r="B359" s="1">
        <f ca="1">IFERROR(__xludf.DUMMYFUNCTION("""COMPUTED_VALUE"""),922.15)</f>
        <v>922.15</v>
      </c>
      <c r="C359" s="3">
        <f t="shared" ca="1" si="10"/>
        <v>-5.4191730341949824E-4</v>
      </c>
      <c r="D359">
        <f t="shared" ca="1" si="9"/>
        <v>901.11224489795916</v>
      </c>
    </row>
    <row r="360" spans="1:4" x14ac:dyDescent="0.25">
      <c r="A360" s="2">
        <f ca="1">IFERROR(__xludf.DUMMYFUNCTION("""COMPUTED_VALUE"""),44903.6458333333)</f>
        <v>44903.645833333299</v>
      </c>
      <c r="B360" s="1">
        <f ca="1">IFERROR(__xludf.DUMMYFUNCTION("""COMPUTED_VALUE"""),931.9)</f>
        <v>931.9</v>
      </c>
      <c r="C360" s="3">
        <f t="shared" ca="1" si="10"/>
        <v>1.0573117171826709E-2</v>
      </c>
      <c r="D360">
        <f t="shared" ca="1" si="9"/>
        <v>901.92653061224473</v>
      </c>
    </row>
    <row r="361" spans="1:4" x14ac:dyDescent="0.25">
      <c r="A361" s="2">
        <f ca="1">IFERROR(__xludf.DUMMYFUNCTION("""COMPUTED_VALUE"""),44904.6458333333)</f>
        <v>44904.645833333299</v>
      </c>
      <c r="B361" s="1">
        <f ca="1">IFERROR(__xludf.DUMMYFUNCTION("""COMPUTED_VALUE"""),929.9)</f>
        <v>929.9</v>
      </c>
      <c r="C361" s="3">
        <f t="shared" ca="1" si="10"/>
        <v>-2.1461530207103766E-3</v>
      </c>
      <c r="D361">
        <f t="shared" ca="1" si="9"/>
        <v>903.37244897959181</v>
      </c>
    </row>
    <row r="362" spans="1:4" x14ac:dyDescent="0.25">
      <c r="A362" s="2">
        <f ca="1">IFERROR(__xludf.DUMMYFUNCTION("""COMPUTED_VALUE"""),44907.6458333333)</f>
        <v>44907.645833333299</v>
      </c>
      <c r="B362" s="1">
        <f ca="1">IFERROR(__xludf.DUMMYFUNCTION("""COMPUTED_VALUE"""),930.3)</f>
        <v>930.3</v>
      </c>
      <c r="C362" s="3">
        <f t="shared" ca="1" si="10"/>
        <v>4.3015377997631711E-4</v>
      </c>
      <c r="D362">
        <f t="shared" ca="1" si="9"/>
        <v>904.95102040816334</v>
      </c>
    </row>
    <row r="363" spans="1:4" x14ac:dyDescent="0.25">
      <c r="A363" s="2">
        <f ca="1">IFERROR(__xludf.DUMMYFUNCTION("""COMPUTED_VALUE"""),44908.6458333333)</f>
        <v>44908.645833333299</v>
      </c>
      <c r="B363" s="1">
        <f ca="1">IFERROR(__xludf.DUMMYFUNCTION("""COMPUTED_VALUE"""),932.95)</f>
        <v>932.95</v>
      </c>
      <c r="C363" s="3">
        <f t="shared" ca="1" si="10"/>
        <v>2.8485434805977546E-3</v>
      </c>
      <c r="D363">
        <f t="shared" ca="1" si="9"/>
        <v>906.60000000000014</v>
      </c>
    </row>
    <row r="364" spans="1:4" x14ac:dyDescent="0.25">
      <c r="A364" s="2">
        <f ca="1">IFERROR(__xludf.DUMMYFUNCTION("""COMPUTED_VALUE"""),44909.6458333333)</f>
        <v>44909.645833333299</v>
      </c>
      <c r="B364" s="1">
        <f ca="1">IFERROR(__xludf.DUMMYFUNCTION("""COMPUTED_VALUE"""),921.75)</f>
        <v>921.75</v>
      </c>
      <c r="C364" s="3">
        <f t="shared" ca="1" si="10"/>
        <v>-1.2004930596495038E-2</v>
      </c>
      <c r="D364">
        <f t="shared" ca="1" si="9"/>
        <v>908.41734693877561</v>
      </c>
    </row>
    <row r="365" spans="1:4" x14ac:dyDescent="0.25">
      <c r="A365" s="2">
        <f ca="1">IFERROR(__xludf.DUMMYFUNCTION("""COMPUTED_VALUE"""),44910.6458333333)</f>
        <v>44910.645833333299</v>
      </c>
      <c r="B365" s="1">
        <f ca="1">IFERROR(__xludf.DUMMYFUNCTION("""COMPUTED_VALUE"""),908.8)</f>
        <v>908.8</v>
      </c>
      <c r="C365" s="3">
        <f t="shared" ca="1" si="10"/>
        <v>-1.4049362625440787E-2</v>
      </c>
      <c r="D365">
        <f t="shared" ca="1" si="9"/>
        <v>909.63673469387766</v>
      </c>
    </row>
    <row r="366" spans="1:4" x14ac:dyDescent="0.25">
      <c r="A366" s="2">
        <f ca="1">IFERROR(__xludf.DUMMYFUNCTION("""COMPUTED_VALUE"""),44911.6458333333)</f>
        <v>44911.645833333299</v>
      </c>
      <c r="B366" s="1">
        <f ca="1">IFERROR(__xludf.DUMMYFUNCTION("""COMPUTED_VALUE"""),902)</f>
        <v>902</v>
      </c>
      <c r="C366" s="3">
        <f t="shared" ca="1" si="10"/>
        <v>-7.4823943661971332E-3</v>
      </c>
      <c r="D366">
        <f t="shared" ca="1" si="9"/>
        <v>910.87040816326532</v>
      </c>
    </row>
    <row r="367" spans="1:4" x14ac:dyDescent="0.25">
      <c r="A367" s="2">
        <f ca="1">IFERROR(__xludf.DUMMYFUNCTION("""COMPUTED_VALUE"""),44914.6458333333)</f>
        <v>44914.645833333299</v>
      </c>
      <c r="B367" s="1">
        <f ca="1">IFERROR(__xludf.DUMMYFUNCTION("""COMPUTED_VALUE"""),906.45)</f>
        <v>906.45</v>
      </c>
      <c r="C367" s="3">
        <f t="shared" ca="1" si="10"/>
        <v>4.9334811529933983E-3</v>
      </c>
      <c r="D367">
        <f t="shared" ca="1" si="9"/>
        <v>911.57142857142856</v>
      </c>
    </row>
    <row r="368" spans="1:4" x14ac:dyDescent="0.25">
      <c r="A368" s="2">
        <f ca="1">IFERROR(__xludf.DUMMYFUNCTION("""COMPUTED_VALUE"""),44915.6458333333)</f>
        <v>44915.645833333299</v>
      </c>
      <c r="B368" s="1">
        <f ca="1">IFERROR(__xludf.DUMMYFUNCTION("""COMPUTED_VALUE"""),909.7)</f>
        <v>909.7</v>
      </c>
      <c r="C368" s="3">
        <f t="shared" ca="1" si="10"/>
        <v>3.5854156324121571E-3</v>
      </c>
      <c r="D368">
        <f t="shared" ca="1" si="9"/>
        <v>912.00000000000011</v>
      </c>
    </row>
    <row r="369" spans="1:4" x14ac:dyDescent="0.25">
      <c r="A369" s="2">
        <f ca="1">IFERROR(__xludf.DUMMYFUNCTION("""COMPUTED_VALUE"""),44916.6458333333)</f>
        <v>44916.645833333299</v>
      </c>
      <c r="B369" s="1">
        <f ca="1">IFERROR(__xludf.DUMMYFUNCTION("""COMPUTED_VALUE"""),892.25)</f>
        <v>892.25</v>
      </c>
      <c r="C369" s="3">
        <f t="shared" ca="1" si="10"/>
        <v>-1.9182147960866269E-2</v>
      </c>
      <c r="D369">
        <f t="shared" ca="1" si="9"/>
        <v>912.55408163265304</v>
      </c>
    </row>
    <row r="370" spans="1:4" x14ac:dyDescent="0.25">
      <c r="A370" s="2">
        <f ca="1">IFERROR(__xludf.DUMMYFUNCTION("""COMPUTED_VALUE"""),44917.6458333333)</f>
        <v>44917.645833333299</v>
      </c>
      <c r="B370" s="1">
        <f ca="1">IFERROR(__xludf.DUMMYFUNCTION("""COMPUTED_VALUE"""),890.65)</f>
        <v>890.65</v>
      </c>
      <c r="C370" s="3">
        <f t="shared" ca="1" si="10"/>
        <v>-1.793219389184671E-3</v>
      </c>
      <c r="D370">
        <f t="shared" ca="1" si="9"/>
        <v>912.76836734693882</v>
      </c>
    </row>
    <row r="371" spans="1:4" x14ac:dyDescent="0.25">
      <c r="A371" s="2">
        <f ca="1">IFERROR(__xludf.DUMMYFUNCTION("""COMPUTED_VALUE"""),44918.6458333333)</f>
        <v>44918.645833333299</v>
      </c>
      <c r="B371" s="1">
        <f ca="1">IFERROR(__xludf.DUMMYFUNCTION("""COMPUTED_VALUE"""),878.9)</f>
        <v>878.9</v>
      </c>
      <c r="C371" s="3">
        <f t="shared" ca="1" si="10"/>
        <v>-1.3192612137203167E-2</v>
      </c>
      <c r="D371">
        <f t="shared" ca="1" si="9"/>
        <v>913.17755102040826</v>
      </c>
    </row>
    <row r="372" spans="1:4" x14ac:dyDescent="0.25">
      <c r="A372" s="2">
        <f ca="1">IFERROR(__xludf.DUMMYFUNCTION("""COMPUTED_VALUE"""),44921.6458333333)</f>
        <v>44921.645833333299</v>
      </c>
      <c r="B372" s="1">
        <f ca="1">IFERROR(__xludf.DUMMYFUNCTION("""COMPUTED_VALUE"""),893.2)</f>
        <v>893.2</v>
      </c>
      <c r="C372" s="3">
        <f t="shared" ca="1" si="10"/>
        <v>1.627033792240308E-2</v>
      </c>
      <c r="D372">
        <f t="shared" ref="D372:D435" ca="1" si="11">AVERAGE(B323:B371)</f>
        <v>913.39285714285734</v>
      </c>
    </row>
    <row r="373" spans="1:4" x14ac:dyDescent="0.25">
      <c r="A373" s="2">
        <f ca="1">IFERROR(__xludf.DUMMYFUNCTION("""COMPUTED_VALUE"""),44922.6458333333)</f>
        <v>44922.645833333299</v>
      </c>
      <c r="B373" s="1">
        <f ca="1">IFERROR(__xludf.DUMMYFUNCTION("""COMPUTED_VALUE"""),900.65)</f>
        <v>900.65</v>
      </c>
      <c r="C373" s="3">
        <f t="shared" ca="1" si="10"/>
        <v>8.3407971339005058E-3</v>
      </c>
      <c r="D373">
        <f t="shared" ca="1" si="11"/>
        <v>914.20102040816323</v>
      </c>
    </row>
    <row r="374" spans="1:4" x14ac:dyDescent="0.25">
      <c r="A374" s="2">
        <f ca="1">IFERROR(__xludf.DUMMYFUNCTION("""COMPUTED_VALUE"""),44923.6458333333)</f>
        <v>44923.645833333299</v>
      </c>
      <c r="B374" s="1">
        <f ca="1">IFERROR(__xludf.DUMMYFUNCTION("""COMPUTED_VALUE"""),898.95)</f>
        <v>898.95</v>
      </c>
      <c r="C374" s="3">
        <f t="shared" ca="1" si="10"/>
        <v>-1.8875256759006626E-3</v>
      </c>
      <c r="D374">
        <f t="shared" ca="1" si="11"/>
        <v>914.82142857142856</v>
      </c>
    </row>
    <row r="375" spans="1:4" x14ac:dyDescent="0.25">
      <c r="A375" s="2">
        <f ca="1">IFERROR(__xludf.DUMMYFUNCTION("""COMPUTED_VALUE"""),44924.6458333333)</f>
        <v>44924.645833333299</v>
      </c>
      <c r="B375" s="1">
        <f ca="1">IFERROR(__xludf.DUMMYFUNCTION("""COMPUTED_VALUE"""),908.05)</f>
        <v>908.05</v>
      </c>
      <c r="C375" s="3">
        <f t="shared" ca="1" si="10"/>
        <v>1.0122921185827808E-2</v>
      </c>
      <c r="D375">
        <f t="shared" ca="1" si="11"/>
        <v>915.10204081632651</v>
      </c>
    </row>
    <row r="376" spans="1:4" x14ac:dyDescent="0.25">
      <c r="A376" s="2">
        <f ca="1">IFERROR(__xludf.DUMMYFUNCTION("""COMPUTED_VALUE"""),44925.6458333333)</f>
        <v>44925.645833333299</v>
      </c>
      <c r="B376" s="1">
        <f ca="1">IFERROR(__xludf.DUMMYFUNCTION("""COMPUTED_VALUE"""),890.85)</f>
        <v>890.85</v>
      </c>
      <c r="C376" s="3">
        <f t="shared" ca="1" si="10"/>
        <v>-1.8941688233026742E-2</v>
      </c>
      <c r="D376">
        <f t="shared" ca="1" si="11"/>
        <v>915.32959183673472</v>
      </c>
    </row>
    <row r="377" spans="1:4" x14ac:dyDescent="0.25">
      <c r="A377" s="2">
        <f ca="1">IFERROR(__xludf.DUMMYFUNCTION("""COMPUTED_VALUE"""),44928.6458333333)</f>
        <v>44928.645833333299</v>
      </c>
      <c r="B377" s="1">
        <f ca="1">IFERROR(__xludf.DUMMYFUNCTION("""COMPUTED_VALUE"""),902.45)</f>
        <v>902.45</v>
      </c>
      <c r="C377" s="3">
        <f t="shared" ca="1" si="10"/>
        <v>1.3021271819049248E-2</v>
      </c>
      <c r="D377">
        <f t="shared" ca="1" si="11"/>
        <v>915.30408163265304</v>
      </c>
    </row>
    <row r="378" spans="1:4" x14ac:dyDescent="0.25">
      <c r="A378" s="2">
        <f ca="1">IFERROR(__xludf.DUMMYFUNCTION("""COMPUTED_VALUE"""),44929.6458333333)</f>
        <v>44929.645833333299</v>
      </c>
      <c r="B378" s="1">
        <f ca="1">IFERROR(__xludf.DUMMYFUNCTION("""COMPUTED_VALUE"""),901.35)</f>
        <v>901.35</v>
      </c>
      <c r="C378" s="3">
        <f t="shared" ca="1" si="10"/>
        <v>-1.2189040944096878E-3</v>
      </c>
      <c r="D378">
        <f t="shared" ca="1" si="11"/>
        <v>915.58571428571418</v>
      </c>
    </row>
    <row r="379" spans="1:4" x14ac:dyDescent="0.25">
      <c r="A379" s="2">
        <f ca="1">IFERROR(__xludf.DUMMYFUNCTION("""COMPUTED_VALUE"""),44930.6458333333)</f>
        <v>44930.645833333299</v>
      </c>
      <c r="B379" s="1">
        <f ca="1">IFERROR(__xludf.DUMMYFUNCTION("""COMPUTED_VALUE"""),899.1)</f>
        <v>899.1</v>
      </c>
      <c r="C379" s="3">
        <f t="shared" ca="1" si="10"/>
        <v>-2.496255616575137E-3</v>
      </c>
      <c r="D379">
        <f t="shared" ca="1" si="11"/>
        <v>915.46734693877556</v>
      </c>
    </row>
    <row r="380" spans="1:4" x14ac:dyDescent="0.25">
      <c r="A380" s="2">
        <f ca="1">IFERROR(__xludf.DUMMYFUNCTION("""COMPUTED_VALUE"""),44931.6458333333)</f>
        <v>44931.645833333299</v>
      </c>
      <c r="B380" s="1">
        <f ca="1">IFERROR(__xludf.DUMMYFUNCTION("""COMPUTED_VALUE"""),879.15)</f>
        <v>879.15</v>
      </c>
      <c r="C380" s="3">
        <f t="shared" ca="1" si="10"/>
        <v>-2.2188855522188907E-2</v>
      </c>
      <c r="D380">
        <f t="shared" ca="1" si="11"/>
        <v>914.9377551020408</v>
      </c>
    </row>
    <row r="381" spans="1:4" x14ac:dyDescent="0.25">
      <c r="A381" s="2">
        <f ca="1">IFERROR(__xludf.DUMMYFUNCTION("""COMPUTED_VALUE"""),44932.6458333333)</f>
        <v>44932.645833333299</v>
      </c>
      <c r="B381" s="1">
        <f ca="1">IFERROR(__xludf.DUMMYFUNCTION("""COMPUTED_VALUE"""),870.1)</f>
        <v>870.1</v>
      </c>
      <c r="C381" s="3">
        <f t="shared" ca="1" si="10"/>
        <v>-1.0294034010123363E-2</v>
      </c>
      <c r="D381">
        <f t="shared" ca="1" si="11"/>
        <v>914.01428571428562</v>
      </c>
    </row>
    <row r="382" spans="1:4" x14ac:dyDescent="0.25">
      <c r="A382" s="2">
        <f ca="1">IFERROR(__xludf.DUMMYFUNCTION("""COMPUTED_VALUE"""),44935.6458333333)</f>
        <v>44935.645833333299</v>
      </c>
      <c r="B382" s="1">
        <f ca="1">IFERROR(__xludf.DUMMYFUNCTION("""COMPUTED_VALUE"""),873.35)</f>
        <v>873.35</v>
      </c>
      <c r="C382" s="3">
        <f t="shared" ca="1" si="10"/>
        <v>3.735202850247098E-3</v>
      </c>
      <c r="D382">
        <f t="shared" ca="1" si="11"/>
        <v>913.24387755102032</v>
      </c>
    </row>
    <row r="383" spans="1:4" x14ac:dyDescent="0.25">
      <c r="A383" s="2">
        <f ca="1">IFERROR(__xludf.DUMMYFUNCTION("""COMPUTED_VALUE"""),44936.6458333333)</f>
        <v>44936.645833333299</v>
      </c>
      <c r="B383" s="1">
        <f ca="1">IFERROR(__xludf.DUMMYFUNCTION("""COMPUTED_VALUE"""),861.35)</f>
        <v>861.35</v>
      </c>
      <c r="C383" s="3">
        <f t="shared" ca="1" si="10"/>
        <v>-1.3740195797790119E-2</v>
      </c>
      <c r="D383">
        <f t="shared" ca="1" si="11"/>
        <v>912.52244897959179</v>
      </c>
    </row>
    <row r="384" spans="1:4" x14ac:dyDescent="0.25">
      <c r="A384" s="2">
        <f ca="1">IFERROR(__xludf.DUMMYFUNCTION("""COMPUTED_VALUE"""),44937.6458333333)</f>
        <v>44937.645833333299</v>
      </c>
      <c r="B384" s="1">
        <f ca="1">IFERROR(__xludf.DUMMYFUNCTION("""COMPUTED_VALUE"""),866.3)</f>
        <v>866.3</v>
      </c>
      <c r="C384" s="3">
        <f t="shared" ca="1" si="10"/>
        <v>5.7467928252161512E-3</v>
      </c>
      <c r="D384">
        <f t="shared" ca="1" si="11"/>
        <v>911.55816326530612</v>
      </c>
    </row>
    <row r="385" spans="1:4" x14ac:dyDescent="0.25">
      <c r="A385" s="2">
        <f ca="1">IFERROR(__xludf.DUMMYFUNCTION("""COMPUTED_VALUE"""),44938.6458333333)</f>
        <v>44938.645833333299</v>
      </c>
      <c r="B385" s="1">
        <f ca="1">IFERROR(__xludf.DUMMYFUNCTION("""COMPUTED_VALUE"""),860.65)</f>
        <v>860.65</v>
      </c>
      <c r="C385" s="3">
        <f t="shared" ca="1" si="10"/>
        <v>-6.521990072723049E-3</v>
      </c>
      <c r="D385">
        <f t="shared" ca="1" si="11"/>
        <v>910.77448979591827</v>
      </c>
    </row>
    <row r="386" spans="1:4" x14ac:dyDescent="0.25">
      <c r="A386" s="2">
        <f ca="1">IFERROR(__xludf.DUMMYFUNCTION("""COMPUTED_VALUE"""),44939.6458333333)</f>
        <v>44939.645833333299</v>
      </c>
      <c r="B386" s="1">
        <f ca="1">IFERROR(__xludf.DUMMYFUNCTION("""COMPUTED_VALUE"""),873.45)</f>
        <v>873.45</v>
      </c>
      <c r="C386" s="3">
        <f t="shared" ca="1" si="10"/>
        <v>1.487248010224838E-2</v>
      </c>
      <c r="D386">
        <f t="shared" ca="1" si="11"/>
        <v>909.7948979591838</v>
      </c>
    </row>
    <row r="387" spans="1:4" x14ac:dyDescent="0.25">
      <c r="A387" s="2">
        <f ca="1">IFERROR(__xludf.DUMMYFUNCTION("""COMPUTED_VALUE"""),44942.6458333333)</f>
        <v>44942.645833333299</v>
      </c>
      <c r="B387" s="1">
        <f ca="1">IFERROR(__xludf.DUMMYFUNCTION("""COMPUTED_VALUE"""),865.25)</f>
        <v>865.25</v>
      </c>
      <c r="C387" s="3">
        <f t="shared" ca="1" si="10"/>
        <v>-9.3880588471006304E-3</v>
      </c>
      <c r="D387">
        <f t="shared" ca="1" si="11"/>
        <v>909.1448979591836</v>
      </c>
    </row>
    <row r="388" spans="1:4" x14ac:dyDescent="0.25">
      <c r="A388" s="2">
        <f ca="1">IFERROR(__xludf.DUMMYFUNCTION("""COMPUTED_VALUE"""),44943.6458333333)</f>
        <v>44943.645833333299</v>
      </c>
      <c r="B388" s="1">
        <f ca="1">IFERROR(__xludf.DUMMYFUNCTION("""COMPUTED_VALUE"""),865.15)</f>
        <v>865.15</v>
      </c>
      <c r="C388" s="3">
        <f t="shared" ref="C388:C451" ca="1" si="12">(B388-B387)/B387</f>
        <v>-1.1557353366081796E-4</v>
      </c>
      <c r="D388">
        <f t="shared" ca="1" si="11"/>
        <v>908.07857142857154</v>
      </c>
    </row>
    <row r="389" spans="1:4" x14ac:dyDescent="0.25">
      <c r="A389" s="2">
        <f ca="1">IFERROR(__xludf.DUMMYFUNCTION("""COMPUTED_VALUE"""),44944.6458333333)</f>
        <v>44944.645833333299</v>
      </c>
      <c r="B389" s="1">
        <f ca="1">IFERROR(__xludf.DUMMYFUNCTION("""COMPUTED_VALUE"""),869.5)</f>
        <v>869.5</v>
      </c>
      <c r="C389" s="3">
        <f t="shared" ca="1" si="12"/>
        <v>5.0280298214182778E-3</v>
      </c>
      <c r="D389">
        <f t="shared" ca="1" si="11"/>
        <v>907.15306122448999</v>
      </c>
    </row>
    <row r="390" spans="1:4" x14ac:dyDescent="0.25">
      <c r="A390" s="2">
        <f ca="1">IFERROR(__xludf.DUMMYFUNCTION("""COMPUTED_VALUE"""),44945.6458333333)</f>
        <v>44945.645833333299</v>
      </c>
      <c r="B390" s="1">
        <f ca="1">IFERROR(__xludf.DUMMYFUNCTION("""COMPUTED_VALUE"""),866.15)</f>
        <v>866.15</v>
      </c>
      <c r="C390" s="3">
        <f t="shared" ca="1" si="12"/>
        <v>-3.8527889591719639E-3</v>
      </c>
      <c r="D390">
        <f t="shared" ca="1" si="11"/>
        <v>906.3122448979592</v>
      </c>
    </row>
    <row r="391" spans="1:4" x14ac:dyDescent="0.25">
      <c r="A391" s="2">
        <f ca="1">IFERROR(__xludf.DUMMYFUNCTION("""COMPUTED_VALUE"""),44946.6458333333)</f>
        <v>44946.645833333299</v>
      </c>
      <c r="B391" s="1">
        <f ca="1">IFERROR(__xludf.DUMMYFUNCTION("""COMPUTED_VALUE"""),870.35)</f>
        <v>870.35</v>
      </c>
      <c r="C391" s="3">
        <f t="shared" ca="1" si="12"/>
        <v>4.8490446227559261E-3</v>
      </c>
      <c r="D391">
        <f t="shared" ca="1" si="11"/>
        <v>905.48775510204086</v>
      </c>
    </row>
    <row r="392" spans="1:4" x14ac:dyDescent="0.25">
      <c r="A392" s="2">
        <f ca="1">IFERROR(__xludf.DUMMYFUNCTION("""COMPUTED_VALUE"""),44949.6458333333)</f>
        <v>44949.645833333299</v>
      </c>
      <c r="B392" s="1">
        <f ca="1">IFERROR(__xludf.DUMMYFUNCTION("""COMPUTED_VALUE"""),871.7)</f>
        <v>871.7</v>
      </c>
      <c r="C392" s="3">
        <f t="shared" ca="1" si="12"/>
        <v>1.551100132130778E-3</v>
      </c>
      <c r="D392">
        <f t="shared" ca="1" si="11"/>
        <v>904.98571428571438</v>
      </c>
    </row>
    <row r="393" spans="1:4" x14ac:dyDescent="0.25">
      <c r="A393" s="2">
        <f ca="1">IFERROR(__xludf.DUMMYFUNCTION("""COMPUTED_VALUE"""),44950.6458333333)</f>
        <v>44950.645833333299</v>
      </c>
      <c r="B393" s="1">
        <f ca="1">IFERROR(__xludf.DUMMYFUNCTION("""COMPUTED_VALUE"""),870.75)</f>
        <v>870.75</v>
      </c>
      <c r="C393" s="3">
        <f t="shared" ca="1" si="12"/>
        <v>-1.0898244808994441E-3</v>
      </c>
      <c r="D393">
        <f t="shared" ca="1" si="11"/>
        <v>904.16938775510209</v>
      </c>
    </row>
    <row r="394" spans="1:4" x14ac:dyDescent="0.25">
      <c r="A394" s="2">
        <f ca="1">IFERROR(__xludf.DUMMYFUNCTION("""COMPUTED_VALUE"""),44951.6458333333)</f>
        <v>44951.645833333299</v>
      </c>
      <c r="B394" s="1">
        <f ca="1">IFERROR(__xludf.DUMMYFUNCTION("""COMPUTED_VALUE"""),855.3)</f>
        <v>855.3</v>
      </c>
      <c r="C394" s="3">
        <f t="shared" ca="1" si="12"/>
        <v>-1.7743324720068957E-2</v>
      </c>
      <c r="D394">
        <f t="shared" ca="1" si="11"/>
        <v>903.29489795918357</v>
      </c>
    </row>
    <row r="395" spans="1:4" x14ac:dyDescent="0.25">
      <c r="A395" s="2">
        <f ca="1">IFERROR(__xludf.DUMMYFUNCTION("""COMPUTED_VALUE"""),44953.6458333333)</f>
        <v>44953.645833333299</v>
      </c>
      <c r="B395" s="1">
        <f ca="1">IFERROR(__xludf.DUMMYFUNCTION("""COMPUTED_VALUE"""),817.2)</f>
        <v>817.2</v>
      </c>
      <c r="C395" s="3">
        <f t="shared" ca="1" si="12"/>
        <v>-4.4545773412837497E-2</v>
      </c>
      <c r="D395">
        <f t="shared" ca="1" si="11"/>
        <v>901.97857142857151</v>
      </c>
    </row>
    <row r="396" spans="1:4" x14ac:dyDescent="0.25">
      <c r="A396" s="2">
        <f ca="1">IFERROR(__xludf.DUMMYFUNCTION("""COMPUTED_VALUE"""),44956.6458333333)</f>
        <v>44956.645833333299</v>
      </c>
      <c r="B396" s="1">
        <f ca="1">IFERROR(__xludf.DUMMYFUNCTION("""COMPUTED_VALUE"""),823.5)</f>
        <v>823.5</v>
      </c>
      <c r="C396" s="3">
        <f t="shared" ca="1" si="12"/>
        <v>7.7092511013215296E-3</v>
      </c>
      <c r="D396">
        <f t="shared" ca="1" si="11"/>
        <v>899.87346938775511</v>
      </c>
    </row>
    <row r="397" spans="1:4" x14ac:dyDescent="0.25">
      <c r="A397" s="2">
        <f ca="1">IFERROR(__xludf.DUMMYFUNCTION("""COMPUTED_VALUE"""),44957.6458333333)</f>
        <v>44957.645833333299</v>
      </c>
      <c r="B397" s="1">
        <f ca="1">IFERROR(__xludf.DUMMYFUNCTION("""COMPUTED_VALUE"""),831.9)</f>
        <v>831.9</v>
      </c>
      <c r="C397" s="3">
        <f t="shared" ca="1" si="12"/>
        <v>1.0200364298724927E-2</v>
      </c>
      <c r="D397">
        <f t="shared" ca="1" si="11"/>
        <v>897.87551020408171</v>
      </c>
    </row>
    <row r="398" spans="1:4" x14ac:dyDescent="0.25">
      <c r="A398" s="2">
        <f ca="1">IFERROR(__xludf.DUMMYFUNCTION("""COMPUTED_VALUE"""),44958.6458333333)</f>
        <v>44958.645833333299</v>
      </c>
      <c r="B398" s="1">
        <f ca="1">IFERROR(__xludf.DUMMYFUNCTION("""COMPUTED_VALUE"""),847.95)</f>
        <v>847.95</v>
      </c>
      <c r="C398" s="3">
        <f t="shared" ca="1" si="12"/>
        <v>1.9293184276956449E-2</v>
      </c>
      <c r="D398">
        <f t="shared" ca="1" si="11"/>
        <v>896.00204081632637</v>
      </c>
    </row>
    <row r="399" spans="1:4" x14ac:dyDescent="0.25">
      <c r="A399" s="2">
        <f ca="1">IFERROR(__xludf.DUMMYFUNCTION("""COMPUTED_VALUE"""),44959.6458333333)</f>
        <v>44959.645833333299</v>
      </c>
      <c r="B399" s="1">
        <f ca="1">IFERROR(__xludf.DUMMYFUNCTION("""COMPUTED_VALUE"""),857.9)</f>
        <v>857.9</v>
      </c>
      <c r="C399" s="3">
        <f t="shared" ca="1" si="12"/>
        <v>1.1734182440002277E-2</v>
      </c>
      <c r="D399">
        <f t="shared" ca="1" si="11"/>
        <v>894.37959183673456</v>
      </c>
    </row>
    <row r="400" spans="1:4" x14ac:dyDescent="0.25">
      <c r="A400" s="2">
        <f ca="1">IFERROR(__xludf.DUMMYFUNCTION("""COMPUTED_VALUE"""),44960.6458333333)</f>
        <v>44960.645833333299</v>
      </c>
      <c r="B400" s="1">
        <f ca="1">IFERROR(__xludf.DUMMYFUNCTION("""COMPUTED_VALUE"""),863.8)</f>
        <v>863.8</v>
      </c>
      <c r="C400" s="3">
        <f t="shared" ca="1" si="12"/>
        <v>6.8772584217274479E-3</v>
      </c>
      <c r="D400">
        <f t="shared" ca="1" si="11"/>
        <v>892.72755102040821</v>
      </c>
    </row>
    <row r="401" spans="1:4" x14ac:dyDescent="0.25">
      <c r="A401" s="2">
        <f ca="1">IFERROR(__xludf.DUMMYFUNCTION("""COMPUTED_VALUE"""),44963.6458333333)</f>
        <v>44963.645833333299</v>
      </c>
      <c r="B401" s="1">
        <f ca="1">IFERROR(__xludf.DUMMYFUNCTION("""COMPUTED_VALUE"""),853.7)</f>
        <v>853.7</v>
      </c>
      <c r="C401" s="3">
        <f t="shared" ca="1" si="12"/>
        <v>-1.169252141699457E-2</v>
      </c>
      <c r="D401">
        <f t="shared" ca="1" si="11"/>
        <v>891.37040816326532</v>
      </c>
    </row>
    <row r="402" spans="1:4" x14ac:dyDescent="0.25">
      <c r="A402" s="2">
        <f ca="1">IFERROR(__xludf.DUMMYFUNCTION("""COMPUTED_VALUE"""),44964.6458333333)</f>
        <v>44964.645833333299</v>
      </c>
      <c r="B402" s="1">
        <f ca="1">IFERROR(__xludf.DUMMYFUNCTION("""COMPUTED_VALUE"""),852.75)</f>
        <v>852.75</v>
      </c>
      <c r="C402" s="3">
        <f t="shared" ca="1" si="12"/>
        <v>-1.1128030924212784E-3</v>
      </c>
      <c r="D402">
        <f t="shared" ca="1" si="11"/>
        <v>889.66224489795911</v>
      </c>
    </row>
    <row r="403" spans="1:4" x14ac:dyDescent="0.25">
      <c r="A403" s="2">
        <f ca="1">IFERROR(__xludf.DUMMYFUNCTION("""COMPUTED_VALUE"""),44965.6458333333)</f>
        <v>44965.645833333299</v>
      </c>
      <c r="B403" s="1">
        <f ca="1">IFERROR(__xludf.DUMMYFUNCTION("""COMPUTED_VALUE"""),859.1)</f>
        <v>859.1</v>
      </c>
      <c r="C403" s="3">
        <f t="shared" ca="1" si="12"/>
        <v>7.4464966285547026E-3</v>
      </c>
      <c r="D403">
        <f t="shared" ca="1" si="11"/>
        <v>887.74387755102032</v>
      </c>
    </row>
    <row r="404" spans="1:4" x14ac:dyDescent="0.25">
      <c r="A404" s="2">
        <f ca="1">IFERROR(__xludf.DUMMYFUNCTION("""COMPUTED_VALUE"""),44966.6458333333)</f>
        <v>44966.645833333299</v>
      </c>
      <c r="B404" s="1">
        <f ca="1">IFERROR(__xludf.DUMMYFUNCTION("""COMPUTED_VALUE"""),860.8)</f>
        <v>860.8</v>
      </c>
      <c r="C404" s="3">
        <f t="shared" ca="1" si="12"/>
        <v>1.9788150389942168E-3</v>
      </c>
      <c r="D404">
        <f t="shared" ca="1" si="11"/>
        <v>885.82959183673461</v>
      </c>
    </row>
    <row r="405" spans="1:4" x14ac:dyDescent="0.25">
      <c r="A405" s="2">
        <f ca="1">IFERROR(__xludf.DUMMYFUNCTION("""COMPUTED_VALUE"""),44967.6458333333)</f>
        <v>44967.645833333299</v>
      </c>
      <c r="B405" s="1">
        <f ca="1">IFERROR(__xludf.DUMMYFUNCTION("""COMPUTED_VALUE"""),853.85)</f>
        <v>853.85</v>
      </c>
      <c r="C405" s="3">
        <f t="shared" ca="1" si="12"/>
        <v>-8.0738847583642342E-3</v>
      </c>
      <c r="D405">
        <f t="shared" ca="1" si="11"/>
        <v>884.2091836734694</v>
      </c>
    </row>
    <row r="406" spans="1:4" x14ac:dyDescent="0.25">
      <c r="A406" s="2">
        <f ca="1">IFERROR(__xludf.DUMMYFUNCTION("""COMPUTED_VALUE"""),44970.6458333333)</f>
        <v>44970.645833333299</v>
      </c>
      <c r="B406" s="1">
        <f ca="1">IFERROR(__xludf.DUMMYFUNCTION("""COMPUTED_VALUE"""),850.65)</f>
        <v>850.65</v>
      </c>
      <c r="C406" s="3">
        <f t="shared" ca="1" si="12"/>
        <v>-3.7477308660772328E-3</v>
      </c>
      <c r="D406">
        <f t="shared" ca="1" si="11"/>
        <v>882.64285714285711</v>
      </c>
    </row>
    <row r="407" spans="1:4" x14ac:dyDescent="0.25">
      <c r="A407" s="2">
        <f ca="1">IFERROR(__xludf.DUMMYFUNCTION("""COMPUTED_VALUE"""),44971.6458333333)</f>
        <v>44971.645833333299</v>
      </c>
      <c r="B407" s="1">
        <f ca="1">IFERROR(__xludf.DUMMYFUNCTION("""COMPUTED_VALUE"""),865.3)</f>
        <v>865.3</v>
      </c>
      <c r="C407" s="3">
        <f t="shared" ca="1" si="12"/>
        <v>1.7222124257920388E-2</v>
      </c>
      <c r="D407">
        <f t="shared" ca="1" si="11"/>
        <v>880.94999999999993</v>
      </c>
    </row>
    <row r="408" spans="1:4" x14ac:dyDescent="0.25">
      <c r="A408" s="2">
        <f ca="1">IFERROR(__xludf.DUMMYFUNCTION("""COMPUTED_VALUE"""),44972.6458333333)</f>
        <v>44972.645833333299</v>
      </c>
      <c r="B408" s="1">
        <f ca="1">IFERROR(__xludf.DUMMYFUNCTION("""COMPUTED_VALUE"""),870.8)</f>
        <v>870.8</v>
      </c>
      <c r="C408" s="3">
        <f t="shared" ca="1" si="12"/>
        <v>6.3561770484225127E-3</v>
      </c>
      <c r="D408">
        <f t="shared" ca="1" si="11"/>
        <v>879.77959183673477</v>
      </c>
    </row>
    <row r="409" spans="1:4" x14ac:dyDescent="0.25">
      <c r="A409" s="2">
        <f ca="1">IFERROR(__xludf.DUMMYFUNCTION("""COMPUTED_VALUE"""),44973.6458333333)</f>
        <v>44973.645833333299</v>
      </c>
      <c r="B409" s="1">
        <f ca="1">IFERROR(__xludf.DUMMYFUNCTION("""COMPUTED_VALUE"""),869.45)</f>
        <v>869.45</v>
      </c>
      <c r="C409" s="3">
        <f t="shared" ca="1" si="12"/>
        <v>-1.5502985760219444E-3</v>
      </c>
      <c r="D409">
        <f t="shared" ca="1" si="11"/>
        <v>878.7316326530613</v>
      </c>
    </row>
    <row r="410" spans="1:4" x14ac:dyDescent="0.25">
      <c r="A410" s="2">
        <f ca="1">IFERROR(__xludf.DUMMYFUNCTION("""COMPUTED_VALUE"""),44974.6458333333)</f>
        <v>44974.645833333299</v>
      </c>
      <c r="B410" s="1">
        <f ca="1">IFERROR(__xludf.DUMMYFUNCTION("""COMPUTED_VALUE"""),862.65)</f>
        <v>862.65</v>
      </c>
      <c r="C410" s="3">
        <f t="shared" ca="1" si="12"/>
        <v>-7.821036287308146E-3</v>
      </c>
      <c r="D410">
        <f t="shared" ca="1" si="11"/>
        <v>877.45714285714303</v>
      </c>
    </row>
    <row r="411" spans="1:4" x14ac:dyDescent="0.25">
      <c r="A411" s="2">
        <f ca="1">IFERROR(__xludf.DUMMYFUNCTION("""COMPUTED_VALUE"""),44977.6458333333)</f>
        <v>44977.645833333299</v>
      </c>
      <c r="B411" s="1">
        <f ca="1">IFERROR(__xludf.DUMMYFUNCTION("""COMPUTED_VALUE"""),852.1)</f>
        <v>852.1</v>
      </c>
      <c r="C411" s="3">
        <f t="shared" ca="1" si="12"/>
        <v>-1.2229757143685105E-2</v>
      </c>
      <c r="D411">
        <f t="shared" ca="1" si="11"/>
        <v>876.08469387755122</v>
      </c>
    </row>
    <row r="412" spans="1:4" x14ac:dyDescent="0.25">
      <c r="A412" s="2">
        <f ca="1">IFERROR(__xludf.DUMMYFUNCTION("""COMPUTED_VALUE"""),44978.6458333333)</f>
        <v>44978.645833333299</v>
      </c>
      <c r="B412" s="1">
        <f ca="1">IFERROR(__xludf.DUMMYFUNCTION("""COMPUTED_VALUE"""),854.2)</f>
        <v>854.2</v>
      </c>
      <c r="C412" s="3">
        <f t="shared" ca="1" si="12"/>
        <v>2.4644994718929971E-3</v>
      </c>
      <c r="D412">
        <f t="shared" ca="1" si="11"/>
        <v>874.48877551020416</v>
      </c>
    </row>
    <row r="413" spans="1:4" x14ac:dyDescent="0.25">
      <c r="A413" s="2">
        <f ca="1">IFERROR(__xludf.DUMMYFUNCTION("""COMPUTED_VALUE"""),44979.6458333333)</f>
        <v>44979.645833333299</v>
      </c>
      <c r="B413" s="1">
        <f ca="1">IFERROR(__xludf.DUMMYFUNCTION("""COMPUTED_VALUE"""),839.25)</f>
        <v>839.25</v>
      </c>
      <c r="C413" s="3">
        <f t="shared" ca="1" si="12"/>
        <v>-1.7501756029033064E-2</v>
      </c>
      <c r="D413">
        <f t="shared" ca="1" si="11"/>
        <v>872.88163265306127</v>
      </c>
    </row>
    <row r="414" spans="1:4" x14ac:dyDescent="0.25">
      <c r="A414" s="2">
        <f ca="1">IFERROR(__xludf.DUMMYFUNCTION("""COMPUTED_VALUE"""),44980.6458333333)</f>
        <v>44980.645833333299</v>
      </c>
      <c r="B414" s="1">
        <f ca="1">IFERROR(__xludf.DUMMYFUNCTION("""COMPUTED_VALUE"""),839.75)</f>
        <v>839.75</v>
      </c>
      <c r="C414" s="3">
        <f t="shared" ca="1" si="12"/>
        <v>5.9577003276735179E-4</v>
      </c>
      <c r="D414">
        <f t="shared" ca="1" si="11"/>
        <v>871.19795918367356</v>
      </c>
    </row>
    <row r="415" spans="1:4" x14ac:dyDescent="0.25">
      <c r="A415" s="2">
        <f ca="1">IFERROR(__xludf.DUMMYFUNCTION("""COMPUTED_VALUE"""),44981.6458333333)</f>
        <v>44981.645833333299</v>
      </c>
      <c r="B415" s="1">
        <f ca="1">IFERROR(__xludf.DUMMYFUNCTION("""COMPUTED_VALUE"""),839.7)</f>
        <v>839.7</v>
      </c>
      <c r="C415" s="3">
        <f t="shared" ca="1" si="12"/>
        <v>-5.9541530217272429E-5</v>
      </c>
      <c r="D415">
        <f t="shared" ca="1" si="11"/>
        <v>869.78877551020446</v>
      </c>
    </row>
    <row r="416" spans="1:4" x14ac:dyDescent="0.25">
      <c r="A416" s="2">
        <f ca="1">IFERROR(__xludf.DUMMYFUNCTION("""COMPUTED_VALUE"""),44984.6458333333)</f>
        <v>44984.645833333299</v>
      </c>
      <c r="B416" s="1">
        <f ca="1">IFERROR(__xludf.DUMMYFUNCTION("""COMPUTED_VALUE"""),856.4)</f>
        <v>856.4</v>
      </c>
      <c r="C416" s="3">
        <f t="shared" ca="1" si="12"/>
        <v>1.9888055257830096E-2</v>
      </c>
      <c r="D416">
        <f t="shared" ca="1" si="11"/>
        <v>868.51734693877563</v>
      </c>
    </row>
    <row r="417" spans="1:4" x14ac:dyDescent="0.25">
      <c r="A417" s="2">
        <f ca="1">IFERROR(__xludf.DUMMYFUNCTION("""COMPUTED_VALUE"""),44985.6458333333)</f>
        <v>44985.645833333299</v>
      </c>
      <c r="B417" s="1">
        <f ca="1">IFERROR(__xludf.DUMMYFUNCTION("""COMPUTED_VALUE"""),854.85)</f>
        <v>854.85</v>
      </c>
      <c r="C417" s="3">
        <f t="shared" ca="1" si="12"/>
        <v>-1.8099019149929408E-3</v>
      </c>
      <c r="D417">
        <f t="shared" ca="1" si="11"/>
        <v>867.49591836734703</v>
      </c>
    </row>
    <row r="418" spans="1:4" x14ac:dyDescent="0.25">
      <c r="A418" s="2">
        <f ca="1">IFERROR(__xludf.DUMMYFUNCTION("""COMPUTED_VALUE"""),44986.6458333333)</f>
        <v>44986.645833333299</v>
      </c>
      <c r="B418" s="1">
        <f ca="1">IFERROR(__xludf.DUMMYFUNCTION("""COMPUTED_VALUE"""),856.3)</f>
        <v>856.3</v>
      </c>
      <c r="C418" s="3">
        <f t="shared" ca="1" si="12"/>
        <v>1.6962040123997563E-3</v>
      </c>
      <c r="D418">
        <f t="shared" ca="1" si="11"/>
        <v>866.37653061224489</v>
      </c>
    </row>
    <row r="419" spans="1:4" x14ac:dyDescent="0.25">
      <c r="A419" s="2">
        <f ca="1">IFERROR(__xludf.DUMMYFUNCTION("""COMPUTED_VALUE"""),44987.6458333333)</f>
        <v>44987.645833333299</v>
      </c>
      <c r="B419" s="1">
        <f ca="1">IFERROR(__xludf.DUMMYFUNCTION("""COMPUTED_VALUE"""),854)</f>
        <v>854</v>
      </c>
      <c r="C419" s="3">
        <f t="shared" ca="1" si="12"/>
        <v>-2.6859745416325524E-3</v>
      </c>
      <c r="D419">
        <f t="shared" ca="1" si="11"/>
        <v>865.64285714285711</v>
      </c>
    </row>
    <row r="420" spans="1:4" x14ac:dyDescent="0.25">
      <c r="A420" s="2">
        <f ca="1">IFERROR(__xludf.DUMMYFUNCTION("""COMPUTED_VALUE"""),44988.6458333333)</f>
        <v>44988.645833333299</v>
      </c>
      <c r="B420" s="1">
        <f ca="1">IFERROR(__xludf.DUMMYFUNCTION("""COMPUTED_VALUE"""),868.55)</f>
        <v>868.55</v>
      </c>
      <c r="C420" s="3">
        <f t="shared" ca="1" si="12"/>
        <v>1.7037470725995263E-2</v>
      </c>
      <c r="D420">
        <f t="shared" ca="1" si="11"/>
        <v>864.8948979591836</v>
      </c>
    </row>
    <row r="421" spans="1:4" x14ac:dyDescent="0.25">
      <c r="A421" s="2">
        <f ca="1">IFERROR(__xludf.DUMMYFUNCTION("""COMPUTED_VALUE"""),44991.6458333333)</f>
        <v>44991.645833333299</v>
      </c>
      <c r="B421" s="1">
        <f ca="1">IFERROR(__xludf.DUMMYFUNCTION("""COMPUTED_VALUE"""),867.75)</f>
        <v>867.75</v>
      </c>
      <c r="C421" s="3">
        <f t="shared" ca="1" si="12"/>
        <v>-9.2107535547746771E-4</v>
      </c>
      <c r="D421">
        <f t="shared" ca="1" si="11"/>
        <v>864.68367346938771</v>
      </c>
    </row>
    <row r="422" spans="1:4" x14ac:dyDescent="0.25">
      <c r="A422" s="2">
        <f ca="1">IFERROR(__xludf.DUMMYFUNCTION("""COMPUTED_VALUE"""),44993.6458333333)</f>
        <v>44993.645833333299</v>
      </c>
      <c r="B422" s="1">
        <f ca="1">IFERROR(__xludf.DUMMYFUNCTION("""COMPUTED_VALUE"""),872.1)</f>
        <v>872.1</v>
      </c>
      <c r="C422" s="3">
        <f t="shared" ca="1" si="12"/>
        <v>5.0129645635263878E-3</v>
      </c>
      <c r="D422">
        <f t="shared" ca="1" si="11"/>
        <v>864.1642857142856</v>
      </c>
    </row>
    <row r="423" spans="1:4" x14ac:dyDescent="0.25">
      <c r="A423" s="2">
        <f ca="1">IFERROR(__xludf.DUMMYFUNCTION("""COMPUTED_VALUE"""),44994.6458333333)</f>
        <v>44994.645833333299</v>
      </c>
      <c r="B423" s="1">
        <f ca="1">IFERROR(__xludf.DUMMYFUNCTION("""COMPUTED_VALUE"""),855.95)</f>
        <v>855.95</v>
      </c>
      <c r="C423" s="3">
        <f t="shared" ca="1" si="12"/>
        <v>-1.8518518518518493E-2</v>
      </c>
      <c r="D423">
        <f t="shared" ca="1" si="11"/>
        <v>863.58163265306121</v>
      </c>
    </row>
    <row r="424" spans="1:4" x14ac:dyDescent="0.25">
      <c r="A424" s="2">
        <f ca="1">IFERROR(__xludf.DUMMYFUNCTION("""COMPUTED_VALUE"""),44995.6458333333)</f>
        <v>44995.645833333299</v>
      </c>
      <c r="B424" s="1">
        <f ca="1">IFERROR(__xludf.DUMMYFUNCTION("""COMPUTED_VALUE"""),842.65)</f>
        <v>842.65</v>
      </c>
      <c r="C424" s="3">
        <f t="shared" ca="1" si="12"/>
        <v>-1.5538290788013397E-2</v>
      </c>
      <c r="D424">
        <f t="shared" ca="1" si="11"/>
        <v>862.70408163265301</v>
      </c>
    </row>
    <row r="425" spans="1:4" x14ac:dyDescent="0.25">
      <c r="A425" s="2">
        <f ca="1">IFERROR(__xludf.DUMMYFUNCTION("""COMPUTED_VALUE"""),44998.6458333333)</f>
        <v>44998.645833333299</v>
      </c>
      <c r="B425" s="1">
        <f ca="1">IFERROR(__xludf.DUMMYFUNCTION("""COMPUTED_VALUE"""),828.4)</f>
        <v>828.4</v>
      </c>
      <c r="C425" s="3">
        <f t="shared" ca="1" si="12"/>
        <v>-1.6910935738444193E-2</v>
      </c>
      <c r="D425">
        <f t="shared" ca="1" si="11"/>
        <v>861.36938775510214</v>
      </c>
    </row>
    <row r="426" spans="1:4" x14ac:dyDescent="0.25">
      <c r="A426" s="2">
        <f ca="1">IFERROR(__xludf.DUMMYFUNCTION("""COMPUTED_VALUE"""),44999.6458333333)</f>
        <v>44999.645833333299</v>
      </c>
      <c r="B426" s="1">
        <f ca="1">IFERROR(__xludf.DUMMYFUNCTION("""COMPUTED_VALUE"""),830.35)</f>
        <v>830.35</v>
      </c>
      <c r="C426" s="3">
        <f t="shared" ca="1" si="12"/>
        <v>2.3539352969580464E-3</v>
      </c>
      <c r="D426">
        <f t="shared" ca="1" si="11"/>
        <v>860.09489795918387</v>
      </c>
    </row>
    <row r="427" spans="1:4" x14ac:dyDescent="0.25">
      <c r="A427" s="2">
        <f ca="1">IFERROR(__xludf.DUMMYFUNCTION("""COMPUTED_VALUE"""),45000.6458333333)</f>
        <v>45000.645833333299</v>
      </c>
      <c r="B427" s="1">
        <f ca="1">IFERROR(__xludf.DUMMYFUNCTION("""COMPUTED_VALUE"""),825.9)</f>
        <v>825.9</v>
      </c>
      <c r="C427" s="3">
        <f t="shared" ca="1" si="12"/>
        <v>-5.3591858854700374E-3</v>
      </c>
      <c r="D427">
        <f t="shared" ca="1" si="11"/>
        <v>858.62346938775511</v>
      </c>
    </row>
    <row r="428" spans="1:4" x14ac:dyDescent="0.25">
      <c r="A428" s="2">
        <f ca="1">IFERROR(__xludf.DUMMYFUNCTION("""COMPUTED_VALUE"""),45001.6458333333)</f>
        <v>45001.645833333299</v>
      </c>
      <c r="B428" s="1">
        <f ca="1">IFERROR(__xludf.DUMMYFUNCTION("""COMPUTED_VALUE"""),823.9)</f>
        <v>823.9</v>
      </c>
      <c r="C428" s="3">
        <f t="shared" ca="1" si="12"/>
        <v>-2.42160067804819E-3</v>
      </c>
      <c r="D428">
        <f t="shared" ca="1" si="11"/>
        <v>857.08367346938792</v>
      </c>
    </row>
    <row r="429" spans="1:4" x14ac:dyDescent="0.25">
      <c r="A429" s="2">
        <f ca="1">IFERROR(__xludf.DUMMYFUNCTION("""COMPUTED_VALUE"""),45002.6458333333)</f>
        <v>45002.645833333299</v>
      </c>
      <c r="B429" s="1">
        <f ca="1">IFERROR(__xludf.DUMMYFUNCTION("""COMPUTED_VALUE"""),836.25)</f>
        <v>836.25</v>
      </c>
      <c r="C429" s="3">
        <f t="shared" ca="1" si="12"/>
        <v>1.4989683213982308E-2</v>
      </c>
      <c r="D429">
        <f t="shared" ca="1" si="11"/>
        <v>855.54897959183677</v>
      </c>
    </row>
    <row r="430" spans="1:4" x14ac:dyDescent="0.25">
      <c r="A430" s="2">
        <f ca="1">IFERROR(__xludf.DUMMYFUNCTION("""COMPUTED_VALUE"""),45005.6458333333)</f>
        <v>45005.645833333299</v>
      </c>
      <c r="B430" s="1">
        <f ca="1">IFERROR(__xludf.DUMMYFUNCTION("""COMPUTED_VALUE"""),836.45)</f>
        <v>836.45</v>
      </c>
      <c r="C430" s="3">
        <f t="shared" ca="1" si="12"/>
        <v>2.3916292974594377E-4</v>
      </c>
      <c r="D430">
        <f t="shared" ca="1" si="11"/>
        <v>854.67346938775506</v>
      </c>
    </row>
    <row r="431" spans="1:4" x14ac:dyDescent="0.25">
      <c r="A431" s="2">
        <f ca="1">IFERROR(__xludf.DUMMYFUNCTION("""COMPUTED_VALUE"""),45006.6458333333)</f>
        <v>45006.645833333299</v>
      </c>
      <c r="B431" s="1">
        <f ca="1">IFERROR(__xludf.DUMMYFUNCTION("""COMPUTED_VALUE"""),852.4)</f>
        <v>852.4</v>
      </c>
      <c r="C431" s="3">
        <f t="shared" ca="1" si="12"/>
        <v>1.9068683125111997E-2</v>
      </c>
      <c r="D431">
        <f t="shared" ca="1" si="11"/>
        <v>853.98673469387757</v>
      </c>
    </row>
    <row r="432" spans="1:4" x14ac:dyDescent="0.25">
      <c r="A432" s="2">
        <f ca="1">IFERROR(__xludf.DUMMYFUNCTION("""COMPUTED_VALUE"""),45007.6458333333)</f>
        <v>45007.645833333299</v>
      </c>
      <c r="B432" s="1">
        <f ca="1">IFERROR(__xludf.DUMMYFUNCTION("""COMPUTED_VALUE"""),860.2)</f>
        <v>860.2</v>
      </c>
      <c r="C432" s="3">
        <f t="shared" ca="1" si="12"/>
        <v>9.1506335053966083E-3</v>
      </c>
      <c r="D432">
        <f t="shared" ca="1" si="11"/>
        <v>853.55918367346931</v>
      </c>
    </row>
    <row r="433" spans="1:4" x14ac:dyDescent="0.25">
      <c r="A433" s="2">
        <f ca="1">IFERROR(__xludf.DUMMYFUNCTION("""COMPUTED_VALUE"""),45008.6458333333)</f>
        <v>45008.645833333299</v>
      </c>
      <c r="B433" s="1">
        <f ca="1">IFERROR(__xludf.DUMMYFUNCTION("""COMPUTED_VALUE"""),855.45)</f>
        <v>855.45</v>
      </c>
      <c r="C433" s="3">
        <f t="shared" ca="1" si="12"/>
        <v>-5.5219716345036038E-3</v>
      </c>
      <c r="D433">
        <f t="shared" ca="1" si="11"/>
        <v>853.53571428571411</v>
      </c>
    </row>
    <row r="434" spans="1:4" x14ac:dyDescent="0.25">
      <c r="A434" s="2">
        <f ca="1">IFERROR(__xludf.DUMMYFUNCTION("""COMPUTED_VALUE"""),45009.6458333333)</f>
        <v>45009.645833333299</v>
      </c>
      <c r="B434" s="1">
        <f ca="1">IFERROR(__xludf.DUMMYFUNCTION("""COMPUTED_VALUE"""),852.4)</f>
        <v>852.4</v>
      </c>
      <c r="C434" s="3">
        <f t="shared" ca="1" si="12"/>
        <v>-3.5653749488574059E-3</v>
      </c>
      <c r="D434">
        <f t="shared" ca="1" si="11"/>
        <v>853.31428571428557</v>
      </c>
    </row>
    <row r="435" spans="1:4" x14ac:dyDescent="0.25">
      <c r="A435" s="2">
        <f ca="1">IFERROR(__xludf.DUMMYFUNCTION("""COMPUTED_VALUE"""),45012.6458333333)</f>
        <v>45012.645833333299</v>
      </c>
      <c r="B435" s="1">
        <f ca="1">IFERROR(__xludf.DUMMYFUNCTION("""COMPUTED_VALUE"""),848.7)</f>
        <v>848.7</v>
      </c>
      <c r="C435" s="3">
        <f t="shared" ca="1" si="12"/>
        <v>-4.3406851243546832E-3</v>
      </c>
      <c r="D435">
        <f t="shared" ca="1" si="11"/>
        <v>853.14591836734678</v>
      </c>
    </row>
    <row r="436" spans="1:4" x14ac:dyDescent="0.25">
      <c r="A436" s="2">
        <f ca="1">IFERROR(__xludf.DUMMYFUNCTION("""COMPUTED_VALUE"""),45013.6458333333)</f>
        <v>45013.645833333299</v>
      </c>
      <c r="B436" s="1">
        <f ca="1">IFERROR(__xludf.DUMMYFUNCTION("""COMPUTED_VALUE"""),854.75)</f>
        <v>854.75</v>
      </c>
      <c r="C436" s="3">
        <f t="shared" ca="1" si="12"/>
        <v>7.1285495463649746E-3</v>
      </c>
      <c r="D436">
        <f t="shared" ref="D436:D499" ca="1" si="13">AVERAGE(B387:B435)</f>
        <v>852.64081632653051</v>
      </c>
    </row>
    <row r="437" spans="1:4" x14ac:dyDescent="0.25">
      <c r="A437" s="2">
        <f ca="1">IFERROR(__xludf.DUMMYFUNCTION("""COMPUTED_VALUE"""),45014.6458333333)</f>
        <v>45014.645833333299</v>
      </c>
      <c r="B437" s="1">
        <f ca="1">IFERROR(__xludf.DUMMYFUNCTION("""COMPUTED_VALUE"""),851)</f>
        <v>851</v>
      </c>
      <c r="C437" s="3">
        <f t="shared" ca="1" si="12"/>
        <v>-4.3872477332553379E-3</v>
      </c>
      <c r="D437">
        <f t="shared" ca="1" si="13"/>
        <v>852.42653061224473</v>
      </c>
    </row>
    <row r="438" spans="1:4" x14ac:dyDescent="0.25">
      <c r="A438" s="2">
        <f ca="1">IFERROR(__xludf.DUMMYFUNCTION("""COMPUTED_VALUE"""),45016.6458333333)</f>
        <v>45016.645833333299</v>
      </c>
      <c r="B438" s="1">
        <f ca="1">IFERROR(__xludf.DUMMYFUNCTION("""COMPUTED_VALUE"""),877.25)</f>
        <v>877.25</v>
      </c>
      <c r="C438" s="3">
        <f t="shared" ca="1" si="12"/>
        <v>3.0846063454759105E-2</v>
      </c>
      <c r="D438">
        <f t="shared" ca="1" si="13"/>
        <v>852.13775510204061</v>
      </c>
    </row>
    <row r="439" spans="1:4" x14ac:dyDescent="0.25">
      <c r="A439" s="2">
        <f ca="1">IFERROR(__xludf.DUMMYFUNCTION("""COMPUTED_VALUE"""),45019.6458333333)</f>
        <v>45019.645833333299</v>
      </c>
      <c r="B439" s="1">
        <f ca="1">IFERROR(__xludf.DUMMYFUNCTION("""COMPUTED_VALUE"""),883.8)</f>
        <v>883.8</v>
      </c>
      <c r="C439" s="3">
        <f t="shared" ca="1" si="12"/>
        <v>7.4665146765459725E-3</v>
      </c>
      <c r="D439">
        <f t="shared" ca="1" si="13"/>
        <v>852.29591836734676</v>
      </c>
    </row>
    <row r="440" spans="1:4" x14ac:dyDescent="0.25">
      <c r="A440" s="2">
        <f ca="1">IFERROR(__xludf.DUMMYFUNCTION("""COMPUTED_VALUE"""),45021.6458333333)</f>
        <v>45021.645833333299</v>
      </c>
      <c r="B440" s="1">
        <f ca="1">IFERROR(__xludf.DUMMYFUNCTION("""COMPUTED_VALUE"""),884.6)</f>
        <v>884.6</v>
      </c>
      <c r="C440" s="3">
        <f t="shared" ca="1" si="12"/>
        <v>9.0518216791136941E-4</v>
      </c>
      <c r="D440">
        <f t="shared" ca="1" si="13"/>
        <v>852.65612244897943</v>
      </c>
    </row>
    <row r="441" spans="1:4" x14ac:dyDescent="0.25">
      <c r="A441" s="2">
        <f ca="1">IFERROR(__xludf.DUMMYFUNCTION("""COMPUTED_VALUE"""),45022.6458333333)</f>
        <v>45022.645833333299</v>
      </c>
      <c r="B441" s="1">
        <f ca="1">IFERROR(__xludf.DUMMYFUNCTION("""COMPUTED_VALUE"""),875)</f>
        <v>875</v>
      </c>
      <c r="C441" s="3">
        <f t="shared" ca="1" si="12"/>
        <v>-1.0852362649785239E-2</v>
      </c>
      <c r="D441">
        <f t="shared" ca="1" si="13"/>
        <v>852.94693877551003</v>
      </c>
    </row>
    <row r="442" spans="1:4" x14ac:dyDescent="0.25">
      <c r="A442" s="2">
        <f ca="1">IFERROR(__xludf.DUMMYFUNCTION("""COMPUTED_VALUE"""),45026.6458333333)</f>
        <v>45026.645833333299</v>
      </c>
      <c r="B442" s="1">
        <f ca="1">IFERROR(__xludf.DUMMYFUNCTION("""COMPUTED_VALUE"""),868.45)</f>
        <v>868.45</v>
      </c>
      <c r="C442" s="3">
        <f t="shared" ca="1" si="12"/>
        <v>-7.4857142857142336E-3</v>
      </c>
      <c r="D442">
        <f t="shared" ca="1" si="13"/>
        <v>853.01428571428562</v>
      </c>
    </row>
    <row r="443" spans="1:4" x14ac:dyDescent="0.25">
      <c r="A443" s="2">
        <f ca="1">IFERROR(__xludf.DUMMYFUNCTION("""COMPUTED_VALUE"""),45027.6458333333)</f>
        <v>45027.645833333299</v>
      </c>
      <c r="B443" s="1">
        <f ca="1">IFERROR(__xludf.DUMMYFUNCTION("""COMPUTED_VALUE"""),881.9)</f>
        <v>881.9</v>
      </c>
      <c r="C443" s="3">
        <f t="shared" ca="1" si="12"/>
        <v>1.5487362542460626E-2</v>
      </c>
      <c r="D443">
        <f t="shared" ca="1" si="13"/>
        <v>852.96734693877556</v>
      </c>
    </row>
    <row r="444" spans="1:4" x14ac:dyDescent="0.25">
      <c r="A444" s="2">
        <f ca="1">IFERROR(__xludf.DUMMYFUNCTION("""COMPUTED_VALUE"""),45028.6458333333)</f>
        <v>45028.645833333299</v>
      </c>
      <c r="B444" s="1">
        <f ca="1">IFERROR(__xludf.DUMMYFUNCTION("""COMPUTED_VALUE"""),890.15)</f>
        <v>890.15</v>
      </c>
      <c r="C444" s="3">
        <f t="shared" ca="1" si="12"/>
        <v>9.3548021317609708E-3</v>
      </c>
      <c r="D444">
        <f t="shared" ca="1" si="13"/>
        <v>853.51020408163265</v>
      </c>
    </row>
    <row r="445" spans="1:4" x14ac:dyDescent="0.25">
      <c r="A445" s="2">
        <f ca="1">IFERROR(__xludf.DUMMYFUNCTION("""COMPUTED_VALUE"""),45029.6458333333)</f>
        <v>45029.645833333299</v>
      </c>
      <c r="B445" s="1">
        <f ca="1">IFERROR(__xludf.DUMMYFUNCTION("""COMPUTED_VALUE"""),899)</f>
        <v>899</v>
      </c>
      <c r="C445" s="3">
        <f t="shared" ca="1" si="12"/>
        <v>9.9421445823737829E-3</v>
      </c>
      <c r="D445">
        <f t="shared" ca="1" si="13"/>
        <v>854.99897959183681</v>
      </c>
    </row>
    <row r="446" spans="1:4" x14ac:dyDescent="0.25">
      <c r="A446" s="2">
        <f ca="1">IFERROR(__xludf.DUMMYFUNCTION("""COMPUTED_VALUE"""),45033.6458333333)</f>
        <v>45033.645833333299</v>
      </c>
      <c r="B446" s="1">
        <f ca="1">IFERROR(__xludf.DUMMYFUNCTION("""COMPUTED_VALUE"""),901.3)</f>
        <v>901.3</v>
      </c>
      <c r="C446" s="3">
        <f t="shared" ca="1" si="12"/>
        <v>2.5583982202446657E-3</v>
      </c>
      <c r="D446">
        <f t="shared" ca="1" si="13"/>
        <v>856.53979591836753</v>
      </c>
    </row>
    <row r="447" spans="1:4" x14ac:dyDescent="0.25">
      <c r="A447" s="2">
        <f ca="1">IFERROR(__xludf.DUMMYFUNCTION("""COMPUTED_VALUE"""),45034.6458333333)</f>
        <v>45034.645833333299</v>
      </c>
      <c r="B447" s="1">
        <f ca="1">IFERROR(__xludf.DUMMYFUNCTION("""COMPUTED_VALUE"""),896.85)</f>
        <v>896.85</v>
      </c>
      <c r="C447" s="3">
        <f t="shared" ca="1" si="12"/>
        <v>-4.9373127704426187E-3</v>
      </c>
      <c r="D447">
        <f t="shared" ca="1" si="13"/>
        <v>857.95612244897984</v>
      </c>
    </row>
    <row r="448" spans="1:4" x14ac:dyDescent="0.25">
      <c r="A448" s="2">
        <f ca="1">IFERROR(__xludf.DUMMYFUNCTION("""COMPUTED_VALUE"""),45035.6458333333)</f>
        <v>45035.645833333299</v>
      </c>
      <c r="B448" s="1">
        <f ca="1">IFERROR(__xludf.DUMMYFUNCTION("""COMPUTED_VALUE"""),891.9)</f>
        <v>891.9</v>
      </c>
      <c r="C448" s="3">
        <f t="shared" ca="1" si="12"/>
        <v>-5.5193176116407928E-3</v>
      </c>
      <c r="D448">
        <f t="shared" ca="1" si="13"/>
        <v>858.95408163265336</v>
      </c>
    </row>
    <row r="449" spans="1:4" x14ac:dyDescent="0.25">
      <c r="A449" s="2">
        <f ca="1">IFERROR(__xludf.DUMMYFUNCTION("""COMPUTED_VALUE"""),45036.6458333333)</f>
        <v>45036.645833333299</v>
      </c>
      <c r="B449" s="1">
        <f ca="1">IFERROR(__xludf.DUMMYFUNCTION("""COMPUTED_VALUE"""),894.4)</f>
        <v>894.4</v>
      </c>
      <c r="C449" s="3">
        <f t="shared" ca="1" si="12"/>
        <v>2.8030048211682927E-3</v>
      </c>
      <c r="D449">
        <f t="shared" ca="1" si="13"/>
        <v>859.64795918367372</v>
      </c>
    </row>
    <row r="450" spans="1:4" x14ac:dyDescent="0.25">
      <c r="A450" s="2">
        <f ca="1">IFERROR(__xludf.DUMMYFUNCTION("""COMPUTED_VALUE"""),45037.6458333333)</f>
        <v>45037.645833333299</v>
      </c>
      <c r="B450" s="1">
        <f ca="1">IFERROR(__xludf.DUMMYFUNCTION("""COMPUTED_VALUE"""),885.65)</f>
        <v>885.65</v>
      </c>
      <c r="C450" s="3">
        <f t="shared" ca="1" si="12"/>
        <v>-9.7830948121645795E-3</v>
      </c>
      <c r="D450">
        <f t="shared" ca="1" si="13"/>
        <v>860.27244897959213</v>
      </c>
    </row>
    <row r="451" spans="1:4" x14ac:dyDescent="0.25">
      <c r="A451" s="2">
        <f ca="1">IFERROR(__xludf.DUMMYFUNCTION("""COMPUTED_VALUE"""),45040.6458333333)</f>
        <v>45040.645833333299</v>
      </c>
      <c r="B451" s="1">
        <f ca="1">IFERROR(__xludf.DUMMYFUNCTION("""COMPUTED_VALUE"""),904.75)</f>
        <v>904.75</v>
      </c>
      <c r="C451" s="3">
        <f t="shared" ca="1" si="12"/>
        <v>2.156608140913456E-2</v>
      </c>
      <c r="D451">
        <f t="shared" ca="1" si="13"/>
        <v>860.92448979591859</v>
      </c>
    </row>
    <row r="452" spans="1:4" x14ac:dyDescent="0.25">
      <c r="A452" s="2">
        <f ca="1">IFERROR(__xludf.DUMMYFUNCTION("""COMPUTED_VALUE"""),45041.6458333333)</f>
        <v>45041.645833333299</v>
      </c>
      <c r="B452" s="1">
        <f ca="1">IFERROR(__xludf.DUMMYFUNCTION("""COMPUTED_VALUE"""),913.45)</f>
        <v>913.45</v>
      </c>
      <c r="C452" s="3">
        <f t="shared" ref="C452:C515" ca="1" si="14">(B452-B451)/B451</f>
        <v>9.6159159988947734E-3</v>
      </c>
      <c r="D452">
        <f t="shared" ca="1" si="13"/>
        <v>861.98571428571461</v>
      </c>
    </row>
    <row r="453" spans="1:4" x14ac:dyDescent="0.25">
      <c r="A453" s="2">
        <f ca="1">IFERROR(__xludf.DUMMYFUNCTION("""COMPUTED_VALUE"""),45042.6458333333)</f>
        <v>45042.645833333299</v>
      </c>
      <c r="B453" s="1">
        <f ca="1">IFERROR(__xludf.DUMMYFUNCTION("""COMPUTED_VALUE"""),914.95)</f>
        <v>914.95</v>
      </c>
      <c r="C453" s="3">
        <f t="shared" ca="1" si="14"/>
        <v>1.6421260058021784E-3</v>
      </c>
      <c r="D453">
        <f t="shared" ca="1" si="13"/>
        <v>863.09489795918387</v>
      </c>
    </row>
    <row r="454" spans="1:4" x14ac:dyDescent="0.25">
      <c r="A454" s="2">
        <f ca="1">IFERROR(__xludf.DUMMYFUNCTION("""COMPUTED_VALUE"""),45043.6458333333)</f>
        <v>45043.645833333299</v>
      </c>
      <c r="B454" s="1">
        <f ca="1">IFERROR(__xludf.DUMMYFUNCTION("""COMPUTED_VALUE"""),918.35)</f>
        <v>918.35</v>
      </c>
      <c r="C454" s="3">
        <f t="shared" ca="1" si="14"/>
        <v>3.7160500573801595E-3</v>
      </c>
      <c r="D454">
        <f t="shared" ca="1" si="13"/>
        <v>864.20000000000016</v>
      </c>
    </row>
    <row r="455" spans="1:4" x14ac:dyDescent="0.25">
      <c r="A455" s="2">
        <f ca="1">IFERROR(__xludf.DUMMYFUNCTION("""COMPUTED_VALUE"""),45044.6458333333)</f>
        <v>45044.645833333299</v>
      </c>
      <c r="B455" s="1">
        <f ca="1">IFERROR(__xludf.DUMMYFUNCTION("""COMPUTED_VALUE"""),917.65)</f>
        <v>917.65</v>
      </c>
      <c r="C455" s="3">
        <f t="shared" ca="1" si="14"/>
        <v>-7.6223662002509443E-4</v>
      </c>
      <c r="D455">
        <f t="shared" ca="1" si="13"/>
        <v>865.51632653061233</v>
      </c>
    </row>
    <row r="456" spans="1:4" x14ac:dyDescent="0.25">
      <c r="A456" s="2">
        <f ca="1">IFERROR(__xludf.DUMMYFUNCTION("""COMPUTED_VALUE"""),45048.6458333333)</f>
        <v>45048.645833333299</v>
      </c>
      <c r="B456" s="1">
        <f ca="1">IFERROR(__xludf.DUMMYFUNCTION("""COMPUTED_VALUE"""),922.1)</f>
        <v>922.1</v>
      </c>
      <c r="C456" s="3">
        <f t="shared" ca="1" si="14"/>
        <v>4.8493434315916148E-3</v>
      </c>
      <c r="D456">
        <f t="shared" ca="1" si="13"/>
        <v>866.88367346938799</v>
      </c>
    </row>
    <row r="457" spans="1:4" x14ac:dyDescent="0.25">
      <c r="A457" s="2">
        <f ca="1">IFERROR(__xludf.DUMMYFUNCTION("""COMPUTED_VALUE"""),45049.6458333333)</f>
        <v>45049.645833333299</v>
      </c>
      <c r="B457" s="1">
        <f ca="1">IFERROR(__xludf.DUMMYFUNCTION("""COMPUTED_VALUE"""),922.85)</f>
        <v>922.85</v>
      </c>
      <c r="C457" s="3">
        <f t="shared" ca="1" si="14"/>
        <v>8.1336080685392043E-4</v>
      </c>
      <c r="D457">
        <f t="shared" ca="1" si="13"/>
        <v>868.04285714285732</v>
      </c>
    </row>
    <row r="458" spans="1:4" x14ac:dyDescent="0.25">
      <c r="A458" s="2">
        <f ca="1">IFERROR(__xludf.DUMMYFUNCTION("""COMPUTED_VALUE"""),45050.6458333333)</f>
        <v>45050.645833333299</v>
      </c>
      <c r="B458" s="1">
        <f ca="1">IFERROR(__xludf.DUMMYFUNCTION("""COMPUTED_VALUE"""),921.7)</f>
        <v>921.7</v>
      </c>
      <c r="C458" s="3">
        <f t="shared" ca="1" si="14"/>
        <v>-1.2461396760036596E-3</v>
      </c>
      <c r="D458">
        <f t="shared" ca="1" si="13"/>
        <v>869.1051020408164</v>
      </c>
    </row>
    <row r="459" spans="1:4" x14ac:dyDescent="0.25">
      <c r="A459" s="2">
        <f ca="1">IFERROR(__xludf.DUMMYFUNCTION("""COMPUTED_VALUE"""),45051.6458333333)</f>
        <v>45051.645833333299</v>
      </c>
      <c r="B459" s="1">
        <f ca="1">IFERROR(__xludf.DUMMYFUNCTION("""COMPUTED_VALUE"""),926.95)</f>
        <v>926.95</v>
      </c>
      <c r="C459" s="3">
        <f t="shared" ca="1" si="14"/>
        <v>5.6959965281544967E-3</v>
      </c>
      <c r="D459">
        <f t="shared" ca="1" si="13"/>
        <v>870.17142857142846</v>
      </c>
    </row>
    <row r="460" spans="1:4" x14ac:dyDescent="0.25">
      <c r="A460" s="2">
        <f ca="1">IFERROR(__xludf.DUMMYFUNCTION("""COMPUTED_VALUE"""),45054.6458333333)</f>
        <v>45054.645833333299</v>
      </c>
      <c r="B460" s="1">
        <f ca="1">IFERROR(__xludf.DUMMYFUNCTION("""COMPUTED_VALUE"""),937.9)</f>
        <v>937.9</v>
      </c>
      <c r="C460" s="3">
        <f t="shared" ca="1" si="14"/>
        <v>1.1812934894007154E-2</v>
      </c>
      <c r="D460">
        <f t="shared" ca="1" si="13"/>
        <v>871.48367346938755</v>
      </c>
    </row>
    <row r="461" spans="1:4" x14ac:dyDescent="0.25">
      <c r="A461" s="2">
        <f ca="1">IFERROR(__xludf.DUMMYFUNCTION("""COMPUTED_VALUE"""),45055.6458333333)</f>
        <v>45055.645833333299</v>
      </c>
      <c r="B461" s="1">
        <f ca="1">IFERROR(__xludf.DUMMYFUNCTION("""COMPUTED_VALUE"""),934.4)</f>
        <v>934.4</v>
      </c>
      <c r="C461" s="3">
        <f t="shared" ca="1" si="14"/>
        <v>-3.7317411237871843E-3</v>
      </c>
      <c r="D461">
        <f t="shared" ca="1" si="13"/>
        <v>873.23469387755085</v>
      </c>
    </row>
    <row r="462" spans="1:4" x14ac:dyDescent="0.25">
      <c r="A462" s="2">
        <f ca="1">IFERROR(__xludf.DUMMYFUNCTION("""COMPUTED_VALUE"""),45056.6458333333)</f>
        <v>45056.645833333299</v>
      </c>
      <c r="B462" s="1">
        <f ca="1">IFERROR(__xludf.DUMMYFUNCTION("""COMPUTED_VALUE"""),936.05)</f>
        <v>936.05</v>
      </c>
      <c r="C462" s="3">
        <f t="shared" ca="1" si="14"/>
        <v>1.765839041095866E-3</v>
      </c>
      <c r="D462">
        <f t="shared" ca="1" si="13"/>
        <v>874.87142857142851</v>
      </c>
    </row>
    <row r="463" spans="1:4" x14ac:dyDescent="0.25">
      <c r="A463" s="2">
        <f ca="1">IFERROR(__xludf.DUMMYFUNCTION("""COMPUTED_VALUE"""),45057.6458333333)</f>
        <v>45057.645833333299</v>
      </c>
      <c r="B463" s="1">
        <f ca="1">IFERROR(__xludf.DUMMYFUNCTION("""COMPUTED_VALUE"""),939.2)</f>
        <v>939.2</v>
      </c>
      <c r="C463" s="3">
        <f t="shared" ca="1" si="14"/>
        <v>3.3652048501683577E-3</v>
      </c>
      <c r="D463">
        <f t="shared" ca="1" si="13"/>
        <v>876.84693877551024</v>
      </c>
    </row>
    <row r="464" spans="1:4" x14ac:dyDescent="0.25">
      <c r="A464" s="2">
        <f ca="1">IFERROR(__xludf.DUMMYFUNCTION("""COMPUTED_VALUE"""),45058.6458333333)</f>
        <v>45058.645833333299</v>
      </c>
      <c r="B464" s="1">
        <f ca="1">IFERROR(__xludf.DUMMYFUNCTION("""COMPUTED_VALUE"""),943.9)</f>
        <v>943.9</v>
      </c>
      <c r="C464" s="3">
        <f t="shared" ca="1" si="14"/>
        <v>5.0042589437818696E-3</v>
      </c>
      <c r="D464">
        <f t="shared" ca="1" si="13"/>
        <v>878.87653061224489</v>
      </c>
    </row>
    <row r="465" spans="1:4" x14ac:dyDescent="0.25">
      <c r="A465" s="2">
        <f ca="1">IFERROR(__xludf.DUMMYFUNCTION("""COMPUTED_VALUE"""),45061.6458333333)</f>
        <v>45061.645833333299</v>
      </c>
      <c r="B465" s="1">
        <f ca="1">IFERROR(__xludf.DUMMYFUNCTION("""COMPUTED_VALUE"""),945.75)</f>
        <v>945.75</v>
      </c>
      <c r="C465" s="3">
        <f t="shared" ca="1" si="14"/>
        <v>1.9599533848924915E-3</v>
      </c>
      <c r="D465">
        <f t="shared" ca="1" si="13"/>
        <v>881.00306122448978</v>
      </c>
    </row>
    <row r="466" spans="1:4" x14ac:dyDescent="0.25">
      <c r="A466" s="2">
        <f ca="1">IFERROR(__xludf.DUMMYFUNCTION("""COMPUTED_VALUE"""),45062.6458333333)</f>
        <v>45062.645833333299</v>
      </c>
      <c r="B466" s="1">
        <f ca="1">IFERROR(__xludf.DUMMYFUNCTION("""COMPUTED_VALUE"""),946.35)</f>
        <v>946.35</v>
      </c>
      <c r="C466" s="3">
        <f t="shared" ca="1" si="14"/>
        <v>6.3441712926251418E-4</v>
      </c>
      <c r="D466">
        <f t="shared" ca="1" si="13"/>
        <v>882.82653061224505</v>
      </c>
    </row>
    <row r="467" spans="1:4" x14ac:dyDescent="0.25">
      <c r="A467" s="2">
        <f ca="1">IFERROR(__xludf.DUMMYFUNCTION("""COMPUTED_VALUE"""),45063.6458333333)</f>
        <v>45063.645833333299</v>
      </c>
      <c r="B467" s="1">
        <f ca="1">IFERROR(__xludf.DUMMYFUNCTION("""COMPUTED_VALUE"""),939.35)</f>
        <v>939.35</v>
      </c>
      <c r="C467" s="3">
        <f t="shared" ca="1" si="14"/>
        <v>-7.3968404924182381E-3</v>
      </c>
      <c r="D467">
        <f t="shared" ca="1" si="13"/>
        <v>884.69387755102036</v>
      </c>
    </row>
    <row r="468" spans="1:4" x14ac:dyDescent="0.25">
      <c r="A468" s="2">
        <f ca="1">IFERROR(__xludf.DUMMYFUNCTION("""COMPUTED_VALUE"""),45064.6458333333)</f>
        <v>45064.645833333299</v>
      </c>
      <c r="B468" s="1">
        <f ca="1">IFERROR(__xludf.DUMMYFUNCTION("""COMPUTED_VALUE"""),946.5)</f>
        <v>946.5</v>
      </c>
      <c r="C468" s="3">
        <f t="shared" ca="1" si="14"/>
        <v>7.6116463512002734E-3</v>
      </c>
      <c r="D468">
        <f t="shared" ca="1" si="13"/>
        <v>886.38877551020414</v>
      </c>
    </row>
    <row r="469" spans="1:4" x14ac:dyDescent="0.25">
      <c r="A469" s="2">
        <f ca="1">IFERROR(__xludf.DUMMYFUNCTION("""COMPUTED_VALUE"""),45065.6458333333)</f>
        <v>45065.645833333299</v>
      </c>
      <c r="B469" s="1">
        <f ca="1">IFERROR(__xludf.DUMMYFUNCTION("""COMPUTED_VALUE"""),954.3)</f>
        <v>954.3</v>
      </c>
      <c r="C469" s="3">
        <f t="shared" ca="1" si="14"/>
        <v>8.2408874801901261E-3</v>
      </c>
      <c r="D469">
        <f t="shared" ca="1" si="13"/>
        <v>888.27653061224498</v>
      </c>
    </row>
    <row r="470" spans="1:4" x14ac:dyDescent="0.25">
      <c r="A470" s="2">
        <f ca="1">IFERROR(__xludf.DUMMYFUNCTION("""COMPUTED_VALUE"""),45068.6458333333)</f>
        <v>45068.645833333299</v>
      </c>
      <c r="B470" s="1">
        <f ca="1">IFERROR(__xludf.DUMMYFUNCTION("""COMPUTED_VALUE"""),950.35)</f>
        <v>950.35</v>
      </c>
      <c r="C470" s="3">
        <f t="shared" ca="1" si="14"/>
        <v>-4.1391595934191887E-3</v>
      </c>
      <c r="D470">
        <f t="shared" ca="1" si="13"/>
        <v>890.02653061224498</v>
      </c>
    </row>
    <row r="471" spans="1:4" x14ac:dyDescent="0.25">
      <c r="A471" s="2">
        <f ca="1">IFERROR(__xludf.DUMMYFUNCTION("""COMPUTED_VALUE"""),45069.6458333333)</f>
        <v>45069.645833333299</v>
      </c>
      <c r="B471" s="1">
        <f ca="1">IFERROR(__xludf.DUMMYFUNCTION("""COMPUTED_VALUE"""),953.4)</f>
        <v>953.4</v>
      </c>
      <c r="C471" s="3">
        <f t="shared" ca="1" si="14"/>
        <v>3.2093439259219809E-3</v>
      </c>
      <c r="D471">
        <f t="shared" ca="1" si="13"/>
        <v>891.71224489795941</v>
      </c>
    </row>
    <row r="472" spans="1:4" x14ac:dyDescent="0.25">
      <c r="A472" s="2">
        <f ca="1">IFERROR(__xludf.DUMMYFUNCTION("""COMPUTED_VALUE"""),45070.6458333333)</f>
        <v>45070.645833333299</v>
      </c>
      <c r="B472" s="1">
        <f ca="1">IFERROR(__xludf.DUMMYFUNCTION("""COMPUTED_VALUE"""),940.65)</f>
        <v>940.65</v>
      </c>
      <c r="C472" s="3">
        <f t="shared" ca="1" si="14"/>
        <v>-1.3373190685966017E-2</v>
      </c>
      <c r="D472">
        <f t="shared" ca="1" si="13"/>
        <v>893.37142857142862</v>
      </c>
    </row>
    <row r="473" spans="1:4" x14ac:dyDescent="0.25">
      <c r="A473" s="2">
        <f ca="1">IFERROR(__xludf.DUMMYFUNCTION("""COMPUTED_VALUE"""),45071.6458333333)</f>
        <v>45071.645833333299</v>
      </c>
      <c r="B473" s="1">
        <f ca="1">IFERROR(__xludf.DUMMYFUNCTION("""COMPUTED_VALUE"""),939.85)</f>
        <v>939.85</v>
      </c>
      <c r="C473" s="3">
        <f t="shared" ca="1" si="14"/>
        <v>-8.5047573486414139E-4</v>
      </c>
      <c r="D473">
        <f t="shared" ca="1" si="13"/>
        <v>895.10000000000014</v>
      </c>
    </row>
    <row r="474" spans="1:4" x14ac:dyDescent="0.25">
      <c r="A474" s="2">
        <f ca="1">IFERROR(__xludf.DUMMYFUNCTION("""COMPUTED_VALUE"""),45072.6458333333)</f>
        <v>45072.645833333299</v>
      </c>
      <c r="B474" s="1">
        <f ca="1">IFERROR(__xludf.DUMMYFUNCTION("""COMPUTED_VALUE"""),950.7)</f>
        <v>950.7</v>
      </c>
      <c r="C474" s="3">
        <f t="shared" ca="1" si="14"/>
        <v>1.1544395382241871E-2</v>
      </c>
      <c r="D474">
        <f t="shared" ca="1" si="13"/>
        <v>897.08367346938792</v>
      </c>
    </row>
    <row r="475" spans="1:4" x14ac:dyDescent="0.25">
      <c r="A475" s="2">
        <f ca="1">IFERROR(__xludf.DUMMYFUNCTION("""COMPUTED_VALUE"""),45075.6458333333)</f>
        <v>45075.645833333299</v>
      </c>
      <c r="B475" s="1">
        <f ca="1">IFERROR(__xludf.DUMMYFUNCTION("""COMPUTED_VALUE"""),948.15)</f>
        <v>948.15</v>
      </c>
      <c r="C475" s="3">
        <f t="shared" ca="1" si="14"/>
        <v>-2.6822341432629305E-3</v>
      </c>
      <c r="D475">
        <f t="shared" ca="1" si="13"/>
        <v>899.57959183673472</v>
      </c>
    </row>
    <row r="476" spans="1:4" x14ac:dyDescent="0.25">
      <c r="A476" s="2">
        <f ca="1">IFERROR(__xludf.DUMMYFUNCTION("""COMPUTED_VALUE"""),45076.6458333333)</f>
        <v>45076.645833333299</v>
      </c>
      <c r="B476" s="1">
        <f ca="1">IFERROR(__xludf.DUMMYFUNCTION("""COMPUTED_VALUE"""),949.95)</f>
        <v>949.95</v>
      </c>
      <c r="C476" s="3">
        <f t="shared" ca="1" si="14"/>
        <v>1.8984337921215718E-3</v>
      </c>
      <c r="D476">
        <f t="shared" ca="1" si="13"/>
        <v>901.9836734693879</v>
      </c>
    </row>
    <row r="477" spans="1:4" x14ac:dyDescent="0.25">
      <c r="A477" s="2">
        <f ca="1">IFERROR(__xludf.DUMMYFUNCTION("""COMPUTED_VALUE"""),45077.6458333333)</f>
        <v>45077.645833333299</v>
      </c>
      <c r="B477" s="1">
        <f ca="1">IFERROR(__xludf.DUMMYFUNCTION("""COMPUTED_VALUE"""),949.15)</f>
        <v>949.15</v>
      </c>
      <c r="C477" s="3">
        <f t="shared" ca="1" si="14"/>
        <v>-8.4214958682043073E-4</v>
      </c>
      <c r="D477">
        <f t="shared" ca="1" si="13"/>
        <v>904.51530612244903</v>
      </c>
    </row>
    <row r="478" spans="1:4" x14ac:dyDescent="0.25">
      <c r="A478" s="2">
        <f ca="1">IFERROR(__xludf.DUMMYFUNCTION("""COMPUTED_VALUE"""),45078.6458333333)</f>
        <v>45078.645833333299</v>
      </c>
      <c r="B478" s="1">
        <f ca="1">IFERROR(__xludf.DUMMYFUNCTION("""COMPUTED_VALUE"""),936.1)</f>
        <v>936.1</v>
      </c>
      <c r="C478" s="3">
        <f t="shared" ca="1" si="14"/>
        <v>-1.3749143970921304E-2</v>
      </c>
      <c r="D478">
        <f t="shared" ca="1" si="13"/>
        <v>907.07142857142856</v>
      </c>
    </row>
    <row r="479" spans="1:4" x14ac:dyDescent="0.25">
      <c r="A479" s="2">
        <f ca="1">IFERROR(__xludf.DUMMYFUNCTION("""COMPUTED_VALUE"""),45079.6458333333)</f>
        <v>45079.645833333299</v>
      </c>
      <c r="B479" s="1">
        <f ca="1">IFERROR(__xludf.DUMMYFUNCTION("""COMPUTED_VALUE"""),938.15)</f>
        <v>938.15</v>
      </c>
      <c r="C479" s="3">
        <f t="shared" ca="1" si="14"/>
        <v>2.1899369725456195E-3</v>
      </c>
      <c r="D479">
        <f t="shared" ca="1" si="13"/>
        <v>909.10918367346949</v>
      </c>
    </row>
    <row r="480" spans="1:4" x14ac:dyDescent="0.25">
      <c r="A480" s="2">
        <f ca="1">IFERROR(__xludf.DUMMYFUNCTION("""COMPUTED_VALUE"""),45082.6458333333)</f>
        <v>45082.645833333299</v>
      </c>
      <c r="B480" s="1">
        <f ca="1">IFERROR(__xludf.DUMMYFUNCTION("""COMPUTED_VALUE"""),946.75)</f>
        <v>946.75</v>
      </c>
      <c r="C480" s="3">
        <f t="shared" ca="1" si="14"/>
        <v>9.1669775622235487E-3</v>
      </c>
      <c r="D480">
        <f t="shared" ca="1" si="13"/>
        <v>911.18469387755113</v>
      </c>
    </row>
    <row r="481" spans="1:4" x14ac:dyDescent="0.25">
      <c r="A481" s="2">
        <f ca="1">IFERROR(__xludf.DUMMYFUNCTION("""COMPUTED_VALUE"""),45083.6458333333)</f>
        <v>45083.645833333299</v>
      </c>
      <c r="B481" s="1">
        <f ca="1">IFERROR(__xludf.DUMMYFUNCTION("""COMPUTED_VALUE"""),942.1)</f>
        <v>942.1</v>
      </c>
      <c r="C481" s="3">
        <f t="shared" ca="1" si="14"/>
        <v>-4.9115394771586766E-3</v>
      </c>
      <c r="D481">
        <f t="shared" ca="1" si="13"/>
        <v>913.11020408163267</v>
      </c>
    </row>
    <row r="482" spans="1:4" x14ac:dyDescent="0.25">
      <c r="A482" s="2">
        <f ca="1">IFERROR(__xludf.DUMMYFUNCTION("""COMPUTED_VALUE"""),45084.6458333333)</f>
        <v>45084.645833333299</v>
      </c>
      <c r="B482" s="1">
        <f ca="1">IFERROR(__xludf.DUMMYFUNCTION("""COMPUTED_VALUE"""),940.2)</f>
        <v>940.2</v>
      </c>
      <c r="C482" s="3">
        <f t="shared" ca="1" si="14"/>
        <v>-2.0167710434136261E-3</v>
      </c>
      <c r="D482">
        <f t="shared" ca="1" si="13"/>
        <v>914.78163265306114</v>
      </c>
    </row>
    <row r="483" spans="1:4" x14ac:dyDescent="0.25">
      <c r="A483" s="2">
        <f ca="1">IFERROR(__xludf.DUMMYFUNCTION("""COMPUTED_VALUE"""),45085.6458333333)</f>
        <v>45085.645833333299</v>
      </c>
      <c r="B483" s="1">
        <f ca="1">IFERROR(__xludf.DUMMYFUNCTION("""COMPUTED_VALUE"""),937.9)</f>
        <v>937.9</v>
      </c>
      <c r="C483" s="3">
        <f t="shared" ca="1" si="14"/>
        <v>-2.4462880238247907E-3</v>
      </c>
      <c r="D483">
        <f t="shared" ca="1" si="13"/>
        <v>916.51122448979584</v>
      </c>
    </row>
    <row r="484" spans="1:4" x14ac:dyDescent="0.25">
      <c r="A484" s="2">
        <f ca="1">IFERROR(__xludf.DUMMYFUNCTION("""COMPUTED_VALUE"""),45086.6458333333)</f>
        <v>45086.645833333299</v>
      </c>
      <c r="B484" s="1">
        <f ca="1">IFERROR(__xludf.DUMMYFUNCTION("""COMPUTED_VALUE"""),938.05)</f>
        <v>938.05</v>
      </c>
      <c r="C484" s="3">
        <f t="shared" ca="1" si="14"/>
        <v>1.5993176244799795E-4</v>
      </c>
      <c r="D484">
        <f t="shared" ca="1" si="13"/>
        <v>918.25612244897934</v>
      </c>
    </row>
    <row r="485" spans="1:4" x14ac:dyDescent="0.25">
      <c r="A485" s="2">
        <f ca="1">IFERROR(__xludf.DUMMYFUNCTION("""COMPUTED_VALUE"""),45089.6458333333)</f>
        <v>45089.645833333299</v>
      </c>
      <c r="B485" s="1">
        <f ca="1">IFERROR(__xludf.DUMMYFUNCTION("""COMPUTED_VALUE"""),935.95)</f>
        <v>935.95</v>
      </c>
      <c r="C485" s="3">
        <f t="shared" ca="1" si="14"/>
        <v>-2.2386866371727617E-3</v>
      </c>
      <c r="D485">
        <f t="shared" ca="1" si="13"/>
        <v>920.07959183673461</v>
      </c>
    </row>
    <row r="486" spans="1:4" x14ac:dyDescent="0.25">
      <c r="A486" s="2">
        <f ca="1">IFERROR(__xludf.DUMMYFUNCTION("""COMPUTED_VALUE"""),45090.6458333333)</f>
        <v>45090.645833333299</v>
      </c>
      <c r="B486" s="1">
        <f ca="1">IFERROR(__xludf.DUMMYFUNCTION("""COMPUTED_VALUE"""),943.55)</f>
        <v>943.55</v>
      </c>
      <c r="C486" s="3">
        <f t="shared" ca="1" si="14"/>
        <v>8.1200918852501833E-3</v>
      </c>
      <c r="D486">
        <f t="shared" ca="1" si="13"/>
        <v>921.73673469387734</v>
      </c>
    </row>
    <row r="487" spans="1:4" x14ac:dyDescent="0.25">
      <c r="A487" s="2">
        <f ca="1">IFERROR(__xludf.DUMMYFUNCTION("""COMPUTED_VALUE"""),45091.6458333333)</f>
        <v>45091.645833333299</v>
      </c>
      <c r="B487" s="1">
        <f ca="1">IFERROR(__xludf.DUMMYFUNCTION("""COMPUTED_VALUE"""),939.8)</f>
        <v>939.8</v>
      </c>
      <c r="C487" s="3">
        <f t="shared" ca="1" si="14"/>
        <v>-3.9743521805945632E-3</v>
      </c>
      <c r="D487">
        <f t="shared" ca="1" si="13"/>
        <v>923.62551020408171</v>
      </c>
    </row>
    <row r="488" spans="1:4" x14ac:dyDescent="0.25">
      <c r="A488" s="2">
        <f ca="1">IFERROR(__xludf.DUMMYFUNCTION("""COMPUTED_VALUE"""),45092.6458333333)</f>
        <v>45092.645833333299</v>
      </c>
      <c r="B488" s="1">
        <f ca="1">IFERROR(__xludf.DUMMYFUNCTION("""COMPUTED_VALUE"""),926.6)</f>
        <v>926.6</v>
      </c>
      <c r="C488" s="3">
        <f t="shared" ca="1" si="14"/>
        <v>-1.404554160459665E-2</v>
      </c>
      <c r="D488">
        <f t="shared" ca="1" si="13"/>
        <v>924.90204081632658</v>
      </c>
    </row>
    <row r="489" spans="1:4" x14ac:dyDescent="0.25">
      <c r="A489" s="2">
        <f ca="1">IFERROR(__xludf.DUMMYFUNCTION("""COMPUTED_VALUE"""),45093.6458333333)</f>
        <v>45093.645833333299</v>
      </c>
      <c r="B489" s="1">
        <f ca="1">IFERROR(__xludf.DUMMYFUNCTION("""COMPUTED_VALUE"""),934.2)</f>
        <v>934.2</v>
      </c>
      <c r="C489" s="3">
        <f t="shared" ca="1" si="14"/>
        <v>8.2020289229441205E-3</v>
      </c>
      <c r="D489">
        <f t="shared" ca="1" si="13"/>
        <v>925.7755102040818</v>
      </c>
    </row>
    <row r="490" spans="1:4" x14ac:dyDescent="0.25">
      <c r="A490" s="2">
        <f ca="1">IFERROR(__xludf.DUMMYFUNCTION("""COMPUTED_VALUE"""),45096.6458333333)</f>
        <v>45096.645833333299</v>
      </c>
      <c r="B490" s="1">
        <f ca="1">IFERROR(__xludf.DUMMYFUNCTION("""COMPUTED_VALUE"""),923.15)</f>
        <v>923.15</v>
      </c>
      <c r="C490" s="3">
        <f t="shared" ca="1" si="14"/>
        <v>-1.1828302290730109E-2</v>
      </c>
      <c r="D490">
        <f t="shared" ca="1" si="13"/>
        <v>926.78775510204093</v>
      </c>
    </row>
    <row r="491" spans="1:4" x14ac:dyDescent="0.25">
      <c r="A491" s="2">
        <f ca="1">IFERROR(__xludf.DUMMYFUNCTION("""COMPUTED_VALUE"""),45097.6458333333)</f>
        <v>45097.645833333299</v>
      </c>
      <c r="B491" s="1">
        <f ca="1">IFERROR(__xludf.DUMMYFUNCTION("""COMPUTED_VALUE"""),925.55)</f>
        <v>925.55</v>
      </c>
      <c r="C491" s="3">
        <f t="shared" ca="1" si="14"/>
        <v>2.5997941829604913E-3</v>
      </c>
      <c r="D491">
        <f t="shared" ca="1" si="13"/>
        <v>927.77040816326542</v>
      </c>
    </row>
    <row r="492" spans="1:4" x14ac:dyDescent="0.25">
      <c r="A492" s="2">
        <f ca="1">IFERROR(__xludf.DUMMYFUNCTION("""COMPUTED_VALUE"""),45098.6458333333)</f>
        <v>45098.645833333299</v>
      </c>
      <c r="B492" s="1">
        <f ca="1">IFERROR(__xludf.DUMMYFUNCTION("""COMPUTED_VALUE"""),924.7)</f>
        <v>924.7</v>
      </c>
      <c r="C492" s="3">
        <f t="shared" ca="1" si="14"/>
        <v>-9.1837285938081042E-4</v>
      </c>
      <c r="D492">
        <f t="shared" ca="1" si="13"/>
        <v>928.93571428571454</v>
      </c>
    </row>
    <row r="493" spans="1:4" x14ac:dyDescent="0.25">
      <c r="A493" s="2">
        <f ca="1">IFERROR(__xludf.DUMMYFUNCTION("""COMPUTED_VALUE"""),45099.6458333333)</f>
        <v>45099.645833333299</v>
      </c>
      <c r="B493" s="1">
        <f ca="1">IFERROR(__xludf.DUMMYFUNCTION("""COMPUTED_VALUE"""),925.75)</f>
        <v>925.75</v>
      </c>
      <c r="C493" s="3">
        <f t="shared" ca="1" si="14"/>
        <v>1.1355034065101703E-3</v>
      </c>
      <c r="D493">
        <f t="shared" ca="1" si="13"/>
        <v>929.80918367346942</v>
      </c>
    </row>
    <row r="494" spans="1:4" x14ac:dyDescent="0.25">
      <c r="A494" s="2">
        <f ca="1">IFERROR(__xludf.DUMMYFUNCTION("""COMPUTED_VALUE"""),45100.6458333333)</f>
        <v>45100.645833333299</v>
      </c>
      <c r="B494" s="1">
        <f ca="1">IFERROR(__xludf.DUMMYFUNCTION("""COMPUTED_VALUE"""),923.5)</f>
        <v>923.5</v>
      </c>
      <c r="C494" s="3">
        <f t="shared" ca="1" si="14"/>
        <v>-2.4304617877396704E-3</v>
      </c>
      <c r="D494">
        <f t="shared" ca="1" si="13"/>
        <v>930.53571428571433</v>
      </c>
    </row>
    <row r="495" spans="1:4" x14ac:dyDescent="0.25">
      <c r="A495" s="2">
        <f ca="1">IFERROR(__xludf.DUMMYFUNCTION("""COMPUTED_VALUE"""),45103.6458333333)</f>
        <v>45103.645833333299</v>
      </c>
      <c r="B495" s="1">
        <f ca="1">IFERROR(__xludf.DUMMYFUNCTION("""COMPUTED_VALUE"""),927.45)</f>
        <v>927.45</v>
      </c>
      <c r="C495" s="3">
        <f t="shared" ca="1" si="14"/>
        <v>4.2772062804548412E-3</v>
      </c>
      <c r="D495">
        <f t="shared" ca="1" si="13"/>
        <v>931.03571428571445</v>
      </c>
    </row>
    <row r="496" spans="1:4" x14ac:dyDescent="0.25">
      <c r="A496" s="2">
        <f ca="1">IFERROR(__xludf.DUMMYFUNCTION("""COMPUTED_VALUE"""),45104.6458333333)</f>
        <v>45104.645833333299</v>
      </c>
      <c r="B496" s="1">
        <f ca="1">IFERROR(__xludf.DUMMYFUNCTION("""COMPUTED_VALUE"""),936.1)</f>
        <v>936.1</v>
      </c>
      <c r="C496" s="3">
        <f t="shared" ca="1" si="14"/>
        <v>9.3266483368375404E-3</v>
      </c>
      <c r="D496">
        <f t="shared" ca="1" si="13"/>
        <v>931.56938775510207</v>
      </c>
    </row>
    <row r="497" spans="1:4" x14ac:dyDescent="0.25">
      <c r="A497" s="2">
        <f ca="1">IFERROR(__xludf.DUMMYFUNCTION("""COMPUTED_VALUE"""),45105.6458333333)</f>
        <v>45105.645833333299</v>
      </c>
      <c r="B497" s="1">
        <f ca="1">IFERROR(__xludf.DUMMYFUNCTION("""COMPUTED_VALUE"""),937.45)</f>
        <v>937.45</v>
      </c>
      <c r="C497" s="3">
        <f t="shared" ca="1" si="14"/>
        <v>1.4421536160666838E-3</v>
      </c>
      <c r="D497">
        <f t="shared" ca="1" si="13"/>
        <v>932.37040816326532</v>
      </c>
    </row>
    <row r="498" spans="1:4" x14ac:dyDescent="0.25">
      <c r="A498" s="2">
        <f ca="1">IFERROR(__xludf.DUMMYFUNCTION("""COMPUTED_VALUE"""),45107.6458333333)</f>
        <v>45107.645833333299</v>
      </c>
      <c r="B498" s="1">
        <f ca="1">IFERROR(__xludf.DUMMYFUNCTION("""COMPUTED_VALUE"""),934.6)</f>
        <v>934.6</v>
      </c>
      <c r="C498" s="3">
        <f t="shared" ca="1" si="14"/>
        <v>-3.04016214198093E-3</v>
      </c>
      <c r="D498">
        <f t="shared" ca="1" si="13"/>
        <v>933.3</v>
      </c>
    </row>
    <row r="499" spans="1:4" x14ac:dyDescent="0.25">
      <c r="A499" s="2">
        <f ca="1">IFERROR(__xludf.DUMMYFUNCTION("""COMPUTED_VALUE"""),45110.6458333333)</f>
        <v>45110.645833333299</v>
      </c>
      <c r="B499" s="1">
        <f ca="1">IFERROR(__xludf.DUMMYFUNCTION("""COMPUTED_VALUE"""),942.55)</f>
        <v>942.55</v>
      </c>
      <c r="C499" s="3">
        <f t="shared" ca="1" si="14"/>
        <v>8.5063128611169818E-3</v>
      </c>
      <c r="D499">
        <f t="shared" ca="1" si="13"/>
        <v>934.12040816326521</v>
      </c>
    </row>
    <row r="500" spans="1:4" x14ac:dyDescent="0.25">
      <c r="A500" s="2">
        <f ca="1">IFERROR(__xludf.DUMMYFUNCTION("""COMPUTED_VALUE"""),45111.6458333333)</f>
        <v>45111.645833333299</v>
      </c>
      <c r="B500" s="1">
        <f ca="1">IFERROR(__xludf.DUMMYFUNCTION("""COMPUTED_VALUE"""),944.7)</f>
        <v>944.7</v>
      </c>
      <c r="C500" s="3">
        <f t="shared" ca="1" si="14"/>
        <v>2.2810460983503167E-3</v>
      </c>
      <c r="D500">
        <f t="shared" ref="D500:D563" ca="1" si="15">AVERAGE(B451:B499)</f>
        <v>935.28163265306125</v>
      </c>
    </row>
    <row r="501" spans="1:4" x14ac:dyDescent="0.25">
      <c r="A501" s="2">
        <f ca="1">IFERROR(__xludf.DUMMYFUNCTION("""COMPUTED_VALUE"""),45112.6458333333)</f>
        <v>45112.645833333299</v>
      </c>
      <c r="B501" s="1">
        <f ca="1">IFERROR(__xludf.DUMMYFUNCTION("""COMPUTED_VALUE"""),958)</f>
        <v>958</v>
      </c>
      <c r="C501" s="3">
        <f t="shared" ca="1" si="14"/>
        <v>1.4078543452947977E-2</v>
      </c>
      <c r="D501">
        <f t="shared" ca="1" si="15"/>
        <v>936.09693877551024</v>
      </c>
    </row>
    <row r="502" spans="1:4" x14ac:dyDescent="0.25">
      <c r="A502" s="2">
        <f ca="1">IFERROR(__xludf.DUMMYFUNCTION("""COMPUTED_VALUE"""),45113.6458333333)</f>
        <v>45113.645833333299</v>
      </c>
      <c r="B502" s="1">
        <f ca="1">IFERROR(__xludf.DUMMYFUNCTION("""COMPUTED_VALUE"""),959.4)</f>
        <v>959.4</v>
      </c>
      <c r="C502" s="3">
        <f t="shared" ca="1" si="14"/>
        <v>1.4613778705636505E-3</v>
      </c>
      <c r="D502">
        <f t="shared" ca="1" si="15"/>
        <v>937.00612244897945</v>
      </c>
    </row>
    <row r="503" spans="1:4" x14ac:dyDescent="0.25">
      <c r="A503" s="2">
        <f ca="1">IFERROR(__xludf.DUMMYFUNCTION("""COMPUTED_VALUE"""),45114.6458333333)</f>
        <v>45114.645833333299</v>
      </c>
      <c r="B503" s="1">
        <f ca="1">IFERROR(__xludf.DUMMYFUNCTION("""COMPUTED_VALUE"""),946.4)</f>
        <v>946.4</v>
      </c>
      <c r="C503" s="3">
        <f t="shared" ca="1" si="14"/>
        <v>-1.3550135501355014E-2</v>
      </c>
      <c r="D503">
        <f t="shared" ca="1" si="15"/>
        <v>937.9132653061223</v>
      </c>
    </row>
    <row r="504" spans="1:4" x14ac:dyDescent="0.25">
      <c r="A504" s="2">
        <f ca="1">IFERROR(__xludf.DUMMYFUNCTION("""COMPUTED_VALUE"""),45117.6458333333)</f>
        <v>45117.645833333299</v>
      </c>
      <c r="B504" s="1">
        <f ca="1">IFERROR(__xludf.DUMMYFUNCTION("""COMPUTED_VALUE"""),948.4)</f>
        <v>948.4</v>
      </c>
      <c r="C504" s="3">
        <f t="shared" ca="1" si="14"/>
        <v>2.113271344040575E-3</v>
      </c>
      <c r="D504">
        <f t="shared" ca="1" si="15"/>
        <v>938.48571428571415</v>
      </c>
    </row>
    <row r="505" spans="1:4" x14ac:dyDescent="0.25">
      <c r="A505" s="2">
        <f ca="1">IFERROR(__xludf.DUMMYFUNCTION("""COMPUTED_VALUE"""),45118.6458333333)</f>
        <v>45118.645833333299</v>
      </c>
      <c r="B505" s="1">
        <f ca="1">IFERROR(__xludf.DUMMYFUNCTION("""COMPUTED_VALUE"""),944.95)</f>
        <v>944.95</v>
      </c>
      <c r="C505" s="3">
        <f t="shared" ca="1" si="14"/>
        <v>-3.6377056094474185E-3</v>
      </c>
      <c r="D505">
        <f t="shared" ca="1" si="15"/>
        <v>939.11326530612234</v>
      </c>
    </row>
    <row r="506" spans="1:4" x14ac:dyDescent="0.25">
      <c r="A506" s="2">
        <f ca="1">IFERROR(__xludf.DUMMYFUNCTION("""COMPUTED_VALUE"""),45119.6458333333)</f>
        <v>45119.645833333299</v>
      </c>
      <c r="B506" s="1">
        <f ca="1">IFERROR(__xludf.DUMMYFUNCTION("""COMPUTED_VALUE"""),944.4)</f>
        <v>944.4</v>
      </c>
      <c r="C506" s="3">
        <f t="shared" ca="1" si="14"/>
        <v>-5.8204137785075204E-4</v>
      </c>
      <c r="D506">
        <f t="shared" ca="1" si="15"/>
        <v>939.57959183673461</v>
      </c>
    </row>
    <row r="507" spans="1:4" x14ac:dyDescent="0.25">
      <c r="A507" s="2">
        <f ca="1">IFERROR(__xludf.DUMMYFUNCTION("""COMPUTED_VALUE"""),45120.6458333333)</f>
        <v>45120.645833333299</v>
      </c>
      <c r="B507" s="1">
        <f ca="1">IFERROR(__xludf.DUMMYFUNCTION("""COMPUTED_VALUE"""),955.7)</f>
        <v>955.7</v>
      </c>
      <c r="C507" s="3">
        <f t="shared" ca="1" si="14"/>
        <v>1.1965268953833194E-2</v>
      </c>
      <c r="D507">
        <f t="shared" ca="1" si="15"/>
        <v>940.019387755102</v>
      </c>
    </row>
    <row r="508" spans="1:4" x14ac:dyDescent="0.25">
      <c r="A508" s="2">
        <f ca="1">IFERROR(__xludf.DUMMYFUNCTION("""COMPUTED_VALUE"""),45121.6458333333)</f>
        <v>45121.645833333299</v>
      </c>
      <c r="B508" s="1">
        <f ca="1">IFERROR(__xludf.DUMMYFUNCTION("""COMPUTED_VALUE"""),960.05)</f>
        <v>960.05</v>
      </c>
      <c r="C508" s="3">
        <f t="shared" ca="1" si="14"/>
        <v>4.5516375431619849E-3</v>
      </c>
      <c r="D508">
        <f t="shared" ca="1" si="15"/>
        <v>940.71326530612237</v>
      </c>
    </row>
    <row r="509" spans="1:4" x14ac:dyDescent="0.25">
      <c r="A509" s="2">
        <f ca="1">IFERROR(__xludf.DUMMYFUNCTION("""COMPUTED_VALUE"""),45124.6458333333)</f>
        <v>45124.645833333299</v>
      </c>
      <c r="B509" s="1">
        <f ca="1">IFERROR(__xludf.DUMMYFUNCTION("""COMPUTED_VALUE"""),968.7)</f>
        <v>968.7</v>
      </c>
      <c r="C509" s="3">
        <f t="shared" ca="1" si="14"/>
        <v>9.0099473985730868E-3</v>
      </c>
      <c r="D509">
        <f t="shared" ca="1" si="15"/>
        <v>941.38877551020403</v>
      </c>
    </row>
    <row r="510" spans="1:4" x14ac:dyDescent="0.25">
      <c r="A510" s="2">
        <f ca="1">IFERROR(__xludf.DUMMYFUNCTION("""COMPUTED_VALUE"""),45125.6458333333)</f>
        <v>45125.645833333299</v>
      </c>
      <c r="B510" s="1">
        <f ca="1">IFERROR(__xludf.DUMMYFUNCTION("""COMPUTED_VALUE"""),975.45)</f>
        <v>975.45</v>
      </c>
      <c r="C510" s="3">
        <f t="shared" ca="1" si="14"/>
        <v>6.9681015794363574E-3</v>
      </c>
      <c r="D510">
        <f t="shared" ca="1" si="15"/>
        <v>942.01734693877529</v>
      </c>
    </row>
    <row r="511" spans="1:4" x14ac:dyDescent="0.25">
      <c r="A511" s="2">
        <f ca="1">IFERROR(__xludf.DUMMYFUNCTION("""COMPUTED_VALUE"""),45126.6458333333)</f>
        <v>45126.645833333299</v>
      </c>
      <c r="B511" s="1">
        <f ca="1">IFERROR(__xludf.DUMMYFUNCTION("""COMPUTED_VALUE"""),973.45)</f>
        <v>973.45</v>
      </c>
      <c r="C511" s="3">
        <f t="shared" ca="1" si="14"/>
        <v>-2.0503357424778304E-3</v>
      </c>
      <c r="D511">
        <f t="shared" ca="1" si="15"/>
        <v>942.85510204081618</v>
      </c>
    </row>
    <row r="512" spans="1:4" x14ac:dyDescent="0.25">
      <c r="A512" s="2">
        <f ca="1">IFERROR(__xludf.DUMMYFUNCTION("""COMPUTED_VALUE"""),45127.6458333333)</f>
        <v>45127.645833333299</v>
      </c>
      <c r="B512" s="1">
        <f ca="1">IFERROR(__xludf.DUMMYFUNCTION("""COMPUTED_VALUE"""),995.6)</f>
        <v>995.6</v>
      </c>
      <c r="C512" s="3">
        <f t="shared" ca="1" si="14"/>
        <v>2.2754121937438983E-2</v>
      </c>
      <c r="D512">
        <f t="shared" ca="1" si="15"/>
        <v>943.61836734693873</v>
      </c>
    </row>
    <row r="513" spans="1:4" x14ac:dyDescent="0.25">
      <c r="A513" s="2">
        <f ca="1">IFERROR(__xludf.DUMMYFUNCTION("""COMPUTED_VALUE"""),45128.6458333333)</f>
        <v>45128.645833333299</v>
      </c>
      <c r="B513" s="1">
        <f ca="1">IFERROR(__xludf.DUMMYFUNCTION("""COMPUTED_VALUE"""),997)</f>
        <v>997</v>
      </c>
      <c r="C513" s="3">
        <f t="shared" ca="1" si="14"/>
        <v>1.4061872237846296E-3</v>
      </c>
      <c r="D513">
        <f t="shared" ca="1" si="15"/>
        <v>944.769387755102</v>
      </c>
    </row>
    <row r="514" spans="1:4" x14ac:dyDescent="0.25">
      <c r="A514" s="2">
        <f ca="1">IFERROR(__xludf.DUMMYFUNCTION("""COMPUTED_VALUE"""),45131.6458333333)</f>
        <v>45131.645833333299</v>
      </c>
      <c r="B514" s="1">
        <f ca="1">IFERROR(__xludf.DUMMYFUNCTION("""COMPUTED_VALUE"""),992)</f>
        <v>992</v>
      </c>
      <c r="C514" s="3">
        <f t="shared" ca="1" si="14"/>
        <v>-5.0150451354062184E-3</v>
      </c>
      <c r="D514">
        <f t="shared" ca="1" si="15"/>
        <v>945.85306122448958</v>
      </c>
    </row>
    <row r="515" spans="1:4" x14ac:dyDescent="0.25">
      <c r="A515" s="2">
        <f ca="1">IFERROR(__xludf.DUMMYFUNCTION("""COMPUTED_VALUE"""),45132.6458333333)</f>
        <v>45132.645833333299</v>
      </c>
      <c r="B515" s="1">
        <f ca="1">IFERROR(__xludf.DUMMYFUNCTION("""COMPUTED_VALUE"""),994.7)</f>
        <v>994.7</v>
      </c>
      <c r="C515" s="3">
        <f t="shared" ca="1" si="14"/>
        <v>2.7217741935484331E-3</v>
      </c>
      <c r="D515">
        <f t="shared" ca="1" si="15"/>
        <v>946.79693877550994</v>
      </c>
    </row>
    <row r="516" spans="1:4" x14ac:dyDescent="0.25">
      <c r="A516" s="2">
        <f ca="1">IFERROR(__xludf.DUMMYFUNCTION("""COMPUTED_VALUE"""),45133.6458333333)</f>
        <v>45133.645833333299</v>
      </c>
      <c r="B516" s="1">
        <f ca="1">IFERROR(__xludf.DUMMYFUNCTION("""COMPUTED_VALUE"""),996.45)</f>
        <v>996.45</v>
      </c>
      <c r="C516" s="3">
        <f t="shared" ref="C516:C579" ca="1" si="16">(B516-B515)/B515</f>
        <v>1.7593244194229415E-3</v>
      </c>
      <c r="D516">
        <f t="shared" ca="1" si="15"/>
        <v>947.78367346938751</v>
      </c>
    </row>
    <row r="517" spans="1:4" x14ac:dyDescent="0.25">
      <c r="A517" s="2">
        <f ca="1">IFERROR(__xludf.DUMMYFUNCTION("""COMPUTED_VALUE"""),45134.6458333333)</f>
        <v>45134.645833333299</v>
      </c>
      <c r="B517" s="1">
        <f ca="1">IFERROR(__xludf.DUMMYFUNCTION("""COMPUTED_VALUE"""),990.25)</f>
        <v>990.25</v>
      </c>
      <c r="C517" s="3">
        <f t="shared" ca="1" si="16"/>
        <v>-6.2220884138692815E-3</v>
      </c>
      <c r="D517">
        <f t="shared" ca="1" si="15"/>
        <v>948.94897959183641</v>
      </c>
    </row>
    <row r="518" spans="1:4" x14ac:dyDescent="0.25">
      <c r="A518" s="2">
        <f ca="1">IFERROR(__xludf.DUMMYFUNCTION("""COMPUTED_VALUE"""),45135.6458333333)</f>
        <v>45135.645833333299</v>
      </c>
      <c r="B518" s="1">
        <f ca="1">IFERROR(__xludf.DUMMYFUNCTION("""COMPUTED_VALUE"""),996.2)</f>
        <v>996.2</v>
      </c>
      <c r="C518" s="3">
        <f t="shared" ca="1" si="16"/>
        <v>6.0085836909871708E-3</v>
      </c>
      <c r="D518">
        <f t="shared" ca="1" si="15"/>
        <v>949.84183673469363</v>
      </c>
    </row>
    <row r="519" spans="1:4" x14ac:dyDescent="0.25">
      <c r="A519" s="2">
        <f ca="1">IFERROR(__xludf.DUMMYFUNCTION("""COMPUTED_VALUE"""),45138.6458333333)</f>
        <v>45138.645833333299</v>
      </c>
      <c r="B519" s="1">
        <f ca="1">IFERROR(__xludf.DUMMYFUNCTION("""COMPUTED_VALUE"""),998.3)</f>
        <v>998.3</v>
      </c>
      <c r="C519" s="3">
        <f t="shared" ca="1" si="16"/>
        <v>2.1080104396706575E-3</v>
      </c>
      <c r="D519">
        <f t="shared" ca="1" si="15"/>
        <v>950.69693877550981</v>
      </c>
    </row>
    <row r="520" spans="1:4" x14ac:dyDescent="0.25">
      <c r="A520" s="2">
        <f ca="1">IFERROR(__xludf.DUMMYFUNCTION("""COMPUTED_VALUE"""),45139.6458333333)</f>
        <v>45139.645833333299</v>
      </c>
      <c r="B520" s="1">
        <f ca="1">IFERROR(__xludf.DUMMYFUNCTION("""COMPUTED_VALUE"""),994.55)</f>
        <v>994.55</v>
      </c>
      <c r="C520" s="3">
        <f t="shared" ca="1" si="16"/>
        <v>-3.7563858559551237E-3</v>
      </c>
      <c r="D520">
        <f t="shared" ca="1" si="15"/>
        <v>951.67551020408143</v>
      </c>
    </row>
    <row r="521" spans="1:4" x14ac:dyDescent="0.25">
      <c r="A521" s="2">
        <f ca="1">IFERROR(__xludf.DUMMYFUNCTION("""COMPUTED_VALUE"""),45140.6458333333)</f>
        <v>45140.645833333299</v>
      </c>
      <c r="B521" s="1">
        <f ca="1">IFERROR(__xludf.DUMMYFUNCTION("""COMPUTED_VALUE"""),986.95)</f>
        <v>986.95</v>
      </c>
      <c r="C521" s="3">
        <f t="shared" ca="1" si="16"/>
        <v>-7.6416469760192144E-3</v>
      </c>
      <c r="D521">
        <f t="shared" ca="1" si="15"/>
        <v>952.51530612244881</v>
      </c>
    </row>
    <row r="522" spans="1:4" x14ac:dyDescent="0.25">
      <c r="A522" s="2">
        <f ca="1">IFERROR(__xludf.DUMMYFUNCTION("""COMPUTED_VALUE"""),45141.6458333333)</f>
        <v>45141.645833333299</v>
      </c>
      <c r="B522" s="1">
        <f ca="1">IFERROR(__xludf.DUMMYFUNCTION("""COMPUTED_VALUE"""),965)</f>
        <v>965</v>
      </c>
      <c r="C522" s="3">
        <f t="shared" ca="1" si="16"/>
        <v>-2.224023506763265E-2</v>
      </c>
      <c r="D522">
        <f t="shared" ca="1" si="15"/>
        <v>953.46020408163247</v>
      </c>
    </row>
    <row r="523" spans="1:4" x14ac:dyDescent="0.25">
      <c r="A523" s="2">
        <f ca="1">IFERROR(__xludf.DUMMYFUNCTION("""COMPUTED_VALUE"""),45142.6458333333)</f>
        <v>45142.645833333299</v>
      </c>
      <c r="B523" s="1">
        <f ca="1">IFERROR(__xludf.DUMMYFUNCTION("""COMPUTED_VALUE"""),970.5)</f>
        <v>970.5</v>
      </c>
      <c r="C523" s="3">
        <f t="shared" ca="1" si="16"/>
        <v>5.699481865284974E-3</v>
      </c>
      <c r="D523">
        <f t="shared" ca="1" si="15"/>
        <v>953.9734693877549</v>
      </c>
    </row>
    <row r="524" spans="1:4" x14ac:dyDescent="0.25">
      <c r="A524" s="2">
        <f ca="1">IFERROR(__xludf.DUMMYFUNCTION("""COMPUTED_VALUE"""),45145.6458333333)</f>
        <v>45145.645833333299</v>
      </c>
      <c r="B524" s="1">
        <f ca="1">IFERROR(__xludf.DUMMYFUNCTION("""COMPUTED_VALUE"""),975.65)</f>
        <v>975.65</v>
      </c>
      <c r="C524" s="3">
        <f t="shared" ca="1" si="16"/>
        <v>5.3065430190623155E-3</v>
      </c>
      <c r="D524">
        <f t="shared" ca="1" si="15"/>
        <v>954.37755102040796</v>
      </c>
    </row>
    <row r="525" spans="1:4" x14ac:dyDescent="0.25">
      <c r="A525" s="2">
        <f ca="1">IFERROR(__xludf.DUMMYFUNCTION("""COMPUTED_VALUE"""),45146.6458333333)</f>
        <v>45146.645833333299</v>
      </c>
      <c r="B525" s="1">
        <f ca="1">IFERROR(__xludf.DUMMYFUNCTION("""COMPUTED_VALUE"""),979.9)</f>
        <v>979.9</v>
      </c>
      <c r="C525" s="3">
        <f t="shared" ca="1" si="16"/>
        <v>4.3560703120996257E-3</v>
      </c>
      <c r="D525">
        <f t="shared" ca="1" si="15"/>
        <v>954.93877551020398</v>
      </c>
    </row>
    <row r="526" spans="1:4" x14ac:dyDescent="0.25">
      <c r="A526" s="2">
        <f ca="1">IFERROR(__xludf.DUMMYFUNCTION("""COMPUTED_VALUE"""),45147.6458333333)</f>
        <v>45147.645833333299</v>
      </c>
      <c r="B526" s="1">
        <f ca="1">IFERROR(__xludf.DUMMYFUNCTION("""COMPUTED_VALUE"""),972.7)</f>
        <v>972.7</v>
      </c>
      <c r="C526" s="3">
        <f t="shared" ca="1" si="16"/>
        <v>-7.3476885396468331E-3</v>
      </c>
      <c r="D526">
        <f t="shared" ca="1" si="15"/>
        <v>955.55000000000007</v>
      </c>
    </row>
    <row r="527" spans="1:4" x14ac:dyDescent="0.25">
      <c r="A527" s="2">
        <f ca="1">IFERROR(__xludf.DUMMYFUNCTION("""COMPUTED_VALUE"""),45148.6458333333)</f>
        <v>45148.645833333299</v>
      </c>
      <c r="B527" s="1">
        <f ca="1">IFERROR(__xludf.DUMMYFUNCTION("""COMPUTED_VALUE"""),964.1)</f>
        <v>964.1</v>
      </c>
      <c r="C527" s="3">
        <f t="shared" ca="1" si="16"/>
        <v>-8.8413693841883651E-3</v>
      </c>
      <c r="D527">
        <f t="shared" ca="1" si="15"/>
        <v>956.03061224489795</v>
      </c>
    </row>
    <row r="528" spans="1:4" x14ac:dyDescent="0.25">
      <c r="A528" s="2">
        <f ca="1">IFERROR(__xludf.DUMMYFUNCTION("""COMPUTED_VALUE"""),45149.6458333333)</f>
        <v>45149.645833333299</v>
      </c>
      <c r="B528" s="1">
        <f ca="1">IFERROR(__xludf.DUMMYFUNCTION("""COMPUTED_VALUE"""),952.85)</f>
        <v>952.85</v>
      </c>
      <c r="C528" s="3">
        <f t="shared" ca="1" si="16"/>
        <v>-1.1668914013069184E-2</v>
      </c>
      <c r="D528">
        <f t="shared" ca="1" si="15"/>
        <v>956.60204081632651</v>
      </c>
    </row>
    <row r="529" spans="1:4" x14ac:dyDescent="0.25">
      <c r="A529" s="2">
        <f ca="1">IFERROR(__xludf.DUMMYFUNCTION("""COMPUTED_VALUE"""),45152.6458333333)</f>
        <v>45152.645833333299</v>
      </c>
      <c r="B529" s="1">
        <f ca="1">IFERROR(__xludf.DUMMYFUNCTION("""COMPUTED_VALUE"""),959.55)</f>
        <v>959.55</v>
      </c>
      <c r="C529" s="3">
        <f t="shared" ca="1" si="16"/>
        <v>7.031536968043167E-3</v>
      </c>
      <c r="D529">
        <f t="shared" ca="1" si="15"/>
        <v>956.90204081632646</v>
      </c>
    </row>
    <row r="530" spans="1:4" x14ac:dyDescent="0.25">
      <c r="A530" s="2">
        <f ca="1">IFERROR(__xludf.DUMMYFUNCTION("""COMPUTED_VALUE"""),45154.6458333333)</f>
        <v>45154.645833333299</v>
      </c>
      <c r="B530" s="1">
        <f ca="1">IFERROR(__xludf.DUMMYFUNCTION("""COMPUTED_VALUE"""),956.5)</f>
        <v>956.5</v>
      </c>
      <c r="C530" s="3">
        <f t="shared" ca="1" si="16"/>
        <v>-3.1785732895627688E-3</v>
      </c>
      <c r="D530">
        <f t="shared" ca="1" si="15"/>
        <v>957.16326530612264</v>
      </c>
    </row>
    <row r="531" spans="1:4" x14ac:dyDescent="0.25">
      <c r="A531" s="2">
        <f ca="1">IFERROR(__xludf.DUMMYFUNCTION("""COMPUTED_VALUE"""),45155.6458333333)</f>
        <v>45155.645833333299</v>
      </c>
      <c r="B531" s="1">
        <f ca="1">IFERROR(__xludf.DUMMYFUNCTION("""COMPUTED_VALUE"""),951.65)</f>
        <v>951.65</v>
      </c>
      <c r="C531" s="3">
        <f t="shared" ca="1" si="16"/>
        <v>-5.070569785676971E-3</v>
      </c>
      <c r="D531">
        <f t="shared" ca="1" si="15"/>
        <v>957.45714285714303</v>
      </c>
    </row>
    <row r="532" spans="1:4" x14ac:dyDescent="0.25">
      <c r="A532" s="2">
        <f ca="1">IFERROR(__xludf.DUMMYFUNCTION("""COMPUTED_VALUE"""),45156.6458333333)</f>
        <v>45156.645833333299</v>
      </c>
      <c r="B532" s="1">
        <f ca="1">IFERROR(__xludf.DUMMYFUNCTION("""COMPUTED_VALUE"""),950.65)</f>
        <v>950.65</v>
      </c>
      <c r="C532" s="3">
        <f t="shared" ca="1" si="16"/>
        <v>-1.0508064939841329E-3</v>
      </c>
      <c r="D532">
        <f t="shared" ca="1" si="15"/>
        <v>957.69081632653092</v>
      </c>
    </row>
    <row r="533" spans="1:4" x14ac:dyDescent="0.25">
      <c r="A533" s="2">
        <f ca="1">IFERROR(__xludf.DUMMYFUNCTION("""COMPUTED_VALUE"""),45159.6458333333)</f>
        <v>45159.645833333299</v>
      </c>
      <c r="B533" s="1">
        <f ca="1">IFERROR(__xludf.DUMMYFUNCTION("""COMPUTED_VALUE"""),955.2)</f>
        <v>955.2</v>
      </c>
      <c r="C533" s="3">
        <f t="shared" ca="1" si="16"/>
        <v>4.786198916530867E-3</v>
      </c>
      <c r="D533">
        <f t="shared" ca="1" si="15"/>
        <v>957.95102040816357</v>
      </c>
    </row>
    <row r="534" spans="1:4" x14ac:dyDescent="0.25">
      <c r="A534" s="2">
        <f ca="1">IFERROR(__xludf.DUMMYFUNCTION("""COMPUTED_VALUE"""),45160.6458333333)</f>
        <v>45160.645833333299</v>
      </c>
      <c r="B534" s="1">
        <f ca="1">IFERROR(__xludf.DUMMYFUNCTION("""COMPUTED_VALUE"""),952)</f>
        <v>952</v>
      </c>
      <c r="C534" s="3">
        <f t="shared" ca="1" si="16"/>
        <v>-3.3500837520938497E-3</v>
      </c>
      <c r="D534">
        <f t="shared" ca="1" si="15"/>
        <v>958.30102040816359</v>
      </c>
    </row>
    <row r="535" spans="1:4" x14ac:dyDescent="0.25">
      <c r="A535" s="2">
        <f ca="1">IFERROR(__xludf.DUMMYFUNCTION("""COMPUTED_VALUE"""),45161.6458333333)</f>
        <v>45161.645833333299</v>
      </c>
      <c r="B535" s="1">
        <f ca="1">IFERROR(__xludf.DUMMYFUNCTION("""COMPUTED_VALUE"""),966.85)</f>
        <v>966.85</v>
      </c>
      <c r="C535" s="3">
        <f t="shared" ca="1" si="16"/>
        <v>1.5598739495798344E-2</v>
      </c>
      <c r="D535">
        <f t="shared" ca="1" si="15"/>
        <v>958.62857142857149</v>
      </c>
    </row>
    <row r="536" spans="1:4" x14ac:dyDescent="0.25">
      <c r="A536" s="2">
        <f ca="1">IFERROR(__xludf.DUMMYFUNCTION("""COMPUTED_VALUE"""),45162.6458333333)</f>
        <v>45162.645833333299</v>
      </c>
      <c r="B536" s="1">
        <f ca="1">IFERROR(__xludf.DUMMYFUNCTION("""COMPUTED_VALUE"""),968.95)</f>
        <v>968.95</v>
      </c>
      <c r="C536" s="3">
        <f t="shared" ca="1" si="16"/>
        <v>2.172001861715905E-3</v>
      </c>
      <c r="D536">
        <f t="shared" ca="1" si="15"/>
        <v>959.10408163265322</v>
      </c>
    </row>
    <row r="537" spans="1:4" x14ac:dyDescent="0.25">
      <c r="A537" s="2">
        <f ca="1">IFERROR(__xludf.DUMMYFUNCTION("""COMPUTED_VALUE"""),45163.6458333333)</f>
        <v>45163.645833333299</v>
      </c>
      <c r="B537" s="1">
        <f ca="1">IFERROR(__xludf.DUMMYFUNCTION("""COMPUTED_VALUE"""),970.4)</f>
        <v>970.4</v>
      </c>
      <c r="C537" s="3">
        <f t="shared" ca="1" si="16"/>
        <v>1.4964652458846501E-3</v>
      </c>
      <c r="D537">
        <f t="shared" ca="1" si="15"/>
        <v>959.69897959183675</v>
      </c>
    </row>
    <row r="538" spans="1:4" x14ac:dyDescent="0.25">
      <c r="A538" s="2">
        <f ca="1">IFERROR(__xludf.DUMMYFUNCTION("""COMPUTED_VALUE"""),45166.6458333333)</f>
        <v>45166.645833333299</v>
      </c>
      <c r="B538" s="1">
        <f ca="1">IFERROR(__xludf.DUMMYFUNCTION("""COMPUTED_VALUE"""),970.55)</f>
        <v>970.55</v>
      </c>
      <c r="C538" s="3">
        <f t="shared" ca="1" si="16"/>
        <v>1.5457543281118845E-4</v>
      </c>
      <c r="D538">
        <f t="shared" ca="1" si="15"/>
        <v>960.59285714285716</v>
      </c>
    </row>
    <row r="539" spans="1:4" x14ac:dyDescent="0.25">
      <c r="A539" s="2">
        <f ca="1">IFERROR(__xludf.DUMMYFUNCTION("""COMPUTED_VALUE"""),45167.6458333333)</f>
        <v>45167.645833333299</v>
      </c>
      <c r="B539" s="1">
        <f ca="1">IFERROR(__xludf.DUMMYFUNCTION("""COMPUTED_VALUE"""),967.75)</f>
        <v>967.75</v>
      </c>
      <c r="C539" s="3">
        <f t="shared" ca="1" si="16"/>
        <v>-2.8849621348719331E-3</v>
      </c>
      <c r="D539">
        <f t="shared" ca="1" si="15"/>
        <v>961.3346938775511</v>
      </c>
    </row>
    <row r="540" spans="1:4" x14ac:dyDescent="0.25">
      <c r="A540" s="2">
        <f ca="1">IFERROR(__xludf.DUMMYFUNCTION("""COMPUTED_VALUE"""),45168.6458333333)</f>
        <v>45168.645833333299</v>
      </c>
      <c r="B540" s="1">
        <f ca="1">IFERROR(__xludf.DUMMYFUNCTION("""COMPUTED_VALUE"""),958.9)</f>
        <v>958.9</v>
      </c>
      <c r="C540" s="3">
        <f t="shared" ca="1" si="16"/>
        <v>-9.1449237923017547E-3</v>
      </c>
      <c r="D540">
        <f t="shared" ca="1" si="15"/>
        <v>962.24489795918362</v>
      </c>
    </row>
    <row r="541" spans="1:4" x14ac:dyDescent="0.25">
      <c r="A541" s="2">
        <f ca="1">IFERROR(__xludf.DUMMYFUNCTION("""COMPUTED_VALUE"""),45169.6458333333)</f>
        <v>45169.645833333299</v>
      </c>
      <c r="B541" s="1">
        <f ca="1">IFERROR(__xludf.DUMMYFUNCTION("""COMPUTED_VALUE"""),958.75)</f>
        <v>958.75</v>
      </c>
      <c r="C541" s="3">
        <f t="shared" ca="1" si="16"/>
        <v>-1.5642924183958417E-4</v>
      </c>
      <c r="D541">
        <f t="shared" ca="1" si="15"/>
        <v>962.92551020408177</v>
      </c>
    </row>
    <row r="542" spans="1:4" x14ac:dyDescent="0.25">
      <c r="A542" s="2">
        <f ca="1">IFERROR(__xludf.DUMMYFUNCTION("""COMPUTED_VALUE"""),45170.6458333333)</f>
        <v>45170.645833333299</v>
      </c>
      <c r="B542" s="1">
        <f ca="1">IFERROR(__xludf.DUMMYFUNCTION("""COMPUTED_VALUE"""),968.7)</f>
        <v>968.7</v>
      </c>
      <c r="C542" s="3">
        <f t="shared" ca="1" si="16"/>
        <v>1.0378096479791443E-2</v>
      </c>
      <c r="D542">
        <f t="shared" ca="1" si="15"/>
        <v>963.62040816326532</v>
      </c>
    </row>
    <row r="543" spans="1:4" x14ac:dyDescent="0.25">
      <c r="A543" s="2">
        <f ca="1">IFERROR(__xludf.DUMMYFUNCTION("""COMPUTED_VALUE"""),45173.6458333333)</f>
        <v>45173.645833333299</v>
      </c>
      <c r="B543" s="1">
        <f ca="1">IFERROR(__xludf.DUMMYFUNCTION("""COMPUTED_VALUE"""),967.35)</f>
        <v>967.35</v>
      </c>
      <c r="C543" s="3">
        <f t="shared" ca="1" si="16"/>
        <v>-1.393620315887295E-3</v>
      </c>
      <c r="D543">
        <f t="shared" ca="1" si="15"/>
        <v>964.49693877551033</v>
      </c>
    </row>
    <row r="544" spans="1:4" x14ac:dyDescent="0.25">
      <c r="A544" s="2">
        <f ca="1">IFERROR(__xludf.DUMMYFUNCTION("""COMPUTED_VALUE"""),45174.6458333333)</f>
        <v>45174.645833333299</v>
      </c>
      <c r="B544" s="1">
        <f ca="1">IFERROR(__xludf.DUMMYFUNCTION("""COMPUTED_VALUE"""),968.4)</f>
        <v>968.4</v>
      </c>
      <c r="C544" s="3">
        <f t="shared" ca="1" si="16"/>
        <v>1.0854396030391838E-3</v>
      </c>
      <c r="D544">
        <f t="shared" ca="1" si="15"/>
        <v>965.39183673469392</v>
      </c>
    </row>
    <row r="545" spans="1:4" x14ac:dyDescent="0.25">
      <c r="A545" s="2">
        <f ca="1">IFERROR(__xludf.DUMMYFUNCTION("""COMPUTED_VALUE"""),45175.6458333333)</f>
        <v>45175.645833333299</v>
      </c>
      <c r="B545" s="1">
        <f ca="1">IFERROR(__xludf.DUMMYFUNCTION("""COMPUTED_VALUE"""),957.5)</f>
        <v>957.5</v>
      </c>
      <c r="C545" s="3">
        <f t="shared" ca="1" si="16"/>
        <v>-1.125567947129283E-2</v>
      </c>
      <c r="D545">
        <f t="shared" ca="1" si="15"/>
        <v>966.22755102040821</v>
      </c>
    </row>
    <row r="546" spans="1:4" x14ac:dyDescent="0.25">
      <c r="A546" s="2">
        <f ca="1">IFERROR(__xludf.DUMMYFUNCTION("""COMPUTED_VALUE"""),45176.6458333333)</f>
        <v>45176.645833333299</v>
      </c>
      <c r="B546" s="1">
        <f ca="1">IFERROR(__xludf.DUMMYFUNCTION("""COMPUTED_VALUE"""),965.65)</f>
        <v>965.65</v>
      </c>
      <c r="C546" s="3">
        <f t="shared" ca="1" si="16"/>
        <v>8.5117493472584623E-3</v>
      </c>
      <c r="D546">
        <f t="shared" ca="1" si="15"/>
        <v>966.66428571428582</v>
      </c>
    </row>
    <row r="547" spans="1:4" x14ac:dyDescent="0.25">
      <c r="A547" s="2">
        <f ca="1">IFERROR(__xludf.DUMMYFUNCTION("""COMPUTED_VALUE"""),45177.6458333333)</f>
        <v>45177.645833333299</v>
      </c>
      <c r="B547" s="1">
        <f ca="1">IFERROR(__xludf.DUMMYFUNCTION("""COMPUTED_VALUE"""),970.55)</f>
        <v>970.55</v>
      </c>
      <c r="C547" s="3">
        <f t="shared" ca="1" si="16"/>
        <v>5.074302283436004E-3</v>
      </c>
      <c r="D547">
        <f t="shared" ca="1" si="15"/>
        <v>967.23979591836735</v>
      </c>
    </row>
    <row r="548" spans="1:4" x14ac:dyDescent="0.25">
      <c r="A548" s="2">
        <f ca="1">IFERROR(__xludf.DUMMYFUNCTION("""COMPUTED_VALUE"""),45180.6458333333)</f>
        <v>45180.645833333299</v>
      </c>
      <c r="B548" s="1">
        <f ca="1">IFERROR(__xludf.DUMMYFUNCTION("""COMPUTED_VALUE"""),978.25)</f>
        <v>978.25</v>
      </c>
      <c r="C548" s="3">
        <f t="shared" ca="1" si="16"/>
        <v>7.9336458708979922E-3</v>
      </c>
      <c r="D548">
        <f t="shared" ca="1" si="15"/>
        <v>967.97346938775524</v>
      </c>
    </row>
    <row r="549" spans="1:4" x14ac:dyDescent="0.25">
      <c r="A549" s="2">
        <f ca="1">IFERROR(__xludf.DUMMYFUNCTION("""COMPUTED_VALUE"""),45181.6458333333)</f>
        <v>45181.645833333299</v>
      </c>
      <c r="B549" s="1">
        <f ca="1">IFERROR(__xludf.DUMMYFUNCTION("""COMPUTED_VALUE"""),990.5)</f>
        <v>990.5</v>
      </c>
      <c r="C549" s="3">
        <f t="shared" ca="1" si="16"/>
        <v>1.2522361359570662E-2</v>
      </c>
      <c r="D549">
        <f t="shared" ca="1" si="15"/>
        <v>968.70204081632676</v>
      </c>
    </row>
    <row r="550" spans="1:4" x14ac:dyDescent="0.25">
      <c r="A550" s="2">
        <f ca="1">IFERROR(__xludf.DUMMYFUNCTION("""COMPUTED_VALUE"""),45182.6458333333)</f>
        <v>45182.645833333299</v>
      </c>
      <c r="B550" s="1">
        <f ca="1">IFERROR(__xludf.DUMMYFUNCTION("""COMPUTED_VALUE"""),989.8)</f>
        <v>989.8</v>
      </c>
      <c r="C550" s="3">
        <f t="shared" ca="1" si="16"/>
        <v>-7.0671378091877385E-4</v>
      </c>
      <c r="D550">
        <f t="shared" ca="1" si="15"/>
        <v>969.63673469387777</v>
      </c>
    </row>
    <row r="551" spans="1:4" x14ac:dyDescent="0.25">
      <c r="A551" s="2">
        <f ca="1">IFERROR(__xludf.DUMMYFUNCTION("""COMPUTED_VALUE"""),45183.6458333333)</f>
        <v>45183.645833333299</v>
      </c>
      <c r="B551" s="1">
        <f ca="1">IFERROR(__xludf.DUMMYFUNCTION("""COMPUTED_VALUE"""),987.7)</f>
        <v>987.7</v>
      </c>
      <c r="C551" s="3">
        <f t="shared" ca="1" si="16"/>
        <v>-2.1216407355020297E-3</v>
      </c>
      <c r="D551">
        <f t="shared" ca="1" si="15"/>
        <v>970.28571428571456</v>
      </c>
    </row>
    <row r="552" spans="1:4" x14ac:dyDescent="0.25">
      <c r="A552" s="2">
        <f ca="1">IFERROR(__xludf.DUMMYFUNCTION("""COMPUTED_VALUE"""),45184.6458333333)</f>
        <v>45184.645833333299</v>
      </c>
      <c r="B552" s="1">
        <f ca="1">IFERROR(__xludf.DUMMYFUNCTION("""COMPUTED_VALUE"""),992.45)</f>
        <v>992.45</v>
      </c>
      <c r="C552" s="3">
        <f t="shared" ca="1" si="16"/>
        <v>4.8091525766933273E-3</v>
      </c>
      <c r="D552">
        <f t="shared" ca="1" si="15"/>
        <v>970.86326530612268</v>
      </c>
    </row>
    <row r="553" spans="1:4" x14ac:dyDescent="0.25">
      <c r="A553" s="2">
        <f ca="1">IFERROR(__xludf.DUMMYFUNCTION("""COMPUTED_VALUE"""),45187.6458333333)</f>
        <v>45187.645833333299</v>
      </c>
      <c r="B553" s="1">
        <f ca="1">IFERROR(__xludf.DUMMYFUNCTION("""COMPUTED_VALUE"""),990.2)</f>
        <v>990.2</v>
      </c>
      <c r="C553" s="3">
        <f t="shared" ca="1" si="16"/>
        <v>-2.2671167313214769E-3</v>
      </c>
      <c r="D553">
        <f t="shared" ca="1" si="15"/>
        <v>971.80306122448997</v>
      </c>
    </row>
    <row r="554" spans="1:4" x14ac:dyDescent="0.25">
      <c r="A554" s="2">
        <f ca="1">IFERROR(__xludf.DUMMYFUNCTION("""COMPUTED_VALUE"""),45189.6458333333)</f>
        <v>45189.645833333299</v>
      </c>
      <c r="B554" s="1">
        <f ca="1">IFERROR(__xludf.DUMMYFUNCTION("""COMPUTED_VALUE"""),987.15)</f>
        <v>987.15</v>
      </c>
      <c r="C554" s="3">
        <f t="shared" ca="1" si="16"/>
        <v>-3.0801858210463221E-3</v>
      </c>
      <c r="D554">
        <f t="shared" ca="1" si="15"/>
        <v>972.65612244897966</v>
      </c>
    </row>
    <row r="555" spans="1:4" x14ac:dyDescent="0.25">
      <c r="A555" s="2">
        <f ca="1">IFERROR(__xludf.DUMMYFUNCTION("""COMPUTED_VALUE"""),45190.6458333333)</f>
        <v>45190.645833333299</v>
      </c>
      <c r="B555" s="1">
        <f ca="1">IFERROR(__xludf.DUMMYFUNCTION("""COMPUTED_VALUE"""),959.3)</f>
        <v>959.3</v>
      </c>
      <c r="C555" s="3">
        <f t="shared" ca="1" si="16"/>
        <v>-2.8212531023653977E-2</v>
      </c>
      <c r="D555">
        <f t="shared" ca="1" si="15"/>
        <v>973.51734693877552</v>
      </c>
    </row>
    <row r="556" spans="1:4" x14ac:dyDescent="0.25">
      <c r="A556" s="2">
        <f ca="1">IFERROR(__xludf.DUMMYFUNCTION("""COMPUTED_VALUE"""),45191.6458333333)</f>
        <v>45191.645833333299</v>
      </c>
      <c r="B556" s="1">
        <f ca="1">IFERROR(__xludf.DUMMYFUNCTION("""COMPUTED_VALUE"""),950.3)</f>
        <v>950.3</v>
      </c>
      <c r="C556" s="3">
        <f t="shared" ca="1" si="16"/>
        <v>-9.3818409256749714E-3</v>
      </c>
      <c r="D556">
        <f t="shared" ca="1" si="15"/>
        <v>973.82142857142856</v>
      </c>
    </row>
    <row r="557" spans="1:4" x14ac:dyDescent="0.25">
      <c r="A557" s="2">
        <f ca="1">IFERROR(__xludf.DUMMYFUNCTION("""COMPUTED_VALUE"""),45194.6458333333)</f>
        <v>45194.645833333299</v>
      </c>
      <c r="B557" s="1">
        <f ca="1">IFERROR(__xludf.DUMMYFUNCTION("""COMPUTED_VALUE"""),956.35)</f>
        <v>956.35</v>
      </c>
      <c r="C557" s="3">
        <f t="shared" ca="1" si="16"/>
        <v>6.3664106071767528E-3</v>
      </c>
      <c r="D557">
        <f t="shared" ca="1" si="15"/>
        <v>973.711224489796</v>
      </c>
    </row>
    <row r="558" spans="1:4" x14ac:dyDescent="0.25">
      <c r="A558" s="2">
        <f ca="1">IFERROR(__xludf.DUMMYFUNCTION("""COMPUTED_VALUE"""),45195.6458333333)</f>
        <v>45195.645833333299</v>
      </c>
      <c r="B558" s="1">
        <f ca="1">IFERROR(__xludf.DUMMYFUNCTION("""COMPUTED_VALUE"""),948.7)</f>
        <v>948.7</v>
      </c>
      <c r="C558" s="3">
        <f t="shared" ca="1" si="16"/>
        <v>-7.9991634861713568E-3</v>
      </c>
      <c r="D558">
        <f t="shared" ca="1" si="15"/>
        <v>973.63571428571447</v>
      </c>
    </row>
    <row r="559" spans="1:4" x14ac:dyDescent="0.25">
      <c r="A559" s="2">
        <f ca="1">IFERROR(__xludf.DUMMYFUNCTION("""COMPUTED_VALUE"""),45196.6458333333)</f>
        <v>45196.645833333299</v>
      </c>
      <c r="B559" s="1">
        <f ca="1">IFERROR(__xludf.DUMMYFUNCTION("""COMPUTED_VALUE"""),943.1)</f>
        <v>943.1</v>
      </c>
      <c r="C559" s="3">
        <f t="shared" ca="1" si="16"/>
        <v>-5.9028143775693293E-3</v>
      </c>
      <c r="D559">
        <f t="shared" ca="1" si="15"/>
        <v>973.22755102040821</v>
      </c>
    </row>
    <row r="560" spans="1:4" x14ac:dyDescent="0.25">
      <c r="A560" s="2">
        <f ca="1">IFERROR(__xludf.DUMMYFUNCTION("""COMPUTED_VALUE"""),45197.6458333333)</f>
        <v>45197.645833333299</v>
      </c>
      <c r="B560" s="1">
        <f ca="1">IFERROR(__xludf.DUMMYFUNCTION("""COMPUTED_VALUE"""),942.6)</f>
        <v>942.6</v>
      </c>
      <c r="C560" s="3">
        <f t="shared" ca="1" si="16"/>
        <v>-5.3016647227229353E-4</v>
      </c>
      <c r="D560">
        <f t="shared" ca="1" si="15"/>
        <v>972.56734693877559</v>
      </c>
    </row>
    <row r="561" spans="1:4" x14ac:dyDescent="0.25">
      <c r="A561" s="2">
        <f ca="1">IFERROR(__xludf.DUMMYFUNCTION("""COMPUTED_VALUE"""),45198.6458333333)</f>
        <v>45198.645833333299</v>
      </c>
      <c r="B561" s="1">
        <f ca="1">IFERROR(__xludf.DUMMYFUNCTION("""COMPUTED_VALUE"""),951.9)</f>
        <v>951.9</v>
      </c>
      <c r="C561" s="3">
        <f t="shared" ca="1" si="16"/>
        <v>9.8663271801399891E-3</v>
      </c>
      <c r="D561">
        <f t="shared" ca="1" si="15"/>
        <v>971.93775510204091</v>
      </c>
    </row>
    <row r="562" spans="1:4" x14ac:dyDescent="0.25">
      <c r="A562" s="2">
        <f ca="1">IFERROR(__xludf.DUMMYFUNCTION("""COMPUTED_VALUE"""),45202.6458333333)</f>
        <v>45202.645833333299</v>
      </c>
      <c r="B562" s="1">
        <f ca="1">IFERROR(__xludf.DUMMYFUNCTION("""COMPUTED_VALUE"""),940.3)</f>
        <v>940.3</v>
      </c>
      <c r="C562" s="3">
        <f t="shared" ca="1" si="16"/>
        <v>-1.2186154007773949E-2</v>
      </c>
      <c r="D562">
        <f t="shared" ca="1" si="15"/>
        <v>971.0459183673471</v>
      </c>
    </row>
    <row r="563" spans="1:4" x14ac:dyDescent="0.25">
      <c r="A563" s="2">
        <f ca="1">IFERROR(__xludf.DUMMYFUNCTION("""COMPUTED_VALUE"""),45203.6458333333)</f>
        <v>45203.645833333299</v>
      </c>
      <c r="B563" s="1">
        <f ca="1">IFERROR(__xludf.DUMMYFUNCTION("""COMPUTED_VALUE"""),930.05)</f>
        <v>930.05</v>
      </c>
      <c r="C563" s="3">
        <f t="shared" ca="1" si="16"/>
        <v>-1.0900776347974052E-2</v>
      </c>
      <c r="D563">
        <f t="shared" ca="1" si="15"/>
        <v>969.88877551020425</v>
      </c>
    </row>
    <row r="564" spans="1:4" x14ac:dyDescent="0.25">
      <c r="A564" s="2">
        <f ca="1">IFERROR(__xludf.DUMMYFUNCTION("""COMPUTED_VALUE"""),45204.6458333333)</f>
        <v>45204.645833333299</v>
      </c>
      <c r="B564" s="1">
        <f ca="1">IFERROR(__xludf.DUMMYFUNCTION("""COMPUTED_VALUE"""),940.85)</f>
        <v>940.85</v>
      </c>
      <c r="C564" s="3">
        <f t="shared" ca="1" si="16"/>
        <v>1.161227890973611E-2</v>
      </c>
      <c r="D564">
        <f t="shared" ref="D564:D627" ca="1" si="17">AVERAGE(B515:B563)</f>
        <v>968.62448979591863</v>
      </c>
    </row>
    <row r="565" spans="1:4" x14ac:dyDescent="0.25">
      <c r="A565" s="2">
        <f ca="1">IFERROR(__xludf.DUMMYFUNCTION("""COMPUTED_VALUE"""),45205.6458333333)</f>
        <v>45205.645833333299</v>
      </c>
      <c r="B565" s="1">
        <f ca="1">IFERROR(__xludf.DUMMYFUNCTION("""COMPUTED_VALUE"""),945.2)</f>
        <v>945.2</v>
      </c>
      <c r="C565" s="3">
        <f t="shared" ca="1" si="16"/>
        <v>4.6234787691980892E-3</v>
      </c>
      <c r="D565">
        <f t="shared" ca="1" si="17"/>
        <v>967.52551020408168</v>
      </c>
    </row>
    <row r="566" spans="1:4" x14ac:dyDescent="0.25">
      <c r="A566" s="2">
        <f ca="1">IFERROR(__xludf.DUMMYFUNCTION("""COMPUTED_VALUE"""),45208.6458333333)</f>
        <v>45208.645833333299</v>
      </c>
      <c r="B566" s="1">
        <f ca="1">IFERROR(__xludf.DUMMYFUNCTION("""COMPUTED_VALUE"""),938.6)</f>
        <v>938.6</v>
      </c>
      <c r="C566" s="3">
        <f t="shared" ca="1" si="16"/>
        <v>-6.9826491747778489E-3</v>
      </c>
      <c r="D566">
        <f t="shared" ca="1" si="17"/>
        <v>966.4795918367347</v>
      </c>
    </row>
    <row r="567" spans="1:4" x14ac:dyDescent="0.25">
      <c r="A567" s="2">
        <f ca="1">IFERROR(__xludf.DUMMYFUNCTION("""COMPUTED_VALUE"""),45209.6458333333)</f>
        <v>45209.645833333299</v>
      </c>
      <c r="B567" s="1">
        <f ca="1">IFERROR(__xludf.DUMMYFUNCTION("""COMPUTED_VALUE"""),951.2)</f>
        <v>951.2</v>
      </c>
      <c r="C567" s="3">
        <f t="shared" ca="1" si="16"/>
        <v>1.3424248881312616E-2</v>
      </c>
      <c r="D567">
        <f t="shared" ca="1" si="17"/>
        <v>965.42551020408155</v>
      </c>
    </row>
    <row r="568" spans="1:4" x14ac:dyDescent="0.25">
      <c r="A568" s="2">
        <f ca="1">IFERROR(__xludf.DUMMYFUNCTION("""COMPUTED_VALUE"""),45210.6458333333)</f>
        <v>45210.645833333299</v>
      </c>
      <c r="B568" s="1">
        <f ca="1">IFERROR(__xludf.DUMMYFUNCTION("""COMPUTED_VALUE"""),953.1)</f>
        <v>953.1</v>
      </c>
      <c r="C568" s="3">
        <f t="shared" ca="1" si="16"/>
        <v>1.9974768713204132E-3</v>
      </c>
      <c r="D568">
        <f t="shared" ca="1" si="17"/>
        <v>964.50714285714287</v>
      </c>
    </row>
    <row r="569" spans="1:4" x14ac:dyDescent="0.25">
      <c r="A569" s="2">
        <f ca="1">IFERROR(__xludf.DUMMYFUNCTION("""COMPUTED_VALUE"""),45211.6458333333)</f>
        <v>45211.645833333299</v>
      </c>
      <c r="B569" s="1">
        <f ca="1">IFERROR(__xludf.DUMMYFUNCTION("""COMPUTED_VALUE"""),954.25)</f>
        <v>954.25</v>
      </c>
      <c r="C569" s="3">
        <f t="shared" ca="1" si="16"/>
        <v>1.2065890252858852E-3</v>
      </c>
      <c r="D569">
        <f t="shared" ca="1" si="17"/>
        <v>963.5846938775511</v>
      </c>
    </row>
    <row r="570" spans="1:4" x14ac:dyDescent="0.25">
      <c r="A570" s="2">
        <f ca="1">IFERROR(__xludf.DUMMYFUNCTION("""COMPUTED_VALUE"""),45212.6458333333)</f>
        <v>45212.645833333299</v>
      </c>
      <c r="B570" s="1">
        <f ca="1">IFERROR(__xludf.DUMMYFUNCTION("""COMPUTED_VALUE"""),951.3)</f>
        <v>951.3</v>
      </c>
      <c r="C570" s="3">
        <f t="shared" ca="1" si="16"/>
        <v>-3.0914330626146663E-3</v>
      </c>
      <c r="D570">
        <f t="shared" ca="1" si="17"/>
        <v>962.76224489795914</v>
      </c>
    </row>
    <row r="571" spans="1:4" x14ac:dyDescent="0.25">
      <c r="A571" s="2">
        <f ca="1">IFERROR(__xludf.DUMMYFUNCTION("""COMPUTED_VALUE"""),45215.6458333333)</f>
        <v>45215.645833333299</v>
      </c>
      <c r="B571" s="1">
        <f ca="1">IFERROR(__xludf.DUMMYFUNCTION("""COMPUTED_VALUE"""),951.4)</f>
        <v>951.4</v>
      </c>
      <c r="C571" s="3">
        <f t="shared" ca="1" si="16"/>
        <v>1.0511931041734757E-4</v>
      </c>
      <c r="D571">
        <f t="shared" ca="1" si="17"/>
        <v>962.03469387755115</v>
      </c>
    </row>
    <row r="572" spans="1:4" x14ac:dyDescent="0.25">
      <c r="A572" s="2">
        <f ca="1">IFERROR(__xludf.DUMMYFUNCTION("""COMPUTED_VALUE"""),45216.6458333333)</f>
        <v>45216.645833333299</v>
      </c>
      <c r="B572" s="1">
        <f ca="1">IFERROR(__xludf.DUMMYFUNCTION("""COMPUTED_VALUE"""),953.9)</f>
        <v>953.9</v>
      </c>
      <c r="C572" s="3">
        <f t="shared" ca="1" si="16"/>
        <v>2.6277065377338657E-3</v>
      </c>
      <c r="D572">
        <f t="shared" ca="1" si="17"/>
        <v>961.75714285714287</v>
      </c>
    </row>
    <row r="573" spans="1:4" x14ac:dyDescent="0.25">
      <c r="A573" s="2">
        <f ca="1">IFERROR(__xludf.DUMMYFUNCTION("""COMPUTED_VALUE"""),45217.6458333333)</f>
        <v>45217.645833333299</v>
      </c>
      <c r="B573" s="1">
        <f ca="1">IFERROR(__xludf.DUMMYFUNCTION("""COMPUTED_VALUE"""),943.75)</f>
        <v>943.75</v>
      </c>
      <c r="C573" s="3">
        <f t="shared" ca="1" si="16"/>
        <v>-1.064052835727013E-2</v>
      </c>
      <c r="D573">
        <f t="shared" ca="1" si="17"/>
        <v>961.41836734693879</v>
      </c>
    </row>
    <row r="574" spans="1:4" x14ac:dyDescent="0.25">
      <c r="A574" s="2">
        <f ca="1">IFERROR(__xludf.DUMMYFUNCTION("""COMPUTED_VALUE"""),45218.6458333333)</f>
        <v>45218.645833333299</v>
      </c>
      <c r="B574" s="1">
        <f ca="1">IFERROR(__xludf.DUMMYFUNCTION("""COMPUTED_VALUE"""),935.75)</f>
        <v>935.75</v>
      </c>
      <c r="C574" s="3">
        <f t="shared" ca="1" si="16"/>
        <v>-8.4768211920529801E-3</v>
      </c>
      <c r="D574">
        <f t="shared" ca="1" si="17"/>
        <v>960.76734693877552</v>
      </c>
    </row>
    <row r="575" spans="1:4" x14ac:dyDescent="0.25">
      <c r="A575" s="2">
        <f ca="1">IFERROR(__xludf.DUMMYFUNCTION("""COMPUTED_VALUE"""),45219.6458333333)</f>
        <v>45219.645833333299</v>
      </c>
      <c r="B575" s="1">
        <f ca="1">IFERROR(__xludf.DUMMYFUNCTION("""COMPUTED_VALUE"""),932.75)</f>
        <v>932.75</v>
      </c>
      <c r="C575" s="3">
        <f t="shared" ca="1" si="16"/>
        <v>-3.2059845044082286E-3</v>
      </c>
      <c r="D575">
        <f t="shared" ca="1" si="17"/>
        <v>959.86632653061235</v>
      </c>
    </row>
    <row r="576" spans="1:4" x14ac:dyDescent="0.25">
      <c r="A576" s="2">
        <f ca="1">IFERROR(__xludf.DUMMYFUNCTION("""COMPUTED_VALUE"""),45222.6458333333)</f>
        <v>45222.645833333299</v>
      </c>
      <c r="B576" s="1">
        <f ca="1">IFERROR(__xludf.DUMMYFUNCTION("""COMPUTED_VALUE"""),929.95)</f>
        <v>929.95</v>
      </c>
      <c r="C576" s="3">
        <f t="shared" ca="1" si="16"/>
        <v>-3.0018761726078314E-3</v>
      </c>
      <c r="D576">
        <f t="shared" ca="1" si="17"/>
        <v>959.05102040816325</v>
      </c>
    </row>
    <row r="577" spans="1:4" x14ac:dyDescent="0.25">
      <c r="A577" s="2">
        <f ca="1">IFERROR(__xludf.DUMMYFUNCTION("""COMPUTED_VALUE"""),45224.6458333333)</f>
        <v>45224.645833333299</v>
      </c>
      <c r="B577" s="1">
        <f ca="1">IFERROR(__xludf.DUMMYFUNCTION("""COMPUTED_VALUE"""),916.1)</f>
        <v>916.1</v>
      </c>
      <c r="C577" s="3">
        <f t="shared" ca="1" si="16"/>
        <v>-1.4893273831926471E-2</v>
      </c>
      <c r="D577">
        <f t="shared" ca="1" si="17"/>
        <v>958.35408163265299</v>
      </c>
    </row>
    <row r="578" spans="1:4" x14ac:dyDescent="0.25">
      <c r="A578" s="2">
        <f ca="1">IFERROR(__xludf.DUMMYFUNCTION("""COMPUTED_VALUE"""),45225.6458333333)</f>
        <v>45225.645833333299</v>
      </c>
      <c r="B578" s="1">
        <f ca="1">IFERROR(__xludf.DUMMYFUNCTION("""COMPUTED_VALUE"""),908.65)</f>
        <v>908.65</v>
      </c>
      <c r="C578" s="3">
        <f t="shared" ca="1" si="16"/>
        <v>-8.1322999672525324E-3</v>
      </c>
      <c r="D578">
        <f t="shared" ca="1" si="17"/>
        <v>957.60408163265288</v>
      </c>
    </row>
    <row r="579" spans="1:4" x14ac:dyDescent="0.25">
      <c r="A579" s="2">
        <f ca="1">IFERROR(__xludf.DUMMYFUNCTION("""COMPUTED_VALUE"""),45226.6458333333)</f>
        <v>45226.645833333299</v>
      </c>
      <c r="B579" s="1">
        <f ca="1">IFERROR(__xludf.DUMMYFUNCTION("""COMPUTED_VALUE"""),912.75)</f>
        <v>912.75</v>
      </c>
      <c r="C579" s="3">
        <f t="shared" ca="1" si="16"/>
        <v>4.5121884113795445E-3</v>
      </c>
      <c r="D579">
        <f t="shared" ca="1" si="17"/>
        <v>956.56530612244876</v>
      </c>
    </row>
    <row r="580" spans="1:4" x14ac:dyDescent="0.25">
      <c r="A580" s="2">
        <f ca="1">IFERROR(__xludf.DUMMYFUNCTION("""COMPUTED_VALUE"""),45229.6458333333)</f>
        <v>45229.645833333299</v>
      </c>
      <c r="B580" s="1">
        <f ca="1">IFERROR(__xludf.DUMMYFUNCTION("""COMPUTED_VALUE"""),924.9)</f>
        <v>924.9</v>
      </c>
      <c r="C580" s="3">
        <f t="shared" ref="C580:C643" ca="1" si="18">(B580-B579)/B579</f>
        <v>1.3311421528348372E-2</v>
      </c>
      <c r="D580">
        <f t="shared" ca="1" si="17"/>
        <v>955.67244897959165</v>
      </c>
    </row>
    <row r="581" spans="1:4" x14ac:dyDescent="0.25">
      <c r="A581" s="2">
        <f ca="1">IFERROR(__xludf.DUMMYFUNCTION("""COMPUTED_VALUE"""),45230.6458333333)</f>
        <v>45230.645833333299</v>
      </c>
      <c r="B581" s="1">
        <f ca="1">IFERROR(__xludf.DUMMYFUNCTION("""COMPUTED_VALUE"""),915.35)</f>
        <v>915.35</v>
      </c>
      <c r="C581" s="3">
        <f t="shared" ca="1" si="18"/>
        <v>-1.0325440588171645E-2</v>
      </c>
      <c r="D581">
        <f t="shared" ca="1" si="17"/>
        <v>955.12653061224489</v>
      </c>
    </row>
    <row r="582" spans="1:4" x14ac:dyDescent="0.25">
      <c r="A582" s="2">
        <f ca="1">IFERROR(__xludf.DUMMYFUNCTION("""COMPUTED_VALUE"""),45231.6458333333)</f>
        <v>45231.645833333299</v>
      </c>
      <c r="B582" s="1">
        <f ca="1">IFERROR(__xludf.DUMMYFUNCTION("""COMPUTED_VALUE"""),914.05)</f>
        <v>914.05</v>
      </c>
      <c r="C582" s="3">
        <f t="shared" ca="1" si="18"/>
        <v>-1.4202217730923342E-3</v>
      </c>
      <c r="D582">
        <f t="shared" ca="1" si="17"/>
        <v>954.40612244897943</v>
      </c>
    </row>
    <row r="583" spans="1:4" x14ac:dyDescent="0.25">
      <c r="A583" s="2">
        <f ca="1">IFERROR(__xludf.DUMMYFUNCTION("""COMPUTED_VALUE"""),45232.6458333333)</f>
        <v>45232.645833333299</v>
      </c>
      <c r="B583" s="1">
        <f ca="1">IFERROR(__xludf.DUMMYFUNCTION("""COMPUTED_VALUE"""),919.95)</f>
        <v>919.95</v>
      </c>
      <c r="C583" s="3">
        <f t="shared" ca="1" si="18"/>
        <v>6.4547891253214718E-3</v>
      </c>
      <c r="D583">
        <f t="shared" ca="1" si="17"/>
        <v>953.56632653061229</v>
      </c>
    </row>
    <row r="584" spans="1:4" x14ac:dyDescent="0.25">
      <c r="A584" s="2">
        <f ca="1">IFERROR(__xludf.DUMMYFUNCTION("""COMPUTED_VALUE"""),45233.6458333333)</f>
        <v>45233.645833333299</v>
      </c>
      <c r="B584" s="1">
        <f ca="1">IFERROR(__xludf.DUMMYFUNCTION("""COMPUTED_VALUE"""),933.8)</f>
        <v>933.8</v>
      </c>
      <c r="C584" s="3">
        <f t="shared" ca="1" si="18"/>
        <v>1.5055166041632598E-2</v>
      </c>
      <c r="D584">
        <f t="shared" ca="1" si="17"/>
        <v>952.91224489795911</v>
      </c>
    </row>
    <row r="585" spans="1:4" x14ac:dyDescent="0.25">
      <c r="A585" s="2">
        <f ca="1">IFERROR(__xludf.DUMMYFUNCTION("""COMPUTED_VALUE"""),45236.6458333333)</f>
        <v>45236.645833333299</v>
      </c>
      <c r="B585" s="1">
        <f ca="1">IFERROR(__xludf.DUMMYFUNCTION("""COMPUTED_VALUE"""),945.45)</f>
        <v>945.45</v>
      </c>
      <c r="C585" s="3">
        <f t="shared" ca="1" si="18"/>
        <v>1.247590490469061E-2</v>
      </c>
      <c r="D585">
        <f t="shared" ca="1" si="17"/>
        <v>952.23775510204075</v>
      </c>
    </row>
    <row r="586" spans="1:4" x14ac:dyDescent="0.25">
      <c r="A586" s="2">
        <f ca="1">IFERROR(__xludf.DUMMYFUNCTION("""COMPUTED_VALUE"""),45237.6458333333)</f>
        <v>45237.645833333299</v>
      </c>
      <c r="B586" s="1">
        <f ca="1">IFERROR(__xludf.DUMMYFUNCTION("""COMPUTED_VALUE"""),948.1)</f>
        <v>948.1</v>
      </c>
      <c r="C586" s="3">
        <f t="shared" ca="1" si="18"/>
        <v>2.8028980908561818E-3</v>
      </c>
      <c r="D586">
        <f t="shared" ca="1" si="17"/>
        <v>951.75816326530583</v>
      </c>
    </row>
    <row r="587" spans="1:4" x14ac:dyDescent="0.25">
      <c r="A587" s="2">
        <f ca="1">IFERROR(__xludf.DUMMYFUNCTION("""COMPUTED_VALUE"""),45238.6458333333)</f>
        <v>45238.645833333299</v>
      </c>
      <c r="B587" s="1">
        <f ca="1">IFERROR(__xludf.DUMMYFUNCTION("""COMPUTED_VALUE"""),935.75)</f>
        <v>935.75</v>
      </c>
      <c r="C587" s="3">
        <f t="shared" ca="1" si="18"/>
        <v>-1.302605210420844E-2</v>
      </c>
      <c r="D587">
        <f t="shared" ca="1" si="17"/>
        <v>951.30306122448962</v>
      </c>
    </row>
    <row r="588" spans="1:4" x14ac:dyDescent="0.25">
      <c r="A588" s="2">
        <f ca="1">IFERROR(__xludf.DUMMYFUNCTION("""COMPUTED_VALUE"""),45239.6458333333)</f>
        <v>45239.645833333299</v>
      </c>
      <c r="B588" s="1">
        <f ca="1">IFERROR(__xludf.DUMMYFUNCTION("""COMPUTED_VALUE"""),937.35)</f>
        <v>937.35</v>
      </c>
      <c r="C588" s="3">
        <f t="shared" ca="1" si="18"/>
        <v>1.7098584023510796E-3</v>
      </c>
      <c r="D588">
        <f t="shared" ca="1" si="17"/>
        <v>950.59285714285704</v>
      </c>
    </row>
    <row r="589" spans="1:4" x14ac:dyDescent="0.25">
      <c r="A589" s="2">
        <f ca="1">IFERROR(__xludf.DUMMYFUNCTION("""COMPUTED_VALUE"""),45240.6458333333)</f>
        <v>45240.645833333299</v>
      </c>
      <c r="B589" s="1">
        <f ca="1">IFERROR(__xludf.DUMMYFUNCTION("""COMPUTED_VALUE"""),938.6)</f>
        <v>938.6</v>
      </c>
      <c r="C589" s="3">
        <f t="shared" ca="1" si="18"/>
        <v>1.3335467008054622E-3</v>
      </c>
      <c r="D589">
        <f t="shared" ca="1" si="17"/>
        <v>949.97244897959172</v>
      </c>
    </row>
    <row r="590" spans="1:4" x14ac:dyDescent="0.25">
      <c r="A590" s="2">
        <f ca="1">IFERROR(__xludf.DUMMYFUNCTION("""COMPUTED_VALUE"""),45243.6458333333)</f>
        <v>45243.645833333299</v>
      </c>
      <c r="B590" s="1">
        <f ca="1">IFERROR(__xludf.DUMMYFUNCTION("""COMPUTED_VALUE"""),934.45)</f>
        <v>934.45</v>
      </c>
      <c r="C590" s="3">
        <f t="shared" ca="1" si="18"/>
        <v>-4.4214787982100757E-3</v>
      </c>
      <c r="D590">
        <f t="shared" ca="1" si="17"/>
        <v>949.55816326530589</v>
      </c>
    </row>
    <row r="591" spans="1:4" x14ac:dyDescent="0.25">
      <c r="A591" s="2">
        <f ca="1">IFERROR(__xludf.DUMMYFUNCTION("""COMPUTED_VALUE"""),45245.6458333333)</f>
        <v>45245.645833333299</v>
      </c>
      <c r="B591" s="1">
        <f ca="1">IFERROR(__xludf.DUMMYFUNCTION("""COMPUTED_VALUE"""),941.1)</f>
        <v>941.1</v>
      </c>
      <c r="C591" s="3">
        <f t="shared" ca="1" si="18"/>
        <v>7.1164856332601818E-3</v>
      </c>
      <c r="D591">
        <f t="shared" ca="1" si="17"/>
        <v>949.06224489795898</v>
      </c>
    </row>
    <row r="592" spans="1:4" x14ac:dyDescent="0.25">
      <c r="A592" s="2">
        <f ca="1">IFERROR(__xludf.DUMMYFUNCTION("""COMPUTED_VALUE"""),45246.6458333333)</f>
        <v>45246.645833333299</v>
      </c>
      <c r="B592" s="1">
        <f ca="1">IFERROR(__xludf.DUMMYFUNCTION("""COMPUTED_VALUE"""),936)</f>
        <v>936</v>
      </c>
      <c r="C592" s="3">
        <f t="shared" ca="1" si="18"/>
        <v>-5.4191903092126476E-3</v>
      </c>
      <c r="D592">
        <f t="shared" ca="1" si="17"/>
        <v>948.49897959183647</v>
      </c>
    </row>
    <row r="593" spans="1:4" x14ac:dyDescent="0.25">
      <c r="A593" s="2">
        <f ca="1">IFERROR(__xludf.DUMMYFUNCTION("""COMPUTED_VALUE"""),45247.6458333333)</f>
        <v>45247.645833333299</v>
      </c>
      <c r="B593" s="1">
        <f ca="1">IFERROR(__xludf.DUMMYFUNCTION("""COMPUTED_VALUE"""),921.85)</f>
        <v>921.85</v>
      </c>
      <c r="C593" s="3">
        <f t="shared" ca="1" si="18"/>
        <v>-1.5117521367521343E-2</v>
      </c>
      <c r="D593">
        <f t="shared" ca="1" si="17"/>
        <v>947.85918367346926</v>
      </c>
    </row>
    <row r="594" spans="1:4" x14ac:dyDescent="0.25">
      <c r="A594" s="2">
        <f ca="1">IFERROR(__xludf.DUMMYFUNCTION("""COMPUTED_VALUE"""),45250.6458333333)</f>
        <v>45250.645833333299</v>
      </c>
      <c r="B594" s="1">
        <f ca="1">IFERROR(__xludf.DUMMYFUNCTION("""COMPUTED_VALUE"""),921.45)</f>
        <v>921.45</v>
      </c>
      <c r="C594" s="3">
        <f t="shared" ca="1" si="18"/>
        <v>-4.3391007213752482E-4</v>
      </c>
      <c r="D594">
        <f t="shared" ca="1" si="17"/>
        <v>946.9091836734691</v>
      </c>
    </row>
    <row r="595" spans="1:4" x14ac:dyDescent="0.25">
      <c r="A595" s="2">
        <f ca="1">IFERROR(__xludf.DUMMYFUNCTION("""COMPUTED_VALUE"""),45251.6458333333)</f>
        <v>45251.645833333299</v>
      </c>
      <c r="B595" s="1">
        <f ca="1">IFERROR(__xludf.DUMMYFUNCTION("""COMPUTED_VALUE"""),926.1)</f>
        <v>926.1</v>
      </c>
      <c r="C595" s="3">
        <f t="shared" ca="1" si="18"/>
        <v>5.0463942699006748E-3</v>
      </c>
      <c r="D595">
        <f t="shared" ca="1" si="17"/>
        <v>946.17346938775484</v>
      </c>
    </row>
    <row r="596" spans="1:4" x14ac:dyDescent="0.25">
      <c r="A596" s="2">
        <f ca="1">IFERROR(__xludf.DUMMYFUNCTION("""COMPUTED_VALUE"""),45252.6458333333)</f>
        <v>45252.645833333299</v>
      </c>
      <c r="B596" s="1">
        <f ca="1">IFERROR(__xludf.DUMMYFUNCTION("""COMPUTED_VALUE"""),922.75)</f>
        <v>922.75</v>
      </c>
      <c r="C596" s="3">
        <f t="shared" ca="1" si="18"/>
        <v>-3.6173199438505805E-3</v>
      </c>
      <c r="D596">
        <f t="shared" ca="1" si="17"/>
        <v>945.36632653061201</v>
      </c>
    </row>
    <row r="597" spans="1:4" x14ac:dyDescent="0.25">
      <c r="A597" s="2">
        <f ca="1">IFERROR(__xludf.DUMMYFUNCTION("""COMPUTED_VALUE"""),45253.6458333333)</f>
        <v>45253.645833333299</v>
      </c>
      <c r="B597" s="1">
        <f ca="1">IFERROR(__xludf.DUMMYFUNCTION("""COMPUTED_VALUE"""),923)</f>
        <v>923</v>
      </c>
      <c r="C597" s="3">
        <f t="shared" ca="1" si="18"/>
        <v>2.70929287455974E-4</v>
      </c>
      <c r="D597">
        <f t="shared" ca="1" si="17"/>
        <v>944.3908163265304</v>
      </c>
    </row>
    <row r="598" spans="1:4" x14ac:dyDescent="0.25">
      <c r="A598" s="2">
        <f ca="1">IFERROR(__xludf.DUMMYFUNCTION("""COMPUTED_VALUE"""),45254.6458333333)</f>
        <v>45254.645833333299</v>
      </c>
      <c r="B598" s="1">
        <f ca="1">IFERROR(__xludf.DUMMYFUNCTION("""COMPUTED_VALUE"""),929.4)</f>
        <v>929.4</v>
      </c>
      <c r="C598" s="3">
        <f t="shared" ca="1" si="18"/>
        <v>6.9339111592632476E-3</v>
      </c>
      <c r="D598">
        <f t="shared" ca="1" si="17"/>
        <v>943.26326530612221</v>
      </c>
    </row>
    <row r="599" spans="1:4" x14ac:dyDescent="0.25">
      <c r="A599" s="2">
        <f ca="1">IFERROR(__xludf.DUMMYFUNCTION("""COMPUTED_VALUE"""),45258.6458333333)</f>
        <v>45258.645833333299</v>
      </c>
      <c r="B599" s="1">
        <f ca="1">IFERROR(__xludf.DUMMYFUNCTION("""COMPUTED_VALUE"""),925.5)</f>
        <v>925.5</v>
      </c>
      <c r="C599" s="3">
        <f t="shared" ca="1" si="18"/>
        <v>-4.1962556488056571E-3</v>
      </c>
      <c r="D599">
        <f t="shared" ca="1" si="17"/>
        <v>942.01632653061199</v>
      </c>
    </row>
    <row r="600" spans="1:4" x14ac:dyDescent="0.25">
      <c r="A600" s="2">
        <f ca="1">IFERROR(__xludf.DUMMYFUNCTION("""COMPUTED_VALUE"""),45259.6458333333)</f>
        <v>45259.645833333299</v>
      </c>
      <c r="B600" s="1">
        <f ca="1">IFERROR(__xludf.DUMMYFUNCTION("""COMPUTED_VALUE"""),939.6)</f>
        <v>939.6</v>
      </c>
      <c r="C600" s="3">
        <f t="shared" ca="1" si="18"/>
        <v>1.5235008103727739E-2</v>
      </c>
      <c r="D600">
        <f t="shared" ca="1" si="17"/>
        <v>940.70408163265279</v>
      </c>
    </row>
    <row r="601" spans="1:4" x14ac:dyDescent="0.25">
      <c r="A601" s="2">
        <f ca="1">IFERROR(__xludf.DUMMYFUNCTION("""COMPUTED_VALUE"""),45260.6458333333)</f>
        <v>45260.645833333299</v>
      </c>
      <c r="B601" s="1">
        <f ca="1">IFERROR(__xludf.DUMMYFUNCTION("""COMPUTED_VALUE"""),934.95)</f>
        <v>934.95</v>
      </c>
      <c r="C601" s="3">
        <f t="shared" ca="1" si="18"/>
        <v>-4.9489144316730276E-3</v>
      </c>
      <c r="D601">
        <f t="shared" ca="1" si="17"/>
        <v>939.72244897959172</v>
      </c>
    </row>
    <row r="602" spans="1:4" x14ac:dyDescent="0.25">
      <c r="A602" s="2">
        <f ca="1">IFERROR(__xludf.DUMMYFUNCTION("""COMPUTED_VALUE"""),45261.6458333333)</f>
        <v>45261.645833333299</v>
      </c>
      <c r="B602" s="1">
        <f ca="1">IFERROR(__xludf.DUMMYFUNCTION("""COMPUTED_VALUE"""),946.7)</f>
        <v>946.7</v>
      </c>
      <c r="C602" s="3">
        <f t="shared" ca="1" si="18"/>
        <v>1.2567516979517621E-2</v>
      </c>
      <c r="D602">
        <f t="shared" ca="1" si="17"/>
        <v>938.54897959183643</v>
      </c>
    </row>
    <row r="603" spans="1:4" x14ac:dyDescent="0.25">
      <c r="A603" s="2">
        <f ca="1">IFERROR(__xludf.DUMMYFUNCTION("""COMPUTED_VALUE"""),45264.6458333333)</f>
        <v>45264.645833333299</v>
      </c>
      <c r="B603" s="1">
        <f ca="1">IFERROR(__xludf.DUMMYFUNCTION("""COMPUTED_VALUE"""),991.2)</f>
        <v>991.2</v>
      </c>
      <c r="C603" s="3">
        <f t="shared" ca="1" si="18"/>
        <v>4.7005387134255831E-2</v>
      </c>
      <c r="D603">
        <f t="shared" ca="1" si="17"/>
        <v>937.6612244897957</v>
      </c>
    </row>
    <row r="604" spans="1:4" x14ac:dyDescent="0.25">
      <c r="A604" s="2">
        <f ca="1">IFERROR(__xludf.DUMMYFUNCTION("""COMPUTED_VALUE"""),45265.6458333333)</f>
        <v>45265.645833333299</v>
      </c>
      <c r="B604" s="1">
        <f ca="1">IFERROR(__xludf.DUMMYFUNCTION("""COMPUTED_VALUE"""),1013.45)</f>
        <v>1013.45</v>
      </c>
      <c r="C604" s="3">
        <f t="shared" ca="1" si="18"/>
        <v>2.2447538337368844E-2</v>
      </c>
      <c r="D604">
        <f t="shared" ca="1" si="17"/>
        <v>937.74387755102009</v>
      </c>
    </row>
    <row r="605" spans="1:4" x14ac:dyDescent="0.25">
      <c r="A605" s="2">
        <f ca="1">IFERROR(__xludf.DUMMYFUNCTION("""COMPUTED_VALUE"""),45266.6458333333)</f>
        <v>45266.645833333299</v>
      </c>
      <c r="B605" s="1">
        <f ca="1">IFERROR(__xludf.DUMMYFUNCTION("""COMPUTED_VALUE"""),1003.25)</f>
        <v>1003.25</v>
      </c>
      <c r="C605" s="3">
        <f t="shared" ca="1" si="18"/>
        <v>-1.0064630716858302E-2</v>
      </c>
      <c r="D605">
        <f t="shared" ca="1" si="17"/>
        <v>938.84897959183627</v>
      </c>
    </row>
    <row r="606" spans="1:4" x14ac:dyDescent="0.25">
      <c r="A606" s="2">
        <f ca="1">IFERROR(__xludf.DUMMYFUNCTION("""COMPUTED_VALUE"""),45267.6458333333)</f>
        <v>45267.645833333299</v>
      </c>
      <c r="B606" s="1">
        <f ca="1">IFERROR(__xludf.DUMMYFUNCTION("""COMPUTED_VALUE"""),999)</f>
        <v>999</v>
      </c>
      <c r="C606" s="3">
        <f t="shared" ca="1" si="18"/>
        <v>-4.23623224520309E-3</v>
      </c>
      <c r="D606">
        <f t="shared" ca="1" si="17"/>
        <v>939.92959183673429</v>
      </c>
    </row>
    <row r="607" spans="1:4" x14ac:dyDescent="0.25">
      <c r="A607" s="2">
        <f ca="1">IFERROR(__xludf.DUMMYFUNCTION("""COMPUTED_VALUE"""),45268.6458333333)</f>
        <v>45268.645833333299</v>
      </c>
      <c r="B607" s="1">
        <f ca="1">IFERROR(__xludf.DUMMYFUNCTION("""COMPUTED_VALUE"""),1010.85)</f>
        <v>1010.85</v>
      </c>
      <c r="C607" s="3">
        <f t="shared" ca="1" si="18"/>
        <v>1.1861861861861885E-2</v>
      </c>
      <c r="D607">
        <f t="shared" ca="1" si="17"/>
        <v>940.79999999999961</v>
      </c>
    </row>
    <row r="608" spans="1:4" x14ac:dyDescent="0.25">
      <c r="A608" s="2">
        <f ca="1">IFERROR(__xludf.DUMMYFUNCTION("""COMPUTED_VALUE"""),45271.6458333333)</f>
        <v>45271.645833333299</v>
      </c>
      <c r="B608" s="1">
        <f ca="1">IFERROR(__xludf.DUMMYFUNCTION("""COMPUTED_VALUE"""),1017.1)</f>
        <v>1017.1</v>
      </c>
      <c r="C608" s="3">
        <f t="shared" ca="1" si="18"/>
        <v>6.1829153682544389E-3</v>
      </c>
      <c r="D608">
        <f t="shared" ca="1" si="17"/>
        <v>942.06836734693832</v>
      </c>
    </row>
    <row r="609" spans="1:4" x14ac:dyDescent="0.25">
      <c r="A609" s="2">
        <f ca="1">IFERROR(__xludf.DUMMYFUNCTION("""COMPUTED_VALUE"""),45272.6458333333)</f>
        <v>45272.645833333299</v>
      </c>
      <c r="B609" s="1">
        <f ca="1">IFERROR(__xludf.DUMMYFUNCTION("""COMPUTED_VALUE"""),1015.7)</f>
        <v>1015.7</v>
      </c>
      <c r="C609" s="3">
        <f t="shared" ca="1" si="18"/>
        <v>-1.376462491397087E-3</v>
      </c>
      <c r="D609">
        <f t="shared" ca="1" si="17"/>
        <v>943.57857142857108</v>
      </c>
    </row>
    <row r="610" spans="1:4" x14ac:dyDescent="0.25">
      <c r="A610" s="2">
        <f ca="1">IFERROR(__xludf.DUMMYFUNCTION("""COMPUTED_VALUE"""),45273.6458333333)</f>
        <v>45273.645833333299</v>
      </c>
      <c r="B610" s="1">
        <f ca="1">IFERROR(__xludf.DUMMYFUNCTION("""COMPUTED_VALUE"""),1013.9)</f>
        <v>1013.9</v>
      </c>
      <c r="C610" s="3">
        <f t="shared" ca="1" si="18"/>
        <v>-1.7721768238653816E-3</v>
      </c>
      <c r="D610">
        <f t="shared" ca="1" si="17"/>
        <v>945.0704081632648</v>
      </c>
    </row>
    <row r="611" spans="1:4" x14ac:dyDescent="0.25">
      <c r="A611" s="2">
        <f ca="1">IFERROR(__xludf.DUMMYFUNCTION("""COMPUTED_VALUE"""),45274.6458333333)</f>
        <v>45274.645833333299</v>
      </c>
      <c r="B611" s="1">
        <f ca="1">IFERROR(__xludf.DUMMYFUNCTION("""COMPUTED_VALUE"""),1033.65)</f>
        <v>1033.6500000000001</v>
      </c>
      <c r="C611" s="3">
        <f t="shared" ca="1" si="18"/>
        <v>1.9479238583686866E-2</v>
      </c>
      <c r="D611">
        <f t="shared" ca="1" si="17"/>
        <v>946.33571428571383</v>
      </c>
    </row>
    <row r="612" spans="1:4" x14ac:dyDescent="0.25">
      <c r="A612" s="2">
        <f ca="1">IFERROR(__xludf.DUMMYFUNCTION("""COMPUTED_VALUE"""),45275.6458333333)</f>
        <v>45275.645833333299</v>
      </c>
      <c r="B612" s="1">
        <f ca="1">IFERROR(__xludf.DUMMYFUNCTION("""COMPUTED_VALUE"""),1037.4)</f>
        <v>1037.4000000000001</v>
      </c>
      <c r="C612" s="3">
        <f t="shared" ca="1" si="18"/>
        <v>3.6279204759831663E-3</v>
      </c>
      <c r="D612">
        <f t="shared" ca="1" si="17"/>
        <v>948.24081632653008</v>
      </c>
    </row>
    <row r="613" spans="1:4" x14ac:dyDescent="0.25">
      <c r="A613" s="2">
        <f ca="1">IFERROR(__xludf.DUMMYFUNCTION("""COMPUTED_VALUE"""),45278.6458333333)</f>
        <v>45278.645833333299</v>
      </c>
      <c r="B613" s="1">
        <f ca="1">IFERROR(__xludf.DUMMYFUNCTION("""COMPUTED_VALUE"""),1021.45)</f>
        <v>1021.45</v>
      </c>
      <c r="C613" s="3">
        <f t="shared" ca="1" si="18"/>
        <v>-1.5374975901291733E-2</v>
      </c>
      <c r="D613">
        <f t="shared" ca="1" si="17"/>
        <v>950.43163265306077</v>
      </c>
    </row>
    <row r="614" spans="1:4" x14ac:dyDescent="0.25">
      <c r="A614" s="2">
        <f ca="1">IFERROR(__xludf.DUMMYFUNCTION("""COMPUTED_VALUE"""),45279.6458333333)</f>
        <v>45279.645833333299</v>
      </c>
      <c r="B614" s="1">
        <f ca="1">IFERROR(__xludf.DUMMYFUNCTION("""COMPUTED_VALUE"""),1015.45)</f>
        <v>1015.45</v>
      </c>
      <c r="C614" s="3">
        <f t="shared" ca="1" si="18"/>
        <v>-5.8740026433011889E-3</v>
      </c>
      <c r="D614">
        <f t="shared" ca="1" si="17"/>
        <v>952.07653061224448</v>
      </c>
    </row>
    <row r="615" spans="1:4" x14ac:dyDescent="0.25">
      <c r="A615" s="2">
        <f ca="1">IFERROR(__xludf.DUMMYFUNCTION("""COMPUTED_VALUE"""),45280.6458333333)</f>
        <v>45280.645833333299</v>
      </c>
      <c r="B615" s="1">
        <f ca="1">IFERROR(__xludf.DUMMYFUNCTION("""COMPUTED_VALUE"""),1006.65)</f>
        <v>1006.65</v>
      </c>
      <c r="C615" s="3">
        <f t="shared" ca="1" si="18"/>
        <v>-8.6661086217933603E-3</v>
      </c>
      <c r="D615">
        <f t="shared" ca="1" si="17"/>
        <v>953.5102040816322</v>
      </c>
    </row>
    <row r="616" spans="1:4" x14ac:dyDescent="0.25">
      <c r="A616" s="2">
        <f ca="1">IFERROR(__xludf.DUMMYFUNCTION("""COMPUTED_VALUE"""),45281.6458333333)</f>
        <v>45281.645833333299</v>
      </c>
      <c r="B616" s="1">
        <f ca="1">IFERROR(__xludf.DUMMYFUNCTION("""COMPUTED_VALUE"""),1004.4)</f>
        <v>1004.4</v>
      </c>
      <c r="C616" s="3">
        <f t="shared" ca="1" si="18"/>
        <v>-2.2351363433169426E-3</v>
      </c>
      <c r="D616">
        <f t="shared" ca="1" si="17"/>
        <v>954.89897959183634</v>
      </c>
    </row>
    <row r="617" spans="1:4" x14ac:dyDescent="0.25">
      <c r="A617" s="2">
        <f ca="1">IFERROR(__xludf.DUMMYFUNCTION("""COMPUTED_VALUE"""),45282.6458333333)</f>
        <v>45282.645833333299</v>
      </c>
      <c r="B617" s="1">
        <f ca="1">IFERROR(__xludf.DUMMYFUNCTION("""COMPUTED_VALUE"""),994.3)</f>
        <v>994.3</v>
      </c>
      <c r="C617" s="3">
        <f t="shared" ca="1" si="18"/>
        <v>-1.0055754679410616E-2</v>
      </c>
      <c r="D617">
        <f t="shared" ca="1" si="17"/>
        <v>955.98469387755074</v>
      </c>
    </row>
    <row r="618" spans="1:4" x14ac:dyDescent="0.25">
      <c r="A618" s="2">
        <f ca="1">IFERROR(__xludf.DUMMYFUNCTION("""COMPUTED_VALUE"""),45286.6458333333)</f>
        <v>45286.645833333299</v>
      </c>
      <c r="B618" s="1">
        <f ca="1">IFERROR(__xludf.DUMMYFUNCTION("""COMPUTED_VALUE"""),995.1)</f>
        <v>995.1</v>
      </c>
      <c r="C618" s="3">
        <f t="shared" ca="1" si="18"/>
        <v>8.0458614100378985E-4</v>
      </c>
      <c r="D618">
        <f t="shared" ca="1" si="17"/>
        <v>956.82551020408141</v>
      </c>
    </row>
    <row r="619" spans="1:4" x14ac:dyDescent="0.25">
      <c r="A619" s="2">
        <f ca="1">IFERROR(__xludf.DUMMYFUNCTION("""COMPUTED_VALUE"""),45287.6458333333)</f>
        <v>45287.645833333299</v>
      </c>
      <c r="B619" s="1">
        <f ca="1">IFERROR(__xludf.DUMMYFUNCTION("""COMPUTED_VALUE"""),1002.25)</f>
        <v>1002.25</v>
      </c>
      <c r="C619" s="3">
        <f t="shared" ca="1" si="18"/>
        <v>7.1852075168324561E-3</v>
      </c>
      <c r="D619">
        <f t="shared" ca="1" si="17"/>
        <v>957.65918367346933</v>
      </c>
    </row>
    <row r="620" spans="1:4" x14ac:dyDescent="0.25">
      <c r="A620" s="2">
        <f ca="1">IFERROR(__xludf.DUMMYFUNCTION("""COMPUTED_VALUE"""),45288.6458333333)</f>
        <v>45288.645833333299</v>
      </c>
      <c r="B620" s="1">
        <f ca="1">IFERROR(__xludf.DUMMYFUNCTION("""COMPUTED_VALUE"""),1005.9)</f>
        <v>1005.9</v>
      </c>
      <c r="C620" s="3">
        <f t="shared" ca="1" si="18"/>
        <v>3.6418059366425315E-3</v>
      </c>
      <c r="D620">
        <f t="shared" ca="1" si="17"/>
        <v>958.69897959183675</v>
      </c>
    </row>
    <row r="621" spans="1:4" x14ac:dyDescent="0.25">
      <c r="A621" s="2">
        <f ca="1">IFERROR(__xludf.DUMMYFUNCTION("""COMPUTED_VALUE"""),45289.6458333333)</f>
        <v>45289.645833333299</v>
      </c>
      <c r="B621" s="1">
        <f ca="1">IFERROR(__xludf.DUMMYFUNCTION("""COMPUTED_VALUE"""),996.6)</f>
        <v>996.6</v>
      </c>
      <c r="C621" s="3">
        <f t="shared" ca="1" si="18"/>
        <v>-9.2454518341783028E-3</v>
      </c>
      <c r="D621">
        <f t="shared" ca="1" si="17"/>
        <v>959.8112244897959</v>
      </c>
    </row>
    <row r="622" spans="1:4" x14ac:dyDescent="0.25">
      <c r="A622" s="2">
        <f ca="1">IFERROR(__xludf.DUMMYFUNCTION("""COMPUTED_VALUE"""),45292.6458333333)</f>
        <v>45292.645833333299</v>
      </c>
      <c r="B622" s="1">
        <f ca="1">IFERROR(__xludf.DUMMYFUNCTION("""COMPUTED_VALUE"""),999.4)</f>
        <v>999.4</v>
      </c>
      <c r="C622" s="3">
        <f t="shared" ca="1" si="18"/>
        <v>2.8095524784266051E-3</v>
      </c>
      <c r="D622">
        <f t="shared" ca="1" si="17"/>
        <v>960.68265306122441</v>
      </c>
    </row>
    <row r="623" spans="1:4" x14ac:dyDescent="0.25">
      <c r="A623" s="2">
        <f ca="1">IFERROR(__xludf.DUMMYFUNCTION("""COMPUTED_VALUE"""),45293.6458333333)</f>
        <v>45293.645833333299</v>
      </c>
      <c r="B623" s="1">
        <f ca="1">IFERROR(__xludf.DUMMYFUNCTION("""COMPUTED_VALUE"""),982.25)</f>
        <v>982.25</v>
      </c>
      <c r="C623" s="3">
        <f t="shared" ca="1" si="18"/>
        <v>-1.7160296177706601E-2</v>
      </c>
      <c r="D623">
        <f t="shared" ca="1" si="17"/>
        <v>961.81836734693889</v>
      </c>
    </row>
    <row r="624" spans="1:4" x14ac:dyDescent="0.25">
      <c r="A624" s="2">
        <f ca="1">IFERROR(__xludf.DUMMYFUNCTION("""COMPUTED_VALUE"""),45294.6458333333)</f>
        <v>45294.645833333299</v>
      </c>
      <c r="B624" s="1">
        <f ca="1">IFERROR(__xludf.DUMMYFUNCTION("""COMPUTED_VALUE"""),984.05)</f>
        <v>984.05</v>
      </c>
      <c r="C624" s="3">
        <f t="shared" ca="1" si="18"/>
        <v>1.8325273606515191E-3</v>
      </c>
      <c r="D624">
        <f t="shared" ca="1" si="17"/>
        <v>962.76734693877563</v>
      </c>
    </row>
    <row r="625" spans="1:4" x14ac:dyDescent="0.25">
      <c r="A625" s="2">
        <f ca="1">IFERROR(__xludf.DUMMYFUNCTION("""COMPUTED_VALUE"""),45295.6458333333)</f>
        <v>45295.645833333299</v>
      </c>
      <c r="B625" s="1">
        <f ca="1">IFERROR(__xludf.DUMMYFUNCTION("""COMPUTED_VALUE"""),987.15)</f>
        <v>987.15</v>
      </c>
      <c r="C625" s="3">
        <f t="shared" ca="1" si="18"/>
        <v>3.1502464305675757E-3</v>
      </c>
      <c r="D625">
        <f t="shared" ca="1" si="17"/>
        <v>963.81428571428592</v>
      </c>
    </row>
    <row r="626" spans="1:4" x14ac:dyDescent="0.25">
      <c r="A626" s="2">
        <f ca="1">IFERROR(__xludf.DUMMYFUNCTION("""COMPUTED_VALUE"""),45296.6458333333)</f>
        <v>45296.645833333299</v>
      </c>
      <c r="B626" s="1">
        <f ca="1">IFERROR(__xludf.DUMMYFUNCTION("""COMPUTED_VALUE"""),993.7)</f>
        <v>993.7</v>
      </c>
      <c r="C626" s="3">
        <f t="shared" ca="1" si="18"/>
        <v>6.6352631312364572E-3</v>
      </c>
      <c r="D626">
        <f t="shared" ca="1" si="17"/>
        <v>964.9816326530613</v>
      </c>
    </row>
    <row r="627" spans="1:4" x14ac:dyDescent="0.25">
      <c r="A627" s="2">
        <f ca="1">IFERROR(__xludf.DUMMYFUNCTION("""COMPUTED_VALUE"""),45299.6458333333)</f>
        <v>45299.645833333299</v>
      </c>
      <c r="B627" s="1">
        <f ca="1">IFERROR(__xludf.DUMMYFUNCTION("""COMPUTED_VALUE"""),982)</f>
        <v>982</v>
      </c>
      <c r="C627" s="3">
        <f t="shared" ca="1" si="18"/>
        <v>-1.1774177317097761E-2</v>
      </c>
      <c r="D627">
        <f t="shared" ca="1" si="17"/>
        <v>966.5653061224491</v>
      </c>
    </row>
    <row r="628" spans="1:4" x14ac:dyDescent="0.25">
      <c r="A628" s="2">
        <f ca="1">IFERROR(__xludf.DUMMYFUNCTION("""COMPUTED_VALUE"""),45300.6458333333)</f>
        <v>45300.645833333299</v>
      </c>
      <c r="B628" s="1">
        <f ca="1">IFERROR(__xludf.DUMMYFUNCTION("""COMPUTED_VALUE"""),979.75)</f>
        <v>979.75</v>
      </c>
      <c r="C628" s="3">
        <f t="shared" ca="1" si="18"/>
        <v>-2.2912423625254582E-3</v>
      </c>
      <c r="D628">
        <f t="shared" ref="D628:D691" ca="1" si="19">AVERAGE(B579:B627)</f>
        <v>968.06224489795943</v>
      </c>
    </row>
    <row r="629" spans="1:4" x14ac:dyDescent="0.25">
      <c r="A629" s="2">
        <f ca="1">IFERROR(__xludf.DUMMYFUNCTION("""COMPUTED_VALUE"""),45301.6458333333)</f>
        <v>45301.645833333299</v>
      </c>
      <c r="B629" s="1">
        <f ca="1">IFERROR(__xludf.DUMMYFUNCTION("""COMPUTED_VALUE"""),993.05)</f>
        <v>993.05</v>
      </c>
      <c r="C629" s="3">
        <f t="shared" ca="1" si="18"/>
        <v>1.3574891553967803E-2</v>
      </c>
      <c r="D629">
        <f t="shared" ca="1" si="19"/>
        <v>969.42959183673509</v>
      </c>
    </row>
    <row r="630" spans="1:4" x14ac:dyDescent="0.25">
      <c r="A630" s="2">
        <f ca="1">IFERROR(__xludf.DUMMYFUNCTION("""COMPUTED_VALUE"""),45302.6458333333)</f>
        <v>45302.645833333299</v>
      </c>
      <c r="B630" s="1">
        <f ca="1">IFERROR(__xludf.DUMMYFUNCTION("""COMPUTED_VALUE"""),991.15)</f>
        <v>991.15</v>
      </c>
      <c r="C630" s="3">
        <f t="shared" ca="1" si="18"/>
        <v>-1.9132974170484641E-3</v>
      </c>
      <c r="D630">
        <f t="shared" ca="1" si="19"/>
        <v>970.82040816326571</v>
      </c>
    </row>
    <row r="631" spans="1:4" x14ac:dyDescent="0.25">
      <c r="A631" s="2">
        <f ca="1">IFERROR(__xludf.DUMMYFUNCTION("""COMPUTED_VALUE"""),45303.6458333333)</f>
        <v>45303.645833333299</v>
      </c>
      <c r="B631" s="1">
        <f ca="1">IFERROR(__xludf.DUMMYFUNCTION("""COMPUTED_VALUE"""),1003.5)</f>
        <v>1003.5</v>
      </c>
      <c r="C631" s="3">
        <f t="shared" ca="1" si="18"/>
        <v>1.2460273419764942E-2</v>
      </c>
      <c r="D631">
        <f t="shared" ca="1" si="19"/>
        <v>972.36734693877577</v>
      </c>
    </row>
    <row r="632" spans="1:4" x14ac:dyDescent="0.25">
      <c r="A632" s="2">
        <f ca="1">IFERROR(__xludf.DUMMYFUNCTION("""COMPUTED_VALUE"""),45306.6458333333)</f>
        <v>45306.645833333299</v>
      </c>
      <c r="B632" s="1">
        <f ca="1">IFERROR(__xludf.DUMMYFUNCTION("""COMPUTED_VALUE"""),1009.85)</f>
        <v>1009.85</v>
      </c>
      <c r="C632" s="3">
        <f t="shared" ca="1" si="18"/>
        <v>6.327852516193346E-3</v>
      </c>
      <c r="D632">
        <f t="shared" ca="1" si="19"/>
        <v>974.19285714285752</v>
      </c>
    </row>
    <row r="633" spans="1:4" x14ac:dyDescent="0.25">
      <c r="A633" s="2">
        <f ca="1">IFERROR(__xludf.DUMMYFUNCTION("""COMPUTED_VALUE"""),45307.6458333333)</f>
        <v>45307.645833333299</v>
      </c>
      <c r="B633" s="1">
        <f ca="1">IFERROR(__xludf.DUMMYFUNCTION("""COMPUTED_VALUE"""),1009.05)</f>
        <v>1009.05</v>
      </c>
      <c r="C633" s="3">
        <f t="shared" ca="1" si="18"/>
        <v>-7.9219686092000619E-4</v>
      </c>
      <c r="D633">
        <f t="shared" ca="1" si="19"/>
        <v>976.0275510204084</v>
      </c>
    </row>
    <row r="634" spans="1:4" x14ac:dyDescent="0.25">
      <c r="A634" s="2">
        <f ca="1">IFERROR(__xludf.DUMMYFUNCTION("""COMPUTED_VALUE"""),45308.6458333333)</f>
        <v>45308.645833333299</v>
      </c>
      <c r="B634" s="1">
        <f ca="1">IFERROR(__xludf.DUMMYFUNCTION("""COMPUTED_VALUE"""),981.75)</f>
        <v>981.75</v>
      </c>
      <c r="C634" s="3">
        <f t="shared" ca="1" si="18"/>
        <v>-2.7055150884495272E-2</v>
      </c>
      <c r="D634">
        <f t="shared" ca="1" si="19"/>
        <v>977.56326530612284</v>
      </c>
    </row>
    <row r="635" spans="1:4" x14ac:dyDescent="0.25">
      <c r="A635" s="2">
        <f ca="1">IFERROR(__xludf.DUMMYFUNCTION("""COMPUTED_VALUE"""),45309.6458333333)</f>
        <v>45309.645833333299</v>
      </c>
      <c r="B635" s="1">
        <f ca="1">IFERROR(__xludf.DUMMYFUNCTION("""COMPUTED_VALUE"""),986.35)</f>
        <v>986.35</v>
      </c>
      <c r="C635" s="3">
        <f t="shared" ca="1" si="18"/>
        <v>4.6855105678635326E-3</v>
      </c>
      <c r="D635">
        <f t="shared" ca="1" si="19"/>
        <v>978.30408163265338</v>
      </c>
    </row>
    <row r="636" spans="1:4" x14ac:dyDescent="0.25">
      <c r="A636" s="2">
        <f ca="1">IFERROR(__xludf.DUMMYFUNCTION("""COMPUTED_VALUE"""),45310.6458333333)</f>
        <v>45310.645833333299</v>
      </c>
      <c r="B636" s="1">
        <f ca="1">IFERROR(__xludf.DUMMYFUNCTION("""COMPUTED_VALUE"""),999.2)</f>
        <v>999.2</v>
      </c>
      <c r="C636" s="3">
        <f t="shared" ca="1" si="18"/>
        <v>1.3027829877832435E-2</v>
      </c>
      <c r="D636">
        <f t="shared" ca="1" si="19"/>
        <v>979.08469387755122</v>
      </c>
    </row>
    <row r="637" spans="1:4" x14ac:dyDescent="0.25">
      <c r="A637" s="2">
        <f ca="1">IFERROR(__xludf.DUMMYFUNCTION("""COMPUTED_VALUE"""),45314.6458333333)</f>
        <v>45314.645833333299</v>
      </c>
      <c r="B637" s="1">
        <f ca="1">IFERROR(__xludf.DUMMYFUNCTION("""COMPUTED_VALUE"""),1029.05)</f>
        <v>1029.05</v>
      </c>
      <c r="C637" s="3">
        <f t="shared" ca="1" si="18"/>
        <v>2.9873899119295343E-2</v>
      </c>
      <c r="D637">
        <f t="shared" ca="1" si="19"/>
        <v>980.37959183673502</v>
      </c>
    </row>
    <row r="638" spans="1:4" x14ac:dyDescent="0.25">
      <c r="A638" s="2">
        <f ca="1">IFERROR(__xludf.DUMMYFUNCTION("""COMPUTED_VALUE"""),45315.6458333333)</f>
        <v>45315.645833333299</v>
      </c>
      <c r="B638" s="1">
        <f ca="1">IFERROR(__xludf.DUMMYFUNCTION("""COMPUTED_VALUE"""),999.2)</f>
        <v>999.2</v>
      </c>
      <c r="C638" s="3">
        <f t="shared" ca="1" si="18"/>
        <v>-2.9007336864097868E-2</v>
      </c>
      <c r="D638">
        <f t="shared" ca="1" si="19"/>
        <v>982.25102040816353</v>
      </c>
    </row>
    <row r="639" spans="1:4" x14ac:dyDescent="0.25">
      <c r="A639" s="2">
        <f ca="1">IFERROR(__xludf.DUMMYFUNCTION("""COMPUTED_VALUE"""),45316.6458333333)</f>
        <v>45316.645833333299</v>
      </c>
      <c r="B639" s="1">
        <f ca="1">IFERROR(__xludf.DUMMYFUNCTION("""COMPUTED_VALUE"""),1009.95)</f>
        <v>1009.95</v>
      </c>
      <c r="C639" s="3">
        <f t="shared" ca="1" si="18"/>
        <v>1.0758606885508407E-2</v>
      </c>
      <c r="D639">
        <f t="shared" ca="1" si="19"/>
        <v>983.48775510204098</v>
      </c>
    </row>
    <row r="640" spans="1:4" x14ac:dyDescent="0.25">
      <c r="A640" s="2">
        <f ca="1">IFERROR(__xludf.DUMMYFUNCTION("""COMPUTED_VALUE"""),45320.6458333333)</f>
        <v>45320.645833333299</v>
      </c>
      <c r="B640" s="1">
        <f ca="1">IFERROR(__xludf.DUMMYFUNCTION("""COMPUTED_VALUE"""),1016.4)</f>
        <v>1016.4</v>
      </c>
      <c r="C640" s="3">
        <f t="shared" ca="1" si="18"/>
        <v>6.3864547749887934E-3</v>
      </c>
      <c r="D640">
        <f t="shared" ca="1" si="19"/>
        <v>985.02857142857158</v>
      </c>
    </row>
    <row r="641" spans="1:4" x14ac:dyDescent="0.25">
      <c r="A641" s="2">
        <f ca="1">IFERROR(__xludf.DUMMYFUNCTION("""COMPUTED_VALUE"""),45321.6458333333)</f>
        <v>45321.645833333299</v>
      </c>
      <c r="B641" s="1">
        <f ca="1">IFERROR(__xludf.DUMMYFUNCTION("""COMPUTED_VALUE"""),1016.9)</f>
        <v>1016.9</v>
      </c>
      <c r="C641" s="3">
        <f t="shared" ca="1" si="18"/>
        <v>4.9193231011412833E-4</v>
      </c>
      <c r="D641">
        <f t="shared" ca="1" si="19"/>
        <v>986.5653061224491</v>
      </c>
    </row>
    <row r="642" spans="1:4" x14ac:dyDescent="0.25">
      <c r="A642" s="2">
        <f ca="1">IFERROR(__xludf.DUMMYFUNCTION("""COMPUTED_VALUE"""),45322.6458333333)</f>
        <v>45322.645833333299</v>
      </c>
      <c r="B642" s="1">
        <f ca="1">IFERROR(__xludf.DUMMYFUNCTION("""COMPUTED_VALUE"""),1028.15)</f>
        <v>1028.1500000000001</v>
      </c>
      <c r="C642" s="3">
        <f t="shared" ca="1" si="18"/>
        <v>1.1063034713344591E-2</v>
      </c>
      <c r="D642">
        <f t="shared" ca="1" si="19"/>
        <v>988.21632653061249</v>
      </c>
    </row>
    <row r="643" spans="1:4" x14ac:dyDescent="0.25">
      <c r="A643" s="2">
        <f ca="1">IFERROR(__xludf.DUMMYFUNCTION("""COMPUTED_VALUE"""),45323.6458333333)</f>
        <v>45323.645833333299</v>
      </c>
      <c r="B643" s="1">
        <f ca="1">IFERROR(__xludf.DUMMYFUNCTION("""COMPUTED_VALUE"""),1025.15)</f>
        <v>1025.1500000000001</v>
      </c>
      <c r="C643" s="3">
        <f t="shared" ca="1" si="18"/>
        <v>-2.9178621796430481E-3</v>
      </c>
      <c r="D643">
        <f t="shared" ca="1" si="19"/>
        <v>990.38571428571458</v>
      </c>
    </row>
    <row r="644" spans="1:4" x14ac:dyDescent="0.25">
      <c r="A644" s="2">
        <f ca="1">IFERROR(__xludf.DUMMYFUNCTION("""COMPUTED_VALUE"""),45324.6458333333)</f>
        <v>45324.645833333299</v>
      </c>
      <c r="B644" s="1">
        <f ca="1">IFERROR(__xludf.DUMMYFUNCTION("""COMPUTED_VALUE"""),1024)</f>
        <v>1024</v>
      </c>
      <c r="C644" s="3">
        <f t="shared" ref="C644:C707" ca="1" si="20">(B644-B643)/B643</f>
        <v>-1.1217870555529346E-3</v>
      </c>
      <c r="D644">
        <f t="shared" ca="1" si="19"/>
        <v>992.50204081632683</v>
      </c>
    </row>
    <row r="645" spans="1:4" x14ac:dyDescent="0.25">
      <c r="A645" s="2">
        <f ca="1">IFERROR(__xludf.DUMMYFUNCTION("""COMPUTED_VALUE"""),45327.6458333333)</f>
        <v>45327.645833333299</v>
      </c>
      <c r="B645" s="1">
        <f ca="1">IFERROR(__xludf.DUMMYFUNCTION("""COMPUTED_VALUE"""),1023.5)</f>
        <v>1023.5</v>
      </c>
      <c r="C645" s="3">
        <f t="shared" ca="1" si="20"/>
        <v>-4.8828125E-4</v>
      </c>
      <c r="D645">
        <f t="shared" ca="1" si="19"/>
        <v>994.50000000000011</v>
      </c>
    </row>
    <row r="646" spans="1:4" x14ac:dyDescent="0.25">
      <c r="A646" s="2">
        <f ca="1">IFERROR(__xludf.DUMMYFUNCTION("""COMPUTED_VALUE"""),45328.6458333333)</f>
        <v>45328.645833333299</v>
      </c>
      <c r="B646" s="1">
        <f ca="1">IFERROR(__xludf.DUMMYFUNCTION("""COMPUTED_VALUE"""),1026.4)</f>
        <v>1026.4000000000001</v>
      </c>
      <c r="C646" s="3">
        <f t="shared" ca="1" si="20"/>
        <v>2.8334147532975973E-3</v>
      </c>
      <c r="D646">
        <f t="shared" ca="1" si="19"/>
        <v>996.55612244897964</v>
      </c>
    </row>
    <row r="647" spans="1:4" x14ac:dyDescent="0.25">
      <c r="A647" s="2">
        <f ca="1">IFERROR(__xludf.DUMMYFUNCTION("""COMPUTED_VALUE"""),45329.6458333333)</f>
        <v>45329.645833333299</v>
      </c>
      <c r="B647" s="1">
        <f ca="1">IFERROR(__xludf.DUMMYFUNCTION("""COMPUTED_VALUE"""),1022.15)</f>
        <v>1022.15</v>
      </c>
      <c r="C647" s="3">
        <f t="shared" ca="1" si="20"/>
        <v>-4.1406858924397053E-3</v>
      </c>
      <c r="D647">
        <f t="shared" ca="1" si="19"/>
        <v>998.66632653061231</v>
      </c>
    </row>
    <row r="648" spans="1:4" x14ac:dyDescent="0.25">
      <c r="A648" s="2">
        <f ca="1">IFERROR(__xludf.DUMMYFUNCTION("""COMPUTED_VALUE"""),45330.6458333333)</f>
        <v>45330.645833333299</v>
      </c>
      <c r="B648" s="1">
        <f ca="1">IFERROR(__xludf.DUMMYFUNCTION("""COMPUTED_VALUE"""),989.3)</f>
        <v>989.3</v>
      </c>
      <c r="C648" s="3">
        <f t="shared" ca="1" si="20"/>
        <v>-3.2138140194687692E-2</v>
      </c>
      <c r="D648">
        <f t="shared" ca="1" si="19"/>
        <v>1000.5591836734695</v>
      </c>
    </row>
    <row r="649" spans="1:4" x14ac:dyDescent="0.25">
      <c r="A649" s="2">
        <f ca="1">IFERROR(__xludf.DUMMYFUNCTION("""COMPUTED_VALUE"""),45331.6458333333)</f>
        <v>45331.645833333299</v>
      </c>
      <c r="B649" s="1">
        <f ca="1">IFERROR(__xludf.DUMMYFUNCTION("""COMPUTED_VALUE"""),1010.7)</f>
        <v>1010.7</v>
      </c>
      <c r="C649" s="3">
        <f t="shared" ca="1" si="20"/>
        <v>2.1631456585464563E-2</v>
      </c>
      <c r="D649">
        <f t="shared" ca="1" si="19"/>
        <v>1001.8612244897962</v>
      </c>
    </row>
    <row r="650" spans="1:4" x14ac:dyDescent="0.25">
      <c r="A650" s="2">
        <f ca="1">IFERROR(__xludf.DUMMYFUNCTION("""COMPUTED_VALUE"""),45334.6458333333)</f>
        <v>45334.645833333299</v>
      </c>
      <c r="B650" s="1">
        <f ca="1">IFERROR(__xludf.DUMMYFUNCTION("""COMPUTED_VALUE"""),996.1)</f>
        <v>996.1</v>
      </c>
      <c r="C650" s="3">
        <f t="shared" ca="1" si="20"/>
        <v>-1.4445433857722392E-2</v>
      </c>
      <c r="D650">
        <f t="shared" ca="1" si="19"/>
        <v>1003.3122448979592</v>
      </c>
    </row>
    <row r="651" spans="1:4" x14ac:dyDescent="0.25">
      <c r="A651" s="2">
        <f ca="1">IFERROR(__xludf.DUMMYFUNCTION("""COMPUTED_VALUE"""),45335.6458333333)</f>
        <v>45335.645833333299</v>
      </c>
      <c r="B651" s="1">
        <f ca="1">IFERROR(__xludf.DUMMYFUNCTION("""COMPUTED_VALUE"""),1019.8)</f>
        <v>1019.8</v>
      </c>
      <c r="C651" s="3">
        <f t="shared" ca="1" si="20"/>
        <v>2.3792791888364553E-2</v>
      </c>
      <c r="D651">
        <f t="shared" ca="1" si="19"/>
        <v>1004.5602040816326</v>
      </c>
    </row>
    <row r="652" spans="1:4" x14ac:dyDescent="0.25">
      <c r="A652" s="2">
        <f ca="1">IFERROR(__xludf.DUMMYFUNCTION("""COMPUTED_VALUE"""),45336.6458333333)</f>
        <v>45336.645833333299</v>
      </c>
      <c r="B652" s="1">
        <f ca="1">IFERROR(__xludf.DUMMYFUNCTION("""COMPUTED_VALUE"""),1022.7)</f>
        <v>1022.7</v>
      </c>
      <c r="C652" s="3">
        <f t="shared" ca="1" si="20"/>
        <v>2.8436948421259964E-3</v>
      </c>
      <c r="D652">
        <f t="shared" ca="1" si="19"/>
        <v>1006.0520408163266</v>
      </c>
    </row>
    <row r="653" spans="1:4" x14ac:dyDescent="0.25">
      <c r="A653" s="2">
        <f ca="1">IFERROR(__xludf.DUMMYFUNCTION("""COMPUTED_VALUE"""),45337.6458333333)</f>
        <v>45337.645833333299</v>
      </c>
      <c r="B653" s="1">
        <f ca="1">IFERROR(__xludf.DUMMYFUNCTION("""COMPUTED_VALUE"""),1016.65)</f>
        <v>1016.65</v>
      </c>
      <c r="C653" s="3">
        <f t="shared" ca="1" si="20"/>
        <v>-5.9157133079104996E-3</v>
      </c>
      <c r="D653">
        <f t="shared" ca="1" si="19"/>
        <v>1006.6948979591838</v>
      </c>
    </row>
    <row r="654" spans="1:4" x14ac:dyDescent="0.25">
      <c r="A654" s="2">
        <f ca="1">IFERROR(__xludf.DUMMYFUNCTION("""COMPUTED_VALUE"""),45338.6458333333)</f>
        <v>45338.645833333299</v>
      </c>
      <c r="B654" s="1">
        <f ca="1">IFERROR(__xludf.DUMMYFUNCTION("""COMPUTED_VALUE"""),1023.25)</f>
        <v>1023.25</v>
      </c>
      <c r="C654" s="3">
        <f t="shared" ca="1" si="20"/>
        <v>6.4919097034377834E-3</v>
      </c>
      <c r="D654">
        <f t="shared" ca="1" si="19"/>
        <v>1006.7602040816327</v>
      </c>
    </row>
    <row r="655" spans="1:4" x14ac:dyDescent="0.25">
      <c r="A655" s="2">
        <f ca="1">IFERROR(__xludf.DUMMYFUNCTION("""COMPUTED_VALUE"""),45341.6458333333)</f>
        <v>45341.645833333299</v>
      </c>
      <c r="B655" s="1">
        <f ca="1">IFERROR(__xludf.DUMMYFUNCTION("""COMPUTED_VALUE"""),1043.75)</f>
        <v>1043.75</v>
      </c>
      <c r="C655" s="3">
        <f t="shared" ca="1" si="20"/>
        <v>2.0034204739799659E-2</v>
      </c>
      <c r="D655">
        <f t="shared" ca="1" si="19"/>
        <v>1007.1683673469388</v>
      </c>
    </row>
    <row r="656" spans="1:4" x14ac:dyDescent="0.25">
      <c r="A656" s="2">
        <f ca="1">IFERROR(__xludf.DUMMYFUNCTION("""COMPUTED_VALUE"""),45342.6458333333)</f>
        <v>45342.645833333299</v>
      </c>
      <c r="B656" s="1">
        <f ca="1">IFERROR(__xludf.DUMMYFUNCTION("""COMPUTED_VALUE"""),1048.75)</f>
        <v>1048.75</v>
      </c>
      <c r="C656" s="3">
        <f t="shared" ca="1" si="20"/>
        <v>4.7904191616766467E-3</v>
      </c>
      <c r="D656">
        <f t="shared" ca="1" si="19"/>
        <v>1008.0816326530613</v>
      </c>
    </row>
    <row r="657" spans="1:4" x14ac:dyDescent="0.25">
      <c r="A657" s="2">
        <f ca="1">IFERROR(__xludf.DUMMYFUNCTION("""COMPUTED_VALUE"""),45343.6458333333)</f>
        <v>45343.645833333299</v>
      </c>
      <c r="B657" s="1">
        <f ca="1">IFERROR(__xludf.DUMMYFUNCTION("""COMPUTED_VALUE"""),1051.95)</f>
        <v>1051.95</v>
      </c>
      <c r="C657" s="3">
        <f t="shared" ca="1" si="20"/>
        <v>3.051251489868935E-3</v>
      </c>
      <c r="D657">
        <f t="shared" ca="1" si="19"/>
        <v>1008.8551020408165</v>
      </c>
    </row>
    <row r="658" spans="1:4" x14ac:dyDescent="0.25">
      <c r="A658" s="2">
        <f ca="1">IFERROR(__xludf.DUMMYFUNCTION("""COMPUTED_VALUE"""),45344.6458333333)</f>
        <v>45344.645833333299</v>
      </c>
      <c r="B658" s="1">
        <f ca="1">IFERROR(__xludf.DUMMYFUNCTION("""COMPUTED_VALUE"""),1062.7)</f>
        <v>1062.7</v>
      </c>
      <c r="C658" s="3">
        <f t="shared" ca="1" si="20"/>
        <v>1.021911687817862E-2</v>
      </c>
      <c r="D658">
        <f t="shared" ca="1" si="19"/>
        <v>1009.5663265306123</v>
      </c>
    </row>
    <row r="659" spans="1:4" x14ac:dyDescent="0.25">
      <c r="A659" s="2">
        <f ca="1">IFERROR(__xludf.DUMMYFUNCTION("""COMPUTED_VALUE"""),45345.6458333333)</f>
        <v>45345.645833333299</v>
      </c>
      <c r="B659" s="1">
        <f ca="1">IFERROR(__xludf.DUMMYFUNCTION("""COMPUTED_VALUE"""),1061.3)</f>
        <v>1061.3</v>
      </c>
      <c r="C659" s="3">
        <f t="shared" ca="1" si="20"/>
        <v>-1.3173990778207311E-3</v>
      </c>
      <c r="D659">
        <f t="shared" ca="1" si="19"/>
        <v>1010.5255102040817</v>
      </c>
    </row>
    <row r="660" spans="1:4" x14ac:dyDescent="0.25">
      <c r="A660" s="2">
        <f ca="1">IFERROR(__xludf.DUMMYFUNCTION("""COMPUTED_VALUE"""),45348.6458333333)</f>
        <v>45348.645833333299</v>
      </c>
      <c r="B660" s="1">
        <f ca="1">IFERROR(__xludf.DUMMYFUNCTION("""COMPUTED_VALUE"""),1054.2)</f>
        <v>1054.2</v>
      </c>
      <c r="C660" s="3">
        <f t="shared" ca="1" si="20"/>
        <v>-6.6899086026570333E-3</v>
      </c>
      <c r="D660">
        <f t="shared" ca="1" si="19"/>
        <v>1011.4928571428571</v>
      </c>
    </row>
    <row r="661" spans="1:4" x14ac:dyDescent="0.25">
      <c r="A661" s="2">
        <f ca="1">IFERROR(__xludf.DUMMYFUNCTION("""COMPUTED_VALUE"""),45349.6458333333)</f>
        <v>45349.645833333299</v>
      </c>
      <c r="B661" s="1">
        <f ca="1">IFERROR(__xludf.DUMMYFUNCTION("""COMPUTED_VALUE"""),1060.2)</f>
        <v>1060.2</v>
      </c>
      <c r="C661" s="3">
        <f t="shared" ca="1" si="20"/>
        <v>5.6915196357427431E-3</v>
      </c>
      <c r="D661">
        <f t="shared" ca="1" si="19"/>
        <v>1011.9122448979592</v>
      </c>
    </row>
    <row r="662" spans="1:4" x14ac:dyDescent="0.25">
      <c r="A662" s="2">
        <f ca="1">IFERROR(__xludf.DUMMYFUNCTION("""COMPUTED_VALUE"""),45350.6458333333)</f>
        <v>45350.645833333299</v>
      </c>
      <c r="B662" s="1">
        <f ca="1">IFERROR(__xludf.DUMMYFUNCTION("""COMPUTED_VALUE"""),1046.2)</f>
        <v>1046.2</v>
      </c>
      <c r="C662" s="3">
        <f t="shared" ca="1" si="20"/>
        <v>-1.3205055649877381E-2</v>
      </c>
      <c r="D662">
        <f t="shared" ca="1" si="19"/>
        <v>1012.3775510204082</v>
      </c>
    </row>
    <row r="663" spans="1:4" x14ac:dyDescent="0.25">
      <c r="A663" s="2">
        <f ca="1">IFERROR(__xludf.DUMMYFUNCTION("""COMPUTED_VALUE"""),45351.6458333333)</f>
        <v>45351.645833333299</v>
      </c>
      <c r="B663" s="1">
        <f ca="1">IFERROR(__xludf.DUMMYFUNCTION("""COMPUTED_VALUE"""),1052.2)</f>
        <v>1052.2</v>
      </c>
      <c r="C663" s="3">
        <f t="shared" ca="1" si="20"/>
        <v>5.7350411011278914E-3</v>
      </c>
      <c r="D663">
        <f t="shared" ca="1" si="19"/>
        <v>1012.8826530612243</v>
      </c>
    </row>
    <row r="664" spans="1:4" x14ac:dyDescent="0.25">
      <c r="A664" s="2">
        <f ca="1">IFERROR(__xludf.DUMMYFUNCTION("""COMPUTED_VALUE"""),45352.6458333333)</f>
        <v>45352.645833333299</v>
      </c>
      <c r="B664" s="1">
        <f ca="1">IFERROR(__xludf.DUMMYFUNCTION("""COMPUTED_VALUE"""),1086.9)</f>
        <v>1086.9000000000001</v>
      </c>
      <c r="C664" s="3">
        <f t="shared" ca="1" si="20"/>
        <v>3.2978521193689457E-2</v>
      </c>
      <c r="D664">
        <f t="shared" ca="1" si="19"/>
        <v>1013.6326530612242</v>
      </c>
    </row>
    <row r="665" spans="1:4" x14ac:dyDescent="0.25">
      <c r="A665" s="2">
        <f ca="1">IFERROR(__xludf.DUMMYFUNCTION("""COMPUTED_VALUE"""),45355.6458333333)</f>
        <v>45355.645833333299</v>
      </c>
      <c r="B665" s="1">
        <f ca="1">IFERROR(__xludf.DUMMYFUNCTION("""COMPUTED_VALUE"""),1092.35)</f>
        <v>1092.3499999999999</v>
      </c>
      <c r="C665" s="3">
        <f t="shared" ca="1" si="20"/>
        <v>5.0142607415583932E-3</v>
      </c>
      <c r="D665">
        <f t="shared" ca="1" si="19"/>
        <v>1015.2704081632652</v>
      </c>
    </row>
    <row r="666" spans="1:4" x14ac:dyDescent="0.25">
      <c r="A666" s="2">
        <f ca="1">IFERROR(__xludf.DUMMYFUNCTION("""COMPUTED_VALUE"""),45356.6458333333)</f>
        <v>45356.645833333299</v>
      </c>
      <c r="B666" s="1">
        <f ca="1">IFERROR(__xludf.DUMMYFUNCTION("""COMPUTED_VALUE"""),1088.05)</f>
        <v>1088.05</v>
      </c>
      <c r="C666" s="3">
        <f t="shared" ca="1" si="20"/>
        <v>-3.9364672495079004E-3</v>
      </c>
      <c r="D666">
        <f t="shared" ca="1" si="19"/>
        <v>1017.0653061224488</v>
      </c>
    </row>
    <row r="667" spans="1:4" x14ac:dyDescent="0.25">
      <c r="A667" s="2">
        <f ca="1">IFERROR(__xludf.DUMMYFUNCTION("""COMPUTED_VALUE"""),45357.6458333333)</f>
        <v>45357.645833333299</v>
      </c>
      <c r="B667" s="1">
        <f ca="1">IFERROR(__xludf.DUMMYFUNCTION("""COMPUTED_VALUE"""),1097.1)</f>
        <v>1097.0999999999999</v>
      </c>
      <c r="C667" s="3">
        <f t="shared" ca="1" si="20"/>
        <v>8.317632461743444E-3</v>
      </c>
      <c r="D667">
        <f t="shared" ca="1" si="19"/>
        <v>1018.9785714285714</v>
      </c>
    </row>
    <row r="668" spans="1:4" x14ac:dyDescent="0.25">
      <c r="A668" s="2">
        <f ca="1">IFERROR(__xludf.DUMMYFUNCTION("""COMPUTED_VALUE"""),45358.6458333333)</f>
        <v>45358.645833333299</v>
      </c>
      <c r="B668" s="1">
        <f ca="1">IFERROR(__xludf.DUMMYFUNCTION("""COMPUTED_VALUE"""),1087.95)</f>
        <v>1087.95</v>
      </c>
      <c r="C668" s="3">
        <f t="shared" ca="1" si="20"/>
        <v>-8.3401695378724494E-3</v>
      </c>
      <c r="D668">
        <f t="shared" ca="1" si="19"/>
        <v>1021.0602040816325</v>
      </c>
    </row>
    <row r="669" spans="1:4" x14ac:dyDescent="0.25">
      <c r="A669" s="2">
        <f ca="1">IFERROR(__xludf.DUMMYFUNCTION("""COMPUTED_VALUE"""),45362.6458333333)</f>
        <v>45362.645833333299</v>
      </c>
      <c r="B669" s="1">
        <f ca="1">IFERROR(__xludf.DUMMYFUNCTION("""COMPUTED_VALUE"""),1078.7)</f>
        <v>1078.7</v>
      </c>
      <c r="C669" s="3">
        <f t="shared" ca="1" si="20"/>
        <v>-8.5022289627280662E-3</v>
      </c>
      <c r="D669">
        <f t="shared" ca="1" si="19"/>
        <v>1022.8091836734691</v>
      </c>
    </row>
    <row r="670" spans="1:4" x14ac:dyDescent="0.25">
      <c r="A670" s="2">
        <f ca="1">IFERROR(__xludf.DUMMYFUNCTION("""COMPUTED_VALUE"""),45363.6458333333)</f>
        <v>45363.645833333299</v>
      </c>
      <c r="B670" s="1">
        <f ca="1">IFERROR(__xludf.DUMMYFUNCTION("""COMPUTED_VALUE"""),1076.85)</f>
        <v>1076.8499999999999</v>
      </c>
      <c r="C670" s="3">
        <f t="shared" ca="1" si="20"/>
        <v>-1.7150273477335091E-3</v>
      </c>
      <c r="D670">
        <f t="shared" ca="1" si="19"/>
        <v>1024.2948979591836</v>
      </c>
    </row>
    <row r="671" spans="1:4" x14ac:dyDescent="0.25">
      <c r="A671" s="2">
        <f ca="1">IFERROR(__xludf.DUMMYFUNCTION("""COMPUTED_VALUE"""),45364.6458333333)</f>
        <v>45364.645833333299</v>
      </c>
      <c r="B671" s="1">
        <f ca="1">IFERROR(__xludf.DUMMYFUNCTION("""COMPUTED_VALUE"""),1083.95)</f>
        <v>1083.95</v>
      </c>
      <c r="C671" s="3">
        <f t="shared" ca="1" si="20"/>
        <v>6.5933045456657256E-3</v>
      </c>
      <c r="D671">
        <f t="shared" ca="1" si="19"/>
        <v>1025.9326530612243</v>
      </c>
    </row>
    <row r="672" spans="1:4" x14ac:dyDescent="0.25">
      <c r="A672" s="2">
        <f ca="1">IFERROR(__xludf.DUMMYFUNCTION("""COMPUTED_VALUE"""),45365.6458333333)</f>
        <v>45365.645833333299</v>
      </c>
      <c r="B672" s="1">
        <f ca="1">IFERROR(__xludf.DUMMYFUNCTION("""COMPUTED_VALUE"""),1083.6)</f>
        <v>1083.5999999999999</v>
      </c>
      <c r="C672" s="3">
        <f t="shared" ca="1" si="20"/>
        <v>-3.2289312237661924E-4</v>
      </c>
      <c r="D672">
        <f t="shared" ca="1" si="19"/>
        <v>1027.6581632653058</v>
      </c>
    </row>
    <row r="673" spans="1:4" x14ac:dyDescent="0.25">
      <c r="A673" s="2">
        <f ca="1">IFERROR(__xludf.DUMMYFUNCTION("""COMPUTED_VALUE"""),45366.6458333333)</f>
        <v>45366.645833333299</v>
      </c>
      <c r="B673" s="1">
        <f ca="1">IFERROR(__xludf.DUMMYFUNCTION("""COMPUTED_VALUE"""),1080.35)</f>
        <v>1080.3499999999999</v>
      </c>
      <c r="C673" s="3">
        <f t="shared" ca="1" si="20"/>
        <v>-2.999261720191953E-3</v>
      </c>
      <c r="D673">
        <f t="shared" ca="1" si="19"/>
        <v>1029.7265306122445</v>
      </c>
    </row>
    <row r="674" spans="1:4" x14ac:dyDescent="0.25">
      <c r="A674" s="2">
        <f ca="1">IFERROR(__xludf.DUMMYFUNCTION("""COMPUTED_VALUE"""),45369.6458333333)</f>
        <v>45369.645833333299</v>
      </c>
      <c r="B674" s="1">
        <f ca="1">IFERROR(__xludf.DUMMYFUNCTION("""COMPUTED_VALUE"""),1081.2)</f>
        <v>1081.2</v>
      </c>
      <c r="C674" s="3">
        <f t="shared" ca="1" si="20"/>
        <v>7.867820613691271E-4</v>
      </c>
      <c r="D674">
        <f t="shared" ca="1" si="19"/>
        <v>1031.6918367346934</v>
      </c>
    </row>
    <row r="675" spans="1:4" x14ac:dyDescent="0.25">
      <c r="A675" s="2">
        <f ca="1">IFERROR(__xludf.DUMMYFUNCTION("""COMPUTED_VALUE"""),45370.6458333333)</f>
        <v>45370.645833333299</v>
      </c>
      <c r="B675" s="1">
        <f ca="1">IFERROR(__xludf.DUMMYFUNCTION("""COMPUTED_VALUE"""),1083.95)</f>
        <v>1083.95</v>
      </c>
      <c r="C675" s="3">
        <f t="shared" ca="1" si="20"/>
        <v>2.5434702182759897E-3</v>
      </c>
      <c r="D675">
        <f t="shared" ca="1" si="19"/>
        <v>1033.6112244897956</v>
      </c>
    </row>
    <row r="676" spans="1:4" x14ac:dyDescent="0.25">
      <c r="A676" s="2">
        <f ca="1">IFERROR(__xludf.DUMMYFUNCTION("""COMPUTED_VALUE"""),45371.6458333333)</f>
        <v>45371.645833333299</v>
      </c>
      <c r="B676" s="1">
        <f ca="1">IFERROR(__xludf.DUMMYFUNCTION("""COMPUTED_VALUE"""),1084.5)</f>
        <v>1084.5</v>
      </c>
      <c r="C676" s="3">
        <f t="shared" ca="1" si="20"/>
        <v>5.0740347802016189E-4</v>
      </c>
      <c r="D676">
        <f t="shared" ca="1" si="19"/>
        <v>1035.4530612244894</v>
      </c>
    </row>
    <row r="677" spans="1:4" x14ac:dyDescent="0.25">
      <c r="A677" s="2">
        <f ca="1">IFERROR(__xludf.DUMMYFUNCTION("""COMPUTED_VALUE"""),45372.6458333333)</f>
        <v>45372.645833333299</v>
      </c>
      <c r="B677" s="1">
        <f ca="1">IFERROR(__xludf.DUMMYFUNCTION("""COMPUTED_VALUE"""),1081.8)</f>
        <v>1081.8</v>
      </c>
      <c r="C677" s="3">
        <f t="shared" ca="1" si="20"/>
        <v>-2.4896265560166394E-3</v>
      </c>
      <c r="D677">
        <f t="shared" ca="1" si="19"/>
        <v>1037.5448979591831</v>
      </c>
    </row>
    <row r="678" spans="1:4" x14ac:dyDescent="0.25">
      <c r="A678" s="2">
        <f ca="1">IFERROR(__xludf.DUMMYFUNCTION("""COMPUTED_VALUE"""),45373.6458333333)</f>
        <v>45373.645833333299</v>
      </c>
      <c r="B678" s="1">
        <f ca="1">IFERROR(__xludf.DUMMYFUNCTION("""COMPUTED_VALUE"""),1090.3)</f>
        <v>1090.3</v>
      </c>
      <c r="C678" s="3">
        <f t="shared" ca="1" si="20"/>
        <v>7.8572749121833992E-3</v>
      </c>
      <c r="D678">
        <f t="shared" ca="1" si="19"/>
        <v>1039.6275510204077</v>
      </c>
    </row>
    <row r="679" spans="1:4" x14ac:dyDescent="0.25">
      <c r="A679" s="2">
        <f ca="1">IFERROR(__xludf.DUMMYFUNCTION("""COMPUTED_VALUE"""),45377.6458333333)</f>
        <v>45377.645833333299</v>
      </c>
      <c r="B679" s="1">
        <f ca="1">IFERROR(__xludf.DUMMYFUNCTION("""COMPUTED_VALUE"""),1083.7)</f>
        <v>1083.7</v>
      </c>
      <c r="C679" s="3">
        <f t="shared" ca="1" si="20"/>
        <v>-6.0533798037236625E-3</v>
      </c>
      <c r="D679">
        <f t="shared" ca="1" si="19"/>
        <v>1041.6122448979588</v>
      </c>
    </row>
    <row r="680" spans="1:4" x14ac:dyDescent="0.25">
      <c r="A680" s="2">
        <f ca="1">IFERROR(__xludf.DUMMYFUNCTION("""COMPUTED_VALUE"""),45378.6458333333)</f>
        <v>45378.645833333299</v>
      </c>
      <c r="B680" s="1">
        <f ca="1">IFERROR(__xludf.DUMMYFUNCTION("""COMPUTED_VALUE"""),1083.75)</f>
        <v>1083.75</v>
      </c>
      <c r="C680" s="3">
        <f t="shared" ca="1" si="20"/>
        <v>4.6138230137449961E-5</v>
      </c>
      <c r="D680">
        <f t="shared" ca="1" si="19"/>
        <v>1043.501020408163</v>
      </c>
    </row>
    <row r="681" spans="1:4" x14ac:dyDescent="0.25">
      <c r="A681" s="2">
        <f ca="1">IFERROR(__xludf.DUMMYFUNCTION("""COMPUTED_VALUE"""),45379.6458333333)</f>
        <v>45379.645833333299</v>
      </c>
      <c r="B681" s="1">
        <f ca="1">IFERROR(__xludf.DUMMYFUNCTION("""COMPUTED_VALUE"""),1093.3)</f>
        <v>1093.3</v>
      </c>
      <c r="C681" s="3">
        <f t="shared" ca="1" si="20"/>
        <v>8.8119953863898086E-3</v>
      </c>
      <c r="D681">
        <f t="shared" ca="1" si="19"/>
        <v>1045.1387755102039</v>
      </c>
    </row>
    <row r="682" spans="1:4" x14ac:dyDescent="0.25">
      <c r="A682" s="2">
        <f ca="1">IFERROR(__xludf.DUMMYFUNCTION("""COMPUTED_VALUE"""),45383.6458333333)</f>
        <v>45383.645833333299</v>
      </c>
      <c r="B682" s="1">
        <f ca="1">IFERROR(__xludf.DUMMYFUNCTION("""COMPUTED_VALUE"""),1099.65)</f>
        <v>1099.6500000000001</v>
      </c>
      <c r="C682" s="3">
        <f t="shared" ca="1" si="20"/>
        <v>5.8081039056070037E-3</v>
      </c>
      <c r="D682">
        <f t="shared" ca="1" si="19"/>
        <v>1046.8418367346935</v>
      </c>
    </row>
    <row r="683" spans="1:4" x14ac:dyDescent="0.25">
      <c r="A683" s="2">
        <f ca="1">IFERROR(__xludf.DUMMYFUNCTION("""COMPUTED_VALUE"""),45384.6458333333)</f>
        <v>45384.645833333299</v>
      </c>
      <c r="B683" s="1">
        <f ca="1">IFERROR(__xludf.DUMMYFUNCTION("""COMPUTED_VALUE"""),1081.2)</f>
        <v>1081.2</v>
      </c>
      <c r="C683" s="3">
        <f t="shared" ca="1" si="20"/>
        <v>-1.6778065748192645E-2</v>
      </c>
      <c r="D683">
        <f t="shared" ca="1" si="19"/>
        <v>1048.6908163265305</v>
      </c>
    </row>
    <row r="684" spans="1:4" x14ac:dyDescent="0.25">
      <c r="A684" s="2">
        <f ca="1">IFERROR(__xludf.DUMMYFUNCTION("""COMPUTED_VALUE"""),45385.6458333333)</f>
        <v>45385.645833333299</v>
      </c>
      <c r="B684" s="1">
        <f ca="1">IFERROR(__xludf.DUMMYFUNCTION("""COMPUTED_VALUE"""),1077.2)</f>
        <v>1077.2</v>
      </c>
      <c r="C684" s="3">
        <f t="shared" ca="1" si="20"/>
        <v>-3.6995930447650755E-3</v>
      </c>
      <c r="D684">
        <f t="shared" ca="1" si="19"/>
        <v>1050.7204081632651</v>
      </c>
    </row>
    <row r="685" spans="1:4" x14ac:dyDescent="0.25">
      <c r="A685" s="2">
        <f ca="1">IFERROR(__xludf.DUMMYFUNCTION("""COMPUTED_VALUE"""),45386.6458333333)</f>
        <v>45386.645833333299</v>
      </c>
      <c r="B685" s="1">
        <f ca="1">IFERROR(__xludf.DUMMYFUNCTION("""COMPUTED_VALUE"""),1078.85)</f>
        <v>1078.8499999999999</v>
      </c>
      <c r="C685" s="3">
        <f t="shared" ca="1" si="20"/>
        <v>1.5317489788338873E-3</v>
      </c>
      <c r="D685">
        <f t="shared" ca="1" si="19"/>
        <v>1052.574489795918</v>
      </c>
    </row>
    <row r="686" spans="1:4" x14ac:dyDescent="0.25">
      <c r="A686" s="2">
        <f ca="1">IFERROR(__xludf.DUMMYFUNCTION("""COMPUTED_VALUE"""),45387.6458333333)</f>
        <v>45387.645833333299</v>
      </c>
      <c r="B686" s="1">
        <f ca="1">IFERROR(__xludf.DUMMYFUNCTION("""COMPUTED_VALUE"""),1083.4)</f>
        <v>1083.4000000000001</v>
      </c>
      <c r="C686" s="3">
        <f t="shared" ca="1" si="20"/>
        <v>4.2174537702184571E-3</v>
      </c>
      <c r="D686">
        <f t="shared" ca="1" si="19"/>
        <v>1054.1999999999996</v>
      </c>
    </row>
    <row r="687" spans="1:4" x14ac:dyDescent="0.25">
      <c r="A687" s="2">
        <f ca="1">IFERROR(__xludf.DUMMYFUNCTION("""COMPUTED_VALUE"""),45390.6458333333)</f>
        <v>45390.645833333299</v>
      </c>
      <c r="B687" s="1">
        <f ca="1">IFERROR(__xludf.DUMMYFUNCTION("""COMPUTED_VALUE"""),1087.15)</f>
        <v>1087.1500000000001</v>
      </c>
      <c r="C687" s="3">
        <f t="shared" ca="1" si="20"/>
        <v>3.4613254568949601E-3</v>
      </c>
      <c r="D687">
        <f t="shared" ca="1" si="19"/>
        <v>1055.3091836734691</v>
      </c>
    </row>
    <row r="688" spans="1:4" x14ac:dyDescent="0.25">
      <c r="A688" s="2">
        <f ca="1">IFERROR(__xludf.DUMMYFUNCTION("""COMPUTED_VALUE"""),45391.6458333333)</f>
        <v>45391.645833333299</v>
      </c>
      <c r="B688" s="1">
        <f ca="1">IFERROR(__xludf.DUMMYFUNCTION("""COMPUTED_VALUE"""),1107.05)</f>
        <v>1107.05</v>
      </c>
      <c r="C688" s="3">
        <f t="shared" ca="1" si="20"/>
        <v>1.8304741755967312E-2</v>
      </c>
      <c r="D688">
        <f t="shared" ca="1" si="19"/>
        <v>1057.1040816326529</v>
      </c>
    </row>
    <row r="689" spans="1:4" x14ac:dyDescent="0.25">
      <c r="A689" s="2">
        <f ca="1">IFERROR(__xludf.DUMMYFUNCTION("""COMPUTED_VALUE"""),45392.6458333333)</f>
        <v>45392.645833333299</v>
      </c>
      <c r="B689" s="1">
        <f ca="1">IFERROR(__xludf.DUMMYFUNCTION("""COMPUTED_VALUE"""),1109.4)</f>
        <v>1109.4000000000001</v>
      </c>
      <c r="C689" s="3">
        <f t="shared" ca="1" si="20"/>
        <v>2.1227586829864384E-3</v>
      </c>
      <c r="D689">
        <f t="shared" ca="1" si="19"/>
        <v>1059.0857142857142</v>
      </c>
    </row>
    <row r="690" spans="1:4" x14ac:dyDescent="0.25">
      <c r="A690" s="2">
        <f ca="1">IFERROR(__xludf.DUMMYFUNCTION("""COMPUTED_VALUE"""),45394.6458333333)</f>
        <v>45394.645833333299</v>
      </c>
      <c r="B690" s="1">
        <f ca="1">IFERROR(__xludf.DUMMYFUNCTION("""COMPUTED_VALUE"""),1104.4)</f>
        <v>1104.4000000000001</v>
      </c>
      <c r="C690" s="3">
        <f t="shared" ca="1" si="20"/>
        <v>-4.5069406886605367E-3</v>
      </c>
      <c r="D690">
        <f t="shared" ca="1" si="19"/>
        <v>1060.9836734693879</v>
      </c>
    </row>
    <row r="691" spans="1:4" x14ac:dyDescent="0.25">
      <c r="A691" s="2">
        <f ca="1">IFERROR(__xludf.DUMMYFUNCTION("""COMPUTED_VALUE"""),45397.6458333333)</f>
        <v>45397.645833333299</v>
      </c>
      <c r="B691" s="1">
        <f ca="1">IFERROR(__xludf.DUMMYFUNCTION("""COMPUTED_VALUE"""),1078.35)</f>
        <v>1078.3499999999999</v>
      </c>
      <c r="C691" s="3">
        <f t="shared" ca="1" si="20"/>
        <v>-2.3587468308584009E-2</v>
      </c>
      <c r="D691">
        <f t="shared" ca="1" si="19"/>
        <v>1062.7693877551021</v>
      </c>
    </row>
    <row r="692" spans="1:4" x14ac:dyDescent="0.25">
      <c r="A692" s="2">
        <f ca="1">IFERROR(__xludf.DUMMYFUNCTION("""COMPUTED_VALUE"""),45398.6458333333)</f>
        <v>45398.645833333299</v>
      </c>
      <c r="B692" s="1">
        <f ca="1">IFERROR(__xludf.DUMMYFUNCTION("""COMPUTED_VALUE"""),1067.05)</f>
        <v>1067.05</v>
      </c>
      <c r="C692" s="3">
        <f t="shared" ca="1" si="20"/>
        <v>-1.0478972504288919E-2</v>
      </c>
      <c r="D692">
        <f t="shared" ref="D692:D755" ca="1" si="21">AVERAGE(B643:B691)</f>
        <v>1063.7938775510204</v>
      </c>
    </row>
    <row r="693" spans="1:4" x14ac:dyDescent="0.25">
      <c r="A693" s="2">
        <f ca="1">IFERROR(__xludf.DUMMYFUNCTION("""COMPUTED_VALUE"""),45400.6458333333)</f>
        <v>45400.645833333299</v>
      </c>
      <c r="B693" s="1">
        <f ca="1">IFERROR(__xludf.DUMMYFUNCTION("""COMPUTED_VALUE"""),1055.45)</f>
        <v>1055.45</v>
      </c>
      <c r="C693" s="3">
        <f t="shared" ca="1" si="20"/>
        <v>-1.0871093200880848E-2</v>
      </c>
      <c r="D693">
        <f t="shared" ca="1" si="21"/>
        <v>1064.6489795918369</v>
      </c>
    </row>
    <row r="694" spans="1:4" x14ac:dyDescent="0.25">
      <c r="A694" s="2">
        <f ca="1">IFERROR(__xludf.DUMMYFUNCTION("""COMPUTED_VALUE"""),45401.6458333333)</f>
        <v>45401.645833333299</v>
      </c>
      <c r="B694" s="1">
        <f ca="1">IFERROR(__xludf.DUMMYFUNCTION("""COMPUTED_VALUE"""),1067.25)</f>
        <v>1067.25</v>
      </c>
      <c r="C694" s="3">
        <f t="shared" ca="1" si="20"/>
        <v>1.1180065374958505E-2</v>
      </c>
      <c r="D694">
        <f t="shared" ca="1" si="21"/>
        <v>1065.2908163265308</v>
      </c>
    </row>
    <row r="695" spans="1:4" x14ac:dyDescent="0.25">
      <c r="A695" s="2">
        <f ca="1">IFERROR(__xludf.DUMMYFUNCTION("""COMPUTED_VALUE"""),45404.6458333333)</f>
        <v>45404.645833333299</v>
      </c>
      <c r="B695" s="1">
        <f ca="1">IFERROR(__xludf.DUMMYFUNCTION("""COMPUTED_VALUE"""),1086.65)</f>
        <v>1086.6500000000001</v>
      </c>
      <c r="C695" s="3">
        <f t="shared" ca="1" si="20"/>
        <v>1.8177559147341382E-2</v>
      </c>
      <c r="D695">
        <f t="shared" ca="1" si="21"/>
        <v>1066.1836734693879</v>
      </c>
    </row>
    <row r="696" spans="1:4" x14ac:dyDescent="0.25">
      <c r="A696" s="2">
        <f ca="1">IFERROR(__xludf.DUMMYFUNCTION("""COMPUTED_VALUE"""),45405.6458333333)</f>
        <v>45405.645833333299</v>
      </c>
      <c r="B696" s="1">
        <f ca="1">IFERROR(__xludf.DUMMYFUNCTION("""COMPUTED_VALUE"""),1090.25)</f>
        <v>1090.25</v>
      </c>
      <c r="C696" s="3">
        <f t="shared" ca="1" si="20"/>
        <v>3.3129342474576993E-3</v>
      </c>
      <c r="D696">
        <f t="shared" ca="1" si="21"/>
        <v>1067.4132653061226</v>
      </c>
    </row>
    <row r="697" spans="1:4" x14ac:dyDescent="0.25">
      <c r="A697" s="2">
        <f ca="1">IFERROR(__xludf.DUMMYFUNCTION("""COMPUTED_VALUE"""),45406.6458333333)</f>
        <v>45406.645833333299</v>
      </c>
      <c r="B697" s="1">
        <f ca="1">IFERROR(__xludf.DUMMYFUNCTION("""COMPUTED_VALUE"""),1096.75)</f>
        <v>1096.75</v>
      </c>
      <c r="C697" s="3">
        <f t="shared" ca="1" si="20"/>
        <v>5.9619353359321257E-3</v>
      </c>
      <c r="D697">
        <f t="shared" ca="1" si="21"/>
        <v>1068.80306122449</v>
      </c>
    </row>
    <row r="698" spans="1:4" x14ac:dyDescent="0.25">
      <c r="A698" s="2">
        <f ca="1">IFERROR(__xludf.DUMMYFUNCTION("""COMPUTED_VALUE"""),45407.6458333333)</f>
        <v>45407.645833333299</v>
      </c>
      <c r="B698" s="1">
        <f ca="1">IFERROR(__xludf.DUMMYFUNCTION("""COMPUTED_VALUE"""),1113.75)</f>
        <v>1113.75</v>
      </c>
      <c r="C698" s="3">
        <f t="shared" ca="1" si="20"/>
        <v>1.5500341919307043E-2</v>
      </c>
      <c r="D698">
        <f t="shared" ca="1" si="21"/>
        <v>1070.995918367347</v>
      </c>
    </row>
    <row r="699" spans="1:4" x14ac:dyDescent="0.25">
      <c r="A699" s="2">
        <f ca="1">IFERROR(__xludf.DUMMYFUNCTION("""COMPUTED_VALUE"""),45408.6458333333)</f>
        <v>45408.645833333299</v>
      </c>
      <c r="B699" s="1">
        <f ca="1">IFERROR(__xludf.DUMMYFUNCTION("""COMPUTED_VALUE"""),1107.9)</f>
        <v>1107.9000000000001</v>
      </c>
      <c r="C699" s="3">
        <f t="shared" ca="1" si="20"/>
        <v>-5.252525252525171E-3</v>
      </c>
      <c r="D699">
        <f t="shared" ca="1" si="21"/>
        <v>1073.098979591837</v>
      </c>
    </row>
    <row r="700" spans="1:4" x14ac:dyDescent="0.25">
      <c r="A700" s="2">
        <f ca="1">IFERROR(__xludf.DUMMYFUNCTION("""COMPUTED_VALUE"""),45411.6458333333)</f>
        <v>45411.645833333299</v>
      </c>
      <c r="B700" s="1">
        <f ca="1">IFERROR(__xludf.DUMMYFUNCTION("""COMPUTED_VALUE"""),1160.15)</f>
        <v>1160.1500000000001</v>
      </c>
      <c r="C700" s="3">
        <f t="shared" ca="1" si="20"/>
        <v>4.7161296145861537E-2</v>
      </c>
      <c r="D700">
        <f t="shared" ca="1" si="21"/>
        <v>1075.380612244898</v>
      </c>
    </row>
    <row r="701" spans="1:4" x14ac:dyDescent="0.25">
      <c r="A701" s="2">
        <f ca="1">IFERROR(__xludf.DUMMYFUNCTION("""COMPUTED_VALUE"""),45412.6458333333)</f>
        <v>45412.645833333299</v>
      </c>
      <c r="B701" s="1">
        <f ca="1">IFERROR(__xludf.DUMMYFUNCTION("""COMPUTED_VALUE"""),1150.4)</f>
        <v>1150.4000000000001</v>
      </c>
      <c r="C701" s="3">
        <f t="shared" ca="1" si="20"/>
        <v>-8.4040856785760447E-3</v>
      </c>
      <c r="D701">
        <f t="shared" ca="1" si="21"/>
        <v>1078.2448979591836</v>
      </c>
    </row>
    <row r="702" spans="1:4" x14ac:dyDescent="0.25">
      <c r="A702" s="2">
        <f ca="1">IFERROR(__xludf.DUMMYFUNCTION("""COMPUTED_VALUE"""),45414.6458333333)</f>
        <v>45414.645833333299</v>
      </c>
      <c r="B702" s="1">
        <f ca="1">IFERROR(__xludf.DUMMYFUNCTION("""COMPUTED_VALUE"""),1139.45)</f>
        <v>1139.45</v>
      </c>
      <c r="C702" s="3">
        <f t="shared" ca="1" si="20"/>
        <v>-9.5184283727399559E-3</v>
      </c>
      <c r="D702">
        <f t="shared" ca="1" si="21"/>
        <v>1080.8510204081633</v>
      </c>
    </row>
    <row r="703" spans="1:4" x14ac:dyDescent="0.25">
      <c r="A703" s="2">
        <f ca="1">IFERROR(__xludf.DUMMYFUNCTION("""COMPUTED_VALUE"""),45415.6458333333)</f>
        <v>45415.645833333299</v>
      </c>
      <c r="B703" s="1">
        <f ca="1">IFERROR(__xludf.DUMMYFUNCTION("""COMPUTED_VALUE"""),1142.05)</f>
        <v>1142.05</v>
      </c>
      <c r="C703" s="3">
        <f t="shared" ca="1" si="20"/>
        <v>2.2818026240729377E-3</v>
      </c>
      <c r="D703">
        <f t="shared" ca="1" si="21"/>
        <v>1083.3571428571431</v>
      </c>
    </row>
    <row r="704" spans="1:4" x14ac:dyDescent="0.25">
      <c r="A704" s="2">
        <f ca="1">IFERROR(__xludf.DUMMYFUNCTION("""COMPUTED_VALUE"""),45418.6458333333)</f>
        <v>45418.645833333299</v>
      </c>
      <c r="B704" s="1">
        <f ca="1">IFERROR(__xludf.DUMMYFUNCTION("""COMPUTED_VALUE"""),1146.3)</f>
        <v>1146.3</v>
      </c>
      <c r="C704" s="3">
        <f t="shared" ca="1" si="20"/>
        <v>3.7213782233702555E-3</v>
      </c>
      <c r="D704">
        <f t="shared" ca="1" si="21"/>
        <v>1085.7816326530615</v>
      </c>
    </row>
    <row r="705" spans="1:4" x14ac:dyDescent="0.25">
      <c r="A705" s="2">
        <f ca="1">IFERROR(__xludf.DUMMYFUNCTION("""COMPUTED_VALUE"""),45419.6458333333)</f>
        <v>45419.645833333299</v>
      </c>
      <c r="B705" s="1">
        <f ca="1">IFERROR(__xludf.DUMMYFUNCTION("""COMPUTED_VALUE"""),1131.9)</f>
        <v>1131.9000000000001</v>
      </c>
      <c r="C705" s="3">
        <f t="shared" ca="1" si="20"/>
        <v>-1.2562156503532988E-2</v>
      </c>
      <c r="D705">
        <f t="shared" ca="1" si="21"/>
        <v>1087.8744897959186</v>
      </c>
    </row>
    <row r="706" spans="1:4" x14ac:dyDescent="0.25">
      <c r="A706" s="2">
        <f ca="1">IFERROR(__xludf.DUMMYFUNCTION("""COMPUTED_VALUE"""),45420.6458333333)</f>
        <v>45420.645833333299</v>
      </c>
      <c r="B706" s="1">
        <f ca="1">IFERROR(__xludf.DUMMYFUNCTION("""COMPUTED_VALUE"""),1123)</f>
        <v>1123</v>
      </c>
      <c r="C706" s="3">
        <f t="shared" ca="1" si="20"/>
        <v>-7.8628854139059026E-3</v>
      </c>
      <c r="D706">
        <f t="shared" ca="1" si="21"/>
        <v>1089.5714285714289</v>
      </c>
    </row>
    <row r="707" spans="1:4" x14ac:dyDescent="0.25">
      <c r="A707" s="2">
        <f ca="1">IFERROR(__xludf.DUMMYFUNCTION("""COMPUTED_VALUE"""),45421.6458333333)</f>
        <v>45421.645833333299</v>
      </c>
      <c r="B707" s="1">
        <f ca="1">IFERROR(__xludf.DUMMYFUNCTION("""COMPUTED_VALUE"""),1115.7)</f>
        <v>1115.7</v>
      </c>
      <c r="C707" s="3">
        <f t="shared" ca="1" si="20"/>
        <v>-6.5004452359750265E-3</v>
      </c>
      <c r="D707">
        <f t="shared" ca="1" si="21"/>
        <v>1091.0214285714289</v>
      </c>
    </row>
    <row r="708" spans="1:4" x14ac:dyDescent="0.25">
      <c r="A708" s="2">
        <f ca="1">IFERROR(__xludf.DUMMYFUNCTION("""COMPUTED_VALUE"""),45422.6458333333)</f>
        <v>45422.645833333299</v>
      </c>
      <c r="B708" s="1">
        <f ca="1">IFERROR(__xludf.DUMMYFUNCTION("""COMPUTED_VALUE"""),1117.05)</f>
        <v>1117.05</v>
      </c>
      <c r="C708" s="3">
        <f t="shared" ref="C708:C771" ca="1" si="22">(B708-B707)/B707</f>
        <v>1.2100026888947828E-3</v>
      </c>
      <c r="D708">
        <f t="shared" ca="1" si="21"/>
        <v>1092.1030612244899</v>
      </c>
    </row>
    <row r="709" spans="1:4" x14ac:dyDescent="0.25">
      <c r="A709" s="2">
        <f ca="1">IFERROR(__xludf.DUMMYFUNCTION("""COMPUTED_VALUE"""),45425.6458333333)</f>
        <v>45425.645833333299</v>
      </c>
      <c r="B709" s="1">
        <f ca="1">IFERROR(__xludf.DUMMYFUNCTION("""COMPUTED_VALUE"""),1128)</f>
        <v>1128</v>
      </c>
      <c r="C709" s="3">
        <f t="shared" ca="1" si="22"/>
        <v>9.802605075869518E-3</v>
      </c>
      <c r="D709">
        <f t="shared" ca="1" si="21"/>
        <v>1093.2408163265309</v>
      </c>
    </row>
    <row r="710" spans="1:4" x14ac:dyDescent="0.25">
      <c r="A710" s="2">
        <f ca="1">IFERROR(__xludf.DUMMYFUNCTION("""COMPUTED_VALUE"""),45426.6458333333)</f>
        <v>45426.645833333299</v>
      </c>
      <c r="B710" s="1">
        <f ca="1">IFERROR(__xludf.DUMMYFUNCTION("""COMPUTED_VALUE"""),1120.55)</f>
        <v>1120.55</v>
      </c>
      <c r="C710" s="3">
        <f t="shared" ca="1" si="22"/>
        <v>-6.6046099290780541E-3</v>
      </c>
      <c r="D710">
        <f t="shared" ca="1" si="21"/>
        <v>1094.7469387755107</v>
      </c>
    </row>
    <row r="711" spans="1:4" x14ac:dyDescent="0.25">
      <c r="A711" s="2">
        <f ca="1">IFERROR(__xludf.DUMMYFUNCTION("""COMPUTED_VALUE"""),45427.6458333333)</f>
        <v>45427.645833333299</v>
      </c>
      <c r="B711" s="1">
        <f ca="1">IFERROR(__xludf.DUMMYFUNCTION("""COMPUTED_VALUE"""),1124.35)</f>
        <v>1124.3499999999999</v>
      </c>
      <c r="C711" s="3">
        <f t="shared" ca="1" si="22"/>
        <v>3.3911918254428226E-3</v>
      </c>
      <c r="D711">
        <f t="shared" ca="1" si="21"/>
        <v>1095.9785714285717</v>
      </c>
    </row>
    <row r="712" spans="1:4" x14ac:dyDescent="0.25">
      <c r="A712" s="2">
        <f ca="1">IFERROR(__xludf.DUMMYFUNCTION("""COMPUTED_VALUE"""),45428.6458333333)</f>
        <v>45428.645833333299</v>
      </c>
      <c r="B712" s="1">
        <f ca="1">IFERROR(__xludf.DUMMYFUNCTION("""COMPUTED_VALUE"""),1131.05)</f>
        <v>1131.05</v>
      </c>
      <c r="C712" s="3">
        <f t="shared" ca="1" si="22"/>
        <v>5.9589985324854768E-3</v>
      </c>
      <c r="D712">
        <f t="shared" ca="1" si="21"/>
        <v>1097.5734693877555</v>
      </c>
    </row>
    <row r="713" spans="1:4" x14ac:dyDescent="0.25">
      <c r="A713" s="2">
        <f ca="1">IFERROR(__xludf.DUMMYFUNCTION("""COMPUTED_VALUE"""),45429.6458333333)</f>
        <v>45429.645833333299</v>
      </c>
      <c r="B713" s="1">
        <f ca="1">IFERROR(__xludf.DUMMYFUNCTION("""COMPUTED_VALUE"""),1130.5)</f>
        <v>1130.5</v>
      </c>
      <c r="C713" s="3">
        <f t="shared" ca="1" si="22"/>
        <v>-4.8627381636528409E-4</v>
      </c>
      <c r="D713">
        <f t="shared" ca="1" si="21"/>
        <v>1099.182653061225</v>
      </c>
    </row>
    <row r="714" spans="1:4" x14ac:dyDescent="0.25">
      <c r="A714" s="2">
        <f ca="1">IFERROR(__xludf.DUMMYFUNCTION("""COMPUTED_VALUE"""),45433.6458333333)</f>
        <v>45433.645833333299</v>
      </c>
      <c r="B714" s="1">
        <f ca="1">IFERROR(__xludf.DUMMYFUNCTION("""COMPUTED_VALUE"""),1120.95)</f>
        <v>1120.95</v>
      </c>
      <c r="C714" s="3">
        <f t="shared" ca="1" si="22"/>
        <v>-8.447589562140605E-3</v>
      </c>
      <c r="D714">
        <f t="shared" ca="1" si="21"/>
        <v>1100.0724489795921</v>
      </c>
    </row>
    <row r="715" spans="1:4" x14ac:dyDescent="0.25">
      <c r="A715" s="2">
        <f ca="1">IFERROR(__xludf.DUMMYFUNCTION("""COMPUTED_VALUE"""),45434.6458333333)</f>
        <v>45434.645833333299</v>
      </c>
      <c r="B715" s="1">
        <f ca="1">IFERROR(__xludf.DUMMYFUNCTION("""COMPUTED_VALUE"""),1111.1)</f>
        <v>1111.0999999999999</v>
      </c>
      <c r="C715" s="3">
        <f t="shared" ca="1" si="22"/>
        <v>-8.7871894375307867E-3</v>
      </c>
      <c r="D715">
        <f t="shared" ca="1" si="21"/>
        <v>1100.6561224489799</v>
      </c>
    </row>
    <row r="716" spans="1:4" x14ac:dyDescent="0.25">
      <c r="A716" s="2">
        <f ca="1">IFERROR(__xludf.DUMMYFUNCTION("""COMPUTED_VALUE"""),45435.6458333333)</f>
        <v>45435.645833333299</v>
      </c>
      <c r="B716" s="1">
        <f ca="1">IFERROR(__xludf.DUMMYFUNCTION("""COMPUTED_VALUE"""),1134.5)</f>
        <v>1134.5</v>
      </c>
      <c r="C716" s="3">
        <f t="shared" ca="1" si="22"/>
        <v>2.1060210602106104E-2</v>
      </c>
      <c r="D716">
        <f t="shared" ca="1" si="21"/>
        <v>1101.1265306122452</v>
      </c>
    </row>
    <row r="717" spans="1:4" x14ac:dyDescent="0.25">
      <c r="A717" s="2">
        <f ca="1">IFERROR(__xludf.DUMMYFUNCTION("""COMPUTED_VALUE"""),45436.6458333333)</f>
        <v>45436.645833333299</v>
      </c>
      <c r="B717" s="1">
        <f ca="1">IFERROR(__xludf.DUMMYFUNCTION("""COMPUTED_VALUE"""),1131.95)</f>
        <v>1131.95</v>
      </c>
      <c r="C717" s="3">
        <f t="shared" ca="1" si="22"/>
        <v>-2.2476862053767777E-3</v>
      </c>
      <c r="D717">
        <f t="shared" ca="1" si="21"/>
        <v>1101.8897959183676</v>
      </c>
    </row>
    <row r="718" spans="1:4" x14ac:dyDescent="0.25">
      <c r="A718" s="2">
        <f ca="1">IFERROR(__xludf.DUMMYFUNCTION("""COMPUTED_VALUE"""),45439.6458333333)</f>
        <v>45439.645833333299</v>
      </c>
      <c r="B718" s="1">
        <f ca="1">IFERROR(__xludf.DUMMYFUNCTION("""COMPUTED_VALUE"""),1129.8)</f>
        <v>1129.8</v>
      </c>
      <c r="C718" s="3">
        <f t="shared" ca="1" si="22"/>
        <v>-1.8993771809709711E-3</v>
      </c>
      <c r="D718">
        <f t="shared" ca="1" si="21"/>
        <v>1102.787755102041</v>
      </c>
    </row>
    <row r="719" spans="1:4" x14ac:dyDescent="0.25">
      <c r="A719" s="2">
        <f ca="1">IFERROR(__xludf.DUMMYFUNCTION("""COMPUTED_VALUE"""),45440.6458333333)</f>
        <v>45440.645833333299</v>
      </c>
      <c r="B719" s="1">
        <f ca="1">IFERROR(__xludf.DUMMYFUNCTION("""COMPUTED_VALUE"""),1126.95)</f>
        <v>1126.95</v>
      </c>
      <c r="C719" s="3">
        <f t="shared" ca="1" si="22"/>
        <v>-2.5225703664364572E-3</v>
      </c>
      <c r="D719">
        <f t="shared" ca="1" si="21"/>
        <v>1103.8306122448982</v>
      </c>
    </row>
    <row r="720" spans="1:4" x14ac:dyDescent="0.25">
      <c r="A720" s="2">
        <f ca="1">IFERROR(__xludf.DUMMYFUNCTION("""COMPUTED_VALUE"""),45441.6458333333)</f>
        <v>45441.645833333299</v>
      </c>
      <c r="B720" s="1">
        <f ca="1">IFERROR(__xludf.DUMMYFUNCTION("""COMPUTED_VALUE"""),1102)</f>
        <v>1102</v>
      </c>
      <c r="C720" s="3">
        <f t="shared" ca="1" si="22"/>
        <v>-2.213940281290212E-2</v>
      </c>
      <c r="D720">
        <f t="shared" ca="1" si="21"/>
        <v>1104.8530612244899</v>
      </c>
    </row>
    <row r="721" spans="1:4" x14ac:dyDescent="0.25">
      <c r="A721" s="2">
        <f ca="1">IFERROR(__xludf.DUMMYFUNCTION("""COMPUTED_VALUE"""),45442.6458333333)</f>
        <v>45442.645833333299</v>
      </c>
      <c r="B721" s="1">
        <f ca="1">IFERROR(__xludf.DUMMYFUNCTION("""COMPUTED_VALUE"""),1113.7)</f>
        <v>1113.7</v>
      </c>
      <c r="C721" s="3">
        <f t="shared" ca="1" si="22"/>
        <v>1.0617059891107119E-2</v>
      </c>
      <c r="D721">
        <f t="shared" ca="1" si="21"/>
        <v>1105.2214285714288</v>
      </c>
    </row>
    <row r="722" spans="1:4" x14ac:dyDescent="0.25">
      <c r="A722" s="2">
        <f ca="1">IFERROR(__xludf.DUMMYFUNCTION("""COMPUTED_VALUE"""),45443.6458333333)</f>
        <v>45443.645833333299</v>
      </c>
      <c r="B722" s="1">
        <f ca="1">IFERROR(__xludf.DUMMYFUNCTION("""COMPUTED_VALUE"""),1121.05)</f>
        <v>1121.05</v>
      </c>
      <c r="C722" s="3">
        <f t="shared" ca="1" si="22"/>
        <v>6.5996228786925643E-3</v>
      </c>
      <c r="D722">
        <f t="shared" ca="1" si="21"/>
        <v>1105.8357142857144</v>
      </c>
    </row>
    <row r="723" spans="1:4" x14ac:dyDescent="0.25">
      <c r="A723" s="2">
        <f ca="1">IFERROR(__xludf.DUMMYFUNCTION("""COMPUTED_VALUE"""),45446.6458333333)</f>
        <v>45446.645833333299</v>
      </c>
      <c r="B723" s="1">
        <f ca="1">IFERROR(__xludf.DUMMYFUNCTION("""COMPUTED_VALUE"""),1160)</f>
        <v>1160</v>
      </c>
      <c r="C723" s="3">
        <f t="shared" ca="1" si="22"/>
        <v>3.4744213014584586E-2</v>
      </c>
      <c r="D723">
        <f t="shared" ca="1" si="21"/>
        <v>1106.6663265306124</v>
      </c>
    </row>
    <row r="724" spans="1:4" x14ac:dyDescent="0.25">
      <c r="A724" s="2">
        <f ca="1">IFERROR(__xludf.DUMMYFUNCTION("""COMPUTED_VALUE"""),45447.6458333333)</f>
        <v>45447.645833333299</v>
      </c>
      <c r="B724" s="1">
        <f ca="1">IFERROR(__xludf.DUMMYFUNCTION("""COMPUTED_VALUE"""),1071.45)</f>
        <v>1071.45</v>
      </c>
      <c r="C724" s="3">
        <f t="shared" ca="1" si="22"/>
        <v>-7.6336206896551684E-2</v>
      </c>
      <c r="D724">
        <f t="shared" ca="1" si="21"/>
        <v>1108.2744897959185</v>
      </c>
    </row>
    <row r="725" spans="1:4" x14ac:dyDescent="0.25">
      <c r="A725" s="2">
        <f ca="1">IFERROR(__xludf.DUMMYFUNCTION("""COMPUTED_VALUE"""),45448.6458333333)</f>
        <v>45448.645833333299</v>
      </c>
      <c r="B725" s="1">
        <f ca="1">IFERROR(__xludf.DUMMYFUNCTION("""COMPUTED_VALUE"""),1108.65)</f>
        <v>1108.6500000000001</v>
      </c>
      <c r="C725" s="3">
        <f t="shared" ca="1" si="22"/>
        <v>3.4719305613887766E-2</v>
      </c>
      <c r="D725">
        <f t="shared" ca="1" si="21"/>
        <v>1108.0193877551019</v>
      </c>
    </row>
    <row r="726" spans="1:4" x14ac:dyDescent="0.25">
      <c r="A726" s="2">
        <f ca="1">IFERROR(__xludf.DUMMYFUNCTION("""COMPUTED_VALUE"""),45449.6458333333)</f>
        <v>45449.645833333299</v>
      </c>
      <c r="B726" s="1">
        <f ca="1">IFERROR(__xludf.DUMMYFUNCTION("""COMPUTED_VALUE"""),1110.4)</f>
        <v>1110.4000000000001</v>
      </c>
      <c r="C726" s="3">
        <f t="shared" ca="1" si="22"/>
        <v>1.5784963694583502E-3</v>
      </c>
      <c r="D726">
        <f t="shared" ca="1" si="21"/>
        <v>1108.5122448979591</v>
      </c>
    </row>
    <row r="727" spans="1:4" x14ac:dyDescent="0.25">
      <c r="A727" s="2">
        <f ca="1">IFERROR(__xludf.DUMMYFUNCTION("""COMPUTED_VALUE"""),45450.6458333333)</f>
        <v>45450.645833333299</v>
      </c>
      <c r="B727" s="1">
        <f ca="1">IFERROR(__xludf.DUMMYFUNCTION("""COMPUTED_VALUE"""),1121.7)</f>
        <v>1121.7</v>
      </c>
      <c r="C727" s="3">
        <f t="shared" ca="1" si="22"/>
        <v>1.017651296829967E-2</v>
      </c>
      <c r="D727">
        <f t="shared" ca="1" si="21"/>
        <v>1109.0959183673469</v>
      </c>
    </row>
    <row r="728" spans="1:4" x14ac:dyDescent="0.25">
      <c r="A728" s="2">
        <f ca="1">IFERROR(__xludf.DUMMYFUNCTION("""COMPUTED_VALUE"""),45453.6458333333)</f>
        <v>45453.645833333299</v>
      </c>
      <c r="B728" s="1">
        <f ca="1">IFERROR(__xludf.DUMMYFUNCTION("""COMPUTED_VALUE"""),1123.8)</f>
        <v>1123.8</v>
      </c>
      <c r="C728" s="3">
        <f t="shared" ca="1" si="22"/>
        <v>1.8721583311044922E-3</v>
      </c>
      <c r="D728">
        <f t="shared" ca="1" si="21"/>
        <v>1109.7367346938775</v>
      </c>
    </row>
    <row r="729" spans="1:4" x14ac:dyDescent="0.25">
      <c r="A729" s="2">
        <f ca="1">IFERROR(__xludf.DUMMYFUNCTION("""COMPUTED_VALUE"""),45454.6458333333)</f>
        <v>45454.645833333299</v>
      </c>
      <c r="B729" s="1">
        <f ca="1">IFERROR(__xludf.DUMMYFUNCTION("""COMPUTED_VALUE"""),1118.2)</f>
        <v>1118.2</v>
      </c>
      <c r="C729" s="3">
        <f t="shared" ca="1" si="22"/>
        <v>-4.9830930770598941E-3</v>
      </c>
      <c r="D729">
        <f t="shared" ca="1" si="21"/>
        <v>1110.5551020408163</v>
      </c>
    </row>
    <row r="730" spans="1:4" x14ac:dyDescent="0.25">
      <c r="A730" s="2">
        <f ca="1">IFERROR(__xludf.DUMMYFUNCTION("""COMPUTED_VALUE"""),45455.6458333333)</f>
        <v>45455.645833333299</v>
      </c>
      <c r="B730" s="1">
        <f ca="1">IFERROR(__xludf.DUMMYFUNCTION("""COMPUTED_VALUE"""),1119.55)</f>
        <v>1119.55</v>
      </c>
      <c r="C730" s="3">
        <f t="shared" ca="1" si="22"/>
        <v>1.2072974423179296E-3</v>
      </c>
      <c r="D730">
        <f t="shared" ca="1" si="21"/>
        <v>1111.2581632653059</v>
      </c>
    </row>
    <row r="731" spans="1:4" x14ac:dyDescent="0.25">
      <c r="A731" s="2">
        <f ca="1">IFERROR(__xludf.DUMMYFUNCTION("""COMPUTED_VALUE"""),45456.6458333333)</f>
        <v>45456.645833333299</v>
      </c>
      <c r="B731" s="1">
        <f ca="1">IFERROR(__xludf.DUMMYFUNCTION("""COMPUTED_VALUE"""),1107.35)</f>
        <v>1107.3499999999999</v>
      </c>
      <c r="C731" s="3">
        <f t="shared" ca="1" si="22"/>
        <v>-1.0897235496404846E-2</v>
      </c>
      <c r="D731">
        <f t="shared" ca="1" si="21"/>
        <v>1111.7938775510204</v>
      </c>
    </row>
    <row r="732" spans="1:4" x14ac:dyDescent="0.25">
      <c r="A732" s="2">
        <f ca="1">IFERROR(__xludf.DUMMYFUNCTION("""COMPUTED_VALUE"""),45457.6458333333)</f>
        <v>45457.645833333299</v>
      </c>
      <c r="B732" s="1">
        <f ca="1">IFERROR(__xludf.DUMMYFUNCTION("""COMPUTED_VALUE"""),1105.65)</f>
        <v>1105.6500000000001</v>
      </c>
      <c r="C732" s="3">
        <f t="shared" ca="1" si="22"/>
        <v>-1.5351966406283635E-3</v>
      </c>
      <c r="D732">
        <f t="shared" ca="1" si="21"/>
        <v>1111.9510204081632</v>
      </c>
    </row>
    <row r="733" spans="1:4" x14ac:dyDescent="0.25">
      <c r="A733" s="2">
        <f ca="1">IFERROR(__xludf.DUMMYFUNCTION("""COMPUTED_VALUE"""),45461.6458333333)</f>
        <v>45461.645833333299</v>
      </c>
      <c r="B733" s="1">
        <f ca="1">IFERROR(__xludf.DUMMYFUNCTION("""COMPUTED_VALUE"""),1122.85)</f>
        <v>1122.8499999999999</v>
      </c>
      <c r="C733" s="3">
        <f t="shared" ca="1" si="22"/>
        <v>1.555646000090428E-2</v>
      </c>
      <c r="D733">
        <f t="shared" ca="1" si="21"/>
        <v>1112.4499999999998</v>
      </c>
    </row>
    <row r="734" spans="1:4" x14ac:dyDescent="0.25">
      <c r="A734" s="2">
        <f ca="1">IFERROR(__xludf.DUMMYFUNCTION("""COMPUTED_VALUE"""),45462.6458333333)</f>
        <v>45462.645833333299</v>
      </c>
      <c r="B734" s="1">
        <f ca="1">IFERROR(__xludf.DUMMYFUNCTION("""COMPUTED_VALUE"""),1144.45)</f>
        <v>1144.45</v>
      </c>
      <c r="C734" s="3">
        <f t="shared" ca="1" si="22"/>
        <v>1.9236763592643841E-2</v>
      </c>
      <c r="D734">
        <f t="shared" ca="1" si="21"/>
        <v>1113.3816326530609</v>
      </c>
    </row>
    <row r="735" spans="1:4" x14ac:dyDescent="0.25">
      <c r="A735" s="2">
        <f ca="1">IFERROR(__xludf.DUMMYFUNCTION("""COMPUTED_VALUE"""),45463.6458333333)</f>
        <v>45463.645833333299</v>
      </c>
      <c r="B735" s="1">
        <f ca="1">IFERROR(__xludf.DUMMYFUNCTION("""COMPUTED_VALUE"""),1156.8)</f>
        <v>1156.8</v>
      </c>
      <c r="C735" s="3">
        <f t="shared" ca="1" si="22"/>
        <v>1.0791209751408895E-2</v>
      </c>
      <c r="D735">
        <f t="shared" ca="1" si="21"/>
        <v>1114.7204081632651</v>
      </c>
    </row>
    <row r="736" spans="1:4" x14ac:dyDescent="0.25">
      <c r="A736" s="2">
        <f ca="1">IFERROR(__xludf.DUMMYFUNCTION("""COMPUTED_VALUE"""),45464.6458333333)</f>
        <v>45464.645833333299</v>
      </c>
      <c r="B736" s="1">
        <f ca="1">IFERROR(__xludf.DUMMYFUNCTION("""COMPUTED_VALUE"""),1158.65)</f>
        <v>1158.6500000000001</v>
      </c>
      <c r="C736" s="3">
        <f t="shared" ca="1" si="22"/>
        <v>1.5992392807746684E-3</v>
      </c>
      <c r="D736">
        <f t="shared" ca="1" si="21"/>
        <v>1116.2183673469385</v>
      </c>
    </row>
    <row r="737" spans="1:4" x14ac:dyDescent="0.25">
      <c r="A737" s="2">
        <f ca="1">IFERROR(__xludf.DUMMYFUNCTION("""COMPUTED_VALUE"""),45467.6458333333)</f>
        <v>45467.645833333299</v>
      </c>
      <c r="B737" s="1">
        <f ca="1">IFERROR(__xludf.DUMMYFUNCTION("""COMPUTED_VALUE"""),1170.1)</f>
        <v>1170.0999999999999</v>
      </c>
      <c r="C737" s="3">
        <f t="shared" ca="1" si="22"/>
        <v>9.882190480300191E-3</v>
      </c>
      <c r="D737">
        <f t="shared" ca="1" si="21"/>
        <v>1117.6775510204081</v>
      </c>
    </row>
    <row r="738" spans="1:4" x14ac:dyDescent="0.25">
      <c r="A738" s="2">
        <f ca="1">IFERROR(__xludf.DUMMYFUNCTION("""COMPUTED_VALUE"""),45468.6458333333)</f>
        <v>45468.645833333299</v>
      </c>
      <c r="B738" s="1">
        <f ca="1">IFERROR(__xludf.DUMMYFUNCTION("""COMPUTED_VALUE"""),1197.95)</f>
        <v>1197.95</v>
      </c>
      <c r="C738" s="3">
        <f t="shared" ca="1" si="22"/>
        <v>2.3801384497051652E-2</v>
      </c>
      <c r="D738">
        <f t="shared" ca="1" si="21"/>
        <v>1118.9642857142856</v>
      </c>
    </row>
    <row r="739" spans="1:4" x14ac:dyDescent="0.25">
      <c r="A739" s="2">
        <f ca="1">IFERROR(__xludf.DUMMYFUNCTION("""COMPUTED_VALUE"""),45469.6458333333)</f>
        <v>45469.645833333299</v>
      </c>
      <c r="B739" s="1">
        <f ca="1">IFERROR(__xludf.DUMMYFUNCTION("""COMPUTED_VALUE"""),1218)</f>
        <v>1218</v>
      </c>
      <c r="C739" s="3">
        <f t="shared" ca="1" si="22"/>
        <v>1.6736925581201181E-2</v>
      </c>
      <c r="D739">
        <f t="shared" ca="1" si="21"/>
        <v>1120.7714285714283</v>
      </c>
    </row>
    <row r="740" spans="1:4" x14ac:dyDescent="0.25">
      <c r="A740" s="2">
        <f ca="1">IFERROR(__xludf.DUMMYFUNCTION("""COMPUTED_VALUE"""),45470.6458333333)</f>
        <v>45470.645833333299</v>
      </c>
      <c r="B740" s="1">
        <f ca="1">IFERROR(__xludf.DUMMYFUNCTION("""COMPUTED_VALUE"""),1219.9)</f>
        <v>1219.9000000000001</v>
      </c>
      <c r="C740" s="3">
        <f t="shared" ca="1" si="22"/>
        <v>1.5599343185550829E-3</v>
      </c>
      <c r="D740">
        <f t="shared" ca="1" si="21"/>
        <v>1123.0897959183671</v>
      </c>
    </row>
    <row r="741" spans="1:4" x14ac:dyDescent="0.25">
      <c r="A741" s="2">
        <f ca="1">IFERROR(__xludf.DUMMYFUNCTION("""COMPUTED_VALUE"""),45471.6458333333)</f>
        <v>45471.645833333299</v>
      </c>
      <c r="B741" s="1">
        <f ca="1">IFERROR(__xludf.DUMMYFUNCTION("""COMPUTED_VALUE"""),1199.6)</f>
        <v>1199.5999999999999</v>
      </c>
      <c r="C741" s="3">
        <f t="shared" ca="1" si="22"/>
        <v>-1.6640708254775129E-2</v>
      </c>
      <c r="D741">
        <f t="shared" ca="1" si="21"/>
        <v>1125.9785714285713</v>
      </c>
    </row>
    <row r="742" spans="1:4" x14ac:dyDescent="0.25">
      <c r="A742" s="2">
        <f ca="1">IFERROR(__xludf.DUMMYFUNCTION("""COMPUTED_VALUE"""),45474.6458333333)</f>
        <v>45474.645833333299</v>
      </c>
      <c r="B742" s="1">
        <f ca="1">IFERROR(__xludf.DUMMYFUNCTION("""COMPUTED_VALUE"""),1211.85)</f>
        <v>1211.8499999999999</v>
      </c>
      <c r="C742" s="3">
        <f t="shared" ca="1" si="22"/>
        <v>1.0211737245748583E-2</v>
      </c>
      <c r="D742">
        <f t="shared" ca="1" si="21"/>
        <v>1128.6836734693877</v>
      </c>
    </row>
    <row r="743" spans="1:4" x14ac:dyDescent="0.25">
      <c r="A743" s="2">
        <f ca="1">IFERROR(__xludf.DUMMYFUNCTION("""COMPUTED_VALUE"""),45475.6458333333)</f>
        <v>45475.645833333299</v>
      </c>
      <c r="B743" s="1">
        <f ca="1">IFERROR(__xludf.DUMMYFUNCTION("""COMPUTED_VALUE"""),1190.6)</f>
        <v>1190.5999999999999</v>
      </c>
      <c r="C743" s="3">
        <f t="shared" ca="1" si="22"/>
        <v>-1.7535173495069525E-2</v>
      </c>
      <c r="D743">
        <f t="shared" ca="1" si="21"/>
        <v>1131.8755102040816</v>
      </c>
    </row>
    <row r="744" spans="1:4" x14ac:dyDescent="0.25">
      <c r="A744" s="2">
        <f ca="1">IFERROR(__xludf.DUMMYFUNCTION("""COMPUTED_VALUE"""),45476.6458333333)</f>
        <v>45476.645833333299</v>
      </c>
      <c r="B744" s="1">
        <f ca="1">IFERROR(__xludf.DUMMYFUNCTION("""COMPUTED_VALUE"""),1201.6)</f>
        <v>1201.5999999999999</v>
      </c>
      <c r="C744" s="3">
        <f t="shared" ca="1" si="22"/>
        <v>9.2390391399294475E-3</v>
      </c>
      <c r="D744">
        <f t="shared" ca="1" si="21"/>
        <v>1134.3928571428569</v>
      </c>
    </row>
    <row r="745" spans="1:4" x14ac:dyDescent="0.25">
      <c r="A745" s="2">
        <f ca="1">IFERROR(__xludf.DUMMYFUNCTION("""COMPUTED_VALUE"""),45477.6458333333)</f>
        <v>45477.645833333299</v>
      </c>
      <c r="B745" s="1">
        <f ca="1">IFERROR(__xludf.DUMMYFUNCTION("""COMPUTED_VALUE"""),1233)</f>
        <v>1233</v>
      </c>
      <c r="C745" s="3">
        <f t="shared" ca="1" si="22"/>
        <v>2.6131824234354274E-2</v>
      </c>
      <c r="D745">
        <f t="shared" ca="1" si="21"/>
        <v>1136.7387755102038</v>
      </c>
    </row>
    <row r="746" spans="1:4" x14ac:dyDescent="0.25">
      <c r="A746" s="2">
        <f ca="1">IFERROR(__xludf.DUMMYFUNCTION("""COMPUTED_VALUE"""),45478.6458333333)</f>
        <v>45478.645833333299</v>
      </c>
      <c r="B746" s="1">
        <f ca="1">IFERROR(__xludf.DUMMYFUNCTION("""COMPUTED_VALUE"""),1233.4)</f>
        <v>1233.4000000000001</v>
      </c>
      <c r="C746" s="3">
        <f t="shared" ca="1" si="22"/>
        <v>3.2441200324419381E-4</v>
      </c>
      <c r="D746">
        <f t="shared" ca="1" si="21"/>
        <v>1139.6520408163262</v>
      </c>
    </row>
    <row r="747" spans="1:4" x14ac:dyDescent="0.25">
      <c r="A747" s="2">
        <f ca="1">IFERROR(__xludf.DUMMYFUNCTION("""COMPUTED_VALUE"""),45481.6458333333)</f>
        <v>45481.645833333299</v>
      </c>
      <c r="B747" s="1">
        <f ca="1">IFERROR(__xludf.DUMMYFUNCTION("""COMPUTED_VALUE"""),1235.05)</f>
        <v>1235.05</v>
      </c>
      <c r="C747" s="3">
        <f t="shared" ca="1" si="22"/>
        <v>1.337765526187663E-3</v>
      </c>
      <c r="D747">
        <f t="shared" ca="1" si="21"/>
        <v>1142.4408163265307</v>
      </c>
    </row>
    <row r="748" spans="1:4" x14ac:dyDescent="0.25">
      <c r="A748" s="2">
        <f ca="1">IFERROR(__xludf.DUMMYFUNCTION("""COMPUTED_VALUE"""),45482.6458333333)</f>
        <v>45482.645833333299</v>
      </c>
      <c r="B748" s="1">
        <f ca="1">IFERROR(__xludf.DUMMYFUNCTION("""COMPUTED_VALUE"""),1248.25)</f>
        <v>1248.25</v>
      </c>
      <c r="C748" s="3">
        <f t="shared" ca="1" si="22"/>
        <v>1.0687826403789357E-2</v>
      </c>
      <c r="D748">
        <f t="shared" ca="1" si="21"/>
        <v>1144.9163265306122</v>
      </c>
    </row>
    <row r="749" spans="1:4" x14ac:dyDescent="0.25">
      <c r="A749" s="2">
        <f ca="1">IFERROR(__xludf.DUMMYFUNCTION("""COMPUTED_VALUE"""),45483.6458333333)</f>
        <v>45483.645833333299</v>
      </c>
      <c r="B749" s="1">
        <f ca="1">IFERROR(__xludf.DUMMYFUNCTION("""COMPUTED_VALUE"""),1243.2)</f>
        <v>1243.2</v>
      </c>
      <c r="C749" s="3">
        <f t="shared" ca="1" si="22"/>
        <v>-4.0456639295012656E-3</v>
      </c>
      <c r="D749">
        <f t="shared" ca="1" si="21"/>
        <v>1147.7806122448981</v>
      </c>
    </row>
    <row r="750" spans="1:4" x14ac:dyDescent="0.25">
      <c r="A750" s="2">
        <f ca="1">IFERROR(__xludf.DUMMYFUNCTION("""COMPUTED_VALUE"""),45484.6458333333)</f>
        <v>45484.645833333299</v>
      </c>
      <c r="B750" s="1">
        <f ca="1">IFERROR(__xludf.DUMMYFUNCTION("""COMPUTED_VALUE"""),1238.45)</f>
        <v>1238.45</v>
      </c>
      <c r="C750" s="3">
        <f t="shared" ca="1" si="22"/>
        <v>-3.8207850707850707E-3</v>
      </c>
      <c r="D750">
        <f t="shared" ca="1" si="21"/>
        <v>1149.4755102040815</v>
      </c>
    </row>
    <row r="751" spans="1:4" x14ac:dyDescent="0.25">
      <c r="A751" s="2">
        <f ca="1">IFERROR(__xludf.DUMMYFUNCTION("""COMPUTED_VALUE"""),45485.6458333333)</f>
        <v>45485.645833333299</v>
      </c>
      <c r="B751" s="1">
        <f ca="1">IFERROR(__xludf.DUMMYFUNCTION("""COMPUTED_VALUE"""),1232.9)</f>
        <v>1232.9000000000001</v>
      </c>
      <c r="C751" s="3">
        <f t="shared" ca="1" si="22"/>
        <v>-4.4814082118777134E-3</v>
      </c>
      <c r="D751">
        <f t="shared" ca="1" si="21"/>
        <v>1151.2724489795919</v>
      </c>
    </row>
    <row r="752" spans="1:4" x14ac:dyDescent="0.25">
      <c r="A752" s="2">
        <f ca="1">IFERROR(__xludf.DUMMYFUNCTION("""COMPUTED_VALUE"""),45488.6458333333)</f>
        <v>45488.645833333299</v>
      </c>
      <c r="B752" s="1">
        <f ca="1">IFERROR(__xludf.DUMMYFUNCTION("""COMPUTED_VALUE"""),1229.95)</f>
        <v>1229.95</v>
      </c>
      <c r="C752" s="3">
        <f t="shared" ca="1" si="22"/>
        <v>-2.3927325817179376E-3</v>
      </c>
      <c r="D752">
        <f t="shared" ca="1" si="21"/>
        <v>1153.1795918367345</v>
      </c>
    </row>
    <row r="753" spans="1:4" x14ac:dyDescent="0.25">
      <c r="A753" s="2">
        <f ca="1">IFERROR(__xludf.DUMMYFUNCTION("""COMPUTED_VALUE"""),45489.6458333333)</f>
        <v>45489.645833333299</v>
      </c>
      <c r="B753" s="1">
        <f ca="1">IFERROR(__xludf.DUMMYFUNCTION("""COMPUTED_VALUE"""),1239.9)</f>
        <v>1239.9000000000001</v>
      </c>
      <c r="C753" s="3">
        <f t="shared" ca="1" si="22"/>
        <v>8.089759746331188E-3</v>
      </c>
      <c r="D753">
        <f t="shared" ca="1" si="21"/>
        <v>1154.9734693877551</v>
      </c>
    </row>
    <row r="754" spans="1:4" x14ac:dyDescent="0.25">
      <c r="A754" s="2">
        <f ca="1">IFERROR(__xludf.DUMMYFUNCTION("""COMPUTED_VALUE"""),45491.6458333333)</f>
        <v>45491.645833333299</v>
      </c>
      <c r="B754" s="1">
        <f ca="1">IFERROR(__xludf.DUMMYFUNCTION("""COMPUTED_VALUE"""),1250.3)</f>
        <v>1250.3</v>
      </c>
      <c r="C754" s="3">
        <f t="shared" ca="1" si="22"/>
        <v>8.3877732075166248E-3</v>
      </c>
      <c r="D754">
        <f t="shared" ca="1" si="21"/>
        <v>1156.8836734693878</v>
      </c>
    </row>
    <row r="755" spans="1:4" x14ac:dyDescent="0.25">
      <c r="A755" s="2">
        <f ca="1">IFERROR(__xludf.DUMMYFUNCTION("""COMPUTED_VALUE"""),45492.6458333333)</f>
        <v>45492.645833333299</v>
      </c>
      <c r="B755" s="1">
        <f ca="1">IFERROR(__xludf.DUMMYFUNCTION("""COMPUTED_VALUE"""),1248.65)</f>
        <v>1248.6500000000001</v>
      </c>
      <c r="C755" s="3">
        <f t="shared" ca="1" si="22"/>
        <v>-1.3196832760136476E-3</v>
      </c>
      <c r="D755">
        <f t="shared" ca="1" si="21"/>
        <v>1159.3000000000002</v>
      </c>
    </row>
    <row r="756" spans="1:4" x14ac:dyDescent="0.25">
      <c r="A756" s="2">
        <f ca="1">IFERROR(__xludf.DUMMYFUNCTION("""COMPUTED_VALUE"""),45495.6458333333)</f>
        <v>45495.645833333299</v>
      </c>
      <c r="B756" s="1">
        <f ca="1">IFERROR(__xludf.DUMMYFUNCTION("""COMPUTED_VALUE"""),1241.15)</f>
        <v>1241.1500000000001</v>
      </c>
      <c r="C756" s="3">
        <f t="shared" ca="1" si="22"/>
        <v>-6.0064870059664431E-3</v>
      </c>
      <c r="D756">
        <f t="shared" ref="D756:D819" ca="1" si="23">AVERAGE(B707:B755)</f>
        <v>1161.8642857142856</v>
      </c>
    </row>
    <row r="757" spans="1:4" x14ac:dyDescent="0.25">
      <c r="A757" s="2">
        <f ca="1">IFERROR(__xludf.DUMMYFUNCTION("""COMPUTED_VALUE"""),45496.6458333333)</f>
        <v>45496.645833333299</v>
      </c>
      <c r="B757" s="1">
        <f ca="1">IFERROR(__xludf.DUMMYFUNCTION("""COMPUTED_VALUE"""),1226.75)</f>
        <v>1226.75</v>
      </c>
      <c r="C757" s="3">
        <f t="shared" ca="1" si="22"/>
        <v>-1.1602143173669654E-2</v>
      </c>
      <c r="D757">
        <f t="shared" ca="1" si="23"/>
        <v>1164.4244897959184</v>
      </c>
    </row>
    <row r="758" spans="1:4" x14ac:dyDescent="0.25">
      <c r="A758" s="2">
        <f ca="1">IFERROR(__xludf.DUMMYFUNCTION("""COMPUTED_VALUE"""),45497.6458333333)</f>
        <v>45497.645833333299</v>
      </c>
      <c r="B758" s="1">
        <f ca="1">IFERROR(__xludf.DUMMYFUNCTION("""COMPUTED_VALUE"""),1223)</f>
        <v>1223</v>
      </c>
      <c r="C758" s="3">
        <f t="shared" ca="1" si="22"/>
        <v>-3.0568575504381496E-3</v>
      </c>
      <c r="D758">
        <f t="shared" ca="1" si="23"/>
        <v>1166.6632653061224</v>
      </c>
    </row>
    <row r="759" spans="1:4" x14ac:dyDescent="0.25">
      <c r="A759" s="2">
        <f ca="1">IFERROR(__xludf.DUMMYFUNCTION("""COMPUTED_VALUE"""),45498.6458333333)</f>
        <v>45498.645833333299</v>
      </c>
      <c r="B759" s="1">
        <f ca="1">IFERROR(__xludf.DUMMYFUNCTION("""COMPUTED_VALUE"""),1197.9)</f>
        <v>1197.9000000000001</v>
      </c>
      <c r="C759" s="3">
        <f t="shared" ca="1" si="22"/>
        <v>-2.0523303352412026E-2</v>
      </c>
      <c r="D759">
        <f t="shared" ca="1" si="23"/>
        <v>1168.6020408163265</v>
      </c>
    </row>
    <row r="760" spans="1:4" x14ac:dyDescent="0.25">
      <c r="A760" s="2">
        <f ca="1">IFERROR(__xludf.DUMMYFUNCTION("""COMPUTED_VALUE"""),45499.6458333333)</f>
        <v>45499.645833333299</v>
      </c>
      <c r="B760" s="1">
        <f ca="1">IFERROR(__xludf.DUMMYFUNCTION("""COMPUTED_VALUE"""),1207.2)</f>
        <v>1207.2</v>
      </c>
      <c r="C760" s="3">
        <f t="shared" ca="1" si="22"/>
        <v>7.7635862759829312E-3</v>
      </c>
      <c r="D760">
        <f t="shared" ca="1" si="23"/>
        <v>1170.1806122448979</v>
      </c>
    </row>
    <row r="761" spans="1:4" x14ac:dyDescent="0.25">
      <c r="A761" s="2">
        <f ca="1">IFERROR(__xludf.DUMMYFUNCTION("""COMPUTED_VALUE"""),45502.6458333333)</f>
        <v>45502.645833333299</v>
      </c>
      <c r="B761" s="1">
        <f ca="1">IFERROR(__xludf.DUMMYFUNCTION("""COMPUTED_VALUE"""),1212.7)</f>
        <v>1212.7</v>
      </c>
      <c r="C761" s="3">
        <f t="shared" ca="1" si="22"/>
        <v>4.555997349237906E-3</v>
      </c>
      <c r="D761">
        <f t="shared" ca="1" si="23"/>
        <v>1171.8714285714286</v>
      </c>
    </row>
    <row r="762" spans="1:4" x14ac:dyDescent="0.25">
      <c r="A762" s="2">
        <f ca="1">IFERROR(__xludf.DUMMYFUNCTION("""COMPUTED_VALUE"""),45503.6458333333)</f>
        <v>45503.645833333299</v>
      </c>
      <c r="B762" s="1">
        <f ca="1">IFERROR(__xludf.DUMMYFUNCTION("""COMPUTED_VALUE"""),1209.45)</f>
        <v>1209.45</v>
      </c>
      <c r="C762" s="3">
        <f t="shared" ca="1" si="22"/>
        <v>-2.6799703141749814E-3</v>
      </c>
      <c r="D762">
        <f t="shared" ca="1" si="23"/>
        <v>1173.5377551020408</v>
      </c>
    </row>
    <row r="763" spans="1:4" x14ac:dyDescent="0.25">
      <c r="A763" s="2">
        <f ca="1">IFERROR(__xludf.DUMMYFUNCTION("""COMPUTED_VALUE"""),45504.6458333333)</f>
        <v>45504.645833333299</v>
      </c>
      <c r="B763" s="1">
        <f ca="1">IFERROR(__xludf.DUMMYFUNCTION("""COMPUTED_VALUE"""),1214.9)</f>
        <v>1214.9000000000001</v>
      </c>
      <c r="C763" s="3">
        <f t="shared" ca="1" si="22"/>
        <v>4.5061804952664809E-3</v>
      </c>
      <c r="D763">
        <f t="shared" ca="1" si="23"/>
        <v>1175.1489795918367</v>
      </c>
    </row>
    <row r="764" spans="1:4" x14ac:dyDescent="0.25">
      <c r="A764" s="2">
        <f ca="1">IFERROR(__xludf.DUMMYFUNCTION("""COMPUTED_VALUE"""),45505.6458333333)</f>
        <v>45505.645833333299</v>
      </c>
      <c r="B764" s="1">
        <f ca="1">IFERROR(__xludf.DUMMYFUNCTION("""COMPUTED_VALUE"""),1210.1)</f>
        <v>1210.0999999999999</v>
      </c>
      <c r="C764" s="3">
        <f t="shared" ca="1" si="22"/>
        <v>-3.9509424644005118E-3</v>
      </c>
      <c r="D764">
        <f t="shared" ca="1" si="23"/>
        <v>1177.0663265306121</v>
      </c>
    </row>
    <row r="765" spans="1:4" x14ac:dyDescent="0.25">
      <c r="A765" s="2">
        <f ca="1">IFERROR(__xludf.DUMMYFUNCTION("""COMPUTED_VALUE"""),45506.6458333333)</f>
        <v>45506.645833333299</v>
      </c>
      <c r="B765" s="1">
        <f ca="1">IFERROR(__xludf.DUMMYFUNCTION("""COMPUTED_VALUE"""),1196.55)</f>
        <v>1196.55</v>
      </c>
      <c r="C765" s="3">
        <f t="shared" ca="1" si="22"/>
        <v>-1.1197421700685857E-2</v>
      </c>
      <c r="D765">
        <f t="shared" ca="1" si="23"/>
        <v>1179.0867346938774</v>
      </c>
    </row>
    <row r="766" spans="1:4" x14ac:dyDescent="0.25">
      <c r="A766" s="2">
        <f ca="1">IFERROR(__xludf.DUMMYFUNCTION("""COMPUTED_VALUE"""),45509.6458333333)</f>
        <v>45509.645833333299</v>
      </c>
      <c r="B766" s="1">
        <f ca="1">IFERROR(__xludf.DUMMYFUNCTION("""COMPUTED_VALUE"""),1172.6)</f>
        <v>1172.5999999999999</v>
      </c>
      <c r="C766" s="3">
        <f t="shared" ca="1" si="22"/>
        <v>-2.0015878985416444E-2</v>
      </c>
      <c r="D766">
        <f t="shared" ca="1" si="23"/>
        <v>1180.3530612244897</v>
      </c>
    </row>
    <row r="767" spans="1:4" x14ac:dyDescent="0.25">
      <c r="A767" s="2">
        <f ca="1">IFERROR(__xludf.DUMMYFUNCTION("""COMPUTED_VALUE"""),45510.6458333333)</f>
        <v>45510.645833333299</v>
      </c>
      <c r="B767" s="1">
        <f ca="1">IFERROR(__xludf.DUMMYFUNCTION("""COMPUTED_VALUE"""),1166.85)</f>
        <v>1166.8499999999999</v>
      </c>
      <c r="C767" s="3">
        <f t="shared" ca="1" si="22"/>
        <v>-4.9036329524134404E-3</v>
      </c>
      <c r="D767">
        <f t="shared" ca="1" si="23"/>
        <v>1181.1826530612243</v>
      </c>
    </row>
    <row r="768" spans="1:4" x14ac:dyDescent="0.25">
      <c r="A768" s="2">
        <f ca="1">IFERROR(__xludf.DUMMYFUNCTION("""COMPUTED_VALUE"""),45511.6458333333)</f>
        <v>45511.645833333299</v>
      </c>
      <c r="B768" s="1">
        <f ca="1">IFERROR(__xludf.DUMMYFUNCTION("""COMPUTED_VALUE"""),1172.45)</f>
        <v>1172.45</v>
      </c>
      <c r="C768" s="3">
        <f t="shared" ca="1" si="22"/>
        <v>4.7992458327978209E-3</v>
      </c>
      <c r="D768">
        <f t="shared" ca="1" si="23"/>
        <v>1181.9387755102039</v>
      </c>
    </row>
    <row r="769" spans="1:4" x14ac:dyDescent="0.25">
      <c r="A769" s="2">
        <f ca="1">IFERROR(__xludf.DUMMYFUNCTION("""COMPUTED_VALUE"""),45512.6458333333)</f>
        <v>45512.645833333299</v>
      </c>
      <c r="B769" s="1">
        <f ca="1">IFERROR(__xludf.DUMMYFUNCTION("""COMPUTED_VALUE"""),1164.6)</f>
        <v>1164.5999999999999</v>
      </c>
      <c r="C769" s="3">
        <f t="shared" ca="1" si="22"/>
        <v>-6.6953814661607196E-3</v>
      </c>
      <c r="D769">
        <f t="shared" ca="1" si="23"/>
        <v>1182.8673469387752</v>
      </c>
    </row>
    <row r="770" spans="1:4" x14ac:dyDescent="0.25">
      <c r="A770" s="2">
        <f ca="1">IFERROR(__xludf.DUMMYFUNCTION("""COMPUTED_VALUE"""),45513.6458333333)</f>
        <v>45513.645833333299</v>
      </c>
      <c r="B770" s="1">
        <f ca="1">IFERROR(__xludf.DUMMYFUNCTION("""COMPUTED_VALUE"""),1171.6)</f>
        <v>1171.5999999999999</v>
      </c>
      <c r="C770" s="3">
        <f t="shared" ca="1" si="22"/>
        <v>6.0106474325948827E-3</v>
      </c>
      <c r="D770">
        <f t="shared" ca="1" si="23"/>
        <v>1184.1448979591835</v>
      </c>
    </row>
    <row r="771" spans="1:4" x14ac:dyDescent="0.25">
      <c r="A771" s="2">
        <f ca="1">IFERROR(__xludf.DUMMYFUNCTION("""COMPUTED_VALUE"""),45516.6458333333)</f>
        <v>45516.645833333299</v>
      </c>
      <c r="B771" s="1">
        <f ca="1">IFERROR(__xludf.DUMMYFUNCTION("""COMPUTED_VALUE"""),1172.8)</f>
        <v>1172.8</v>
      </c>
      <c r="C771" s="3">
        <f t="shared" ca="1" si="22"/>
        <v>1.0242403550700285E-3</v>
      </c>
      <c r="D771">
        <f t="shared" ca="1" si="23"/>
        <v>1185.3265306122446</v>
      </c>
    </row>
    <row r="772" spans="1:4" x14ac:dyDescent="0.25">
      <c r="A772" s="2">
        <f ca="1">IFERROR(__xludf.DUMMYFUNCTION("""COMPUTED_VALUE"""),45517.6458333333)</f>
        <v>45517.645833333299</v>
      </c>
      <c r="B772" s="1">
        <f ca="1">IFERROR(__xludf.DUMMYFUNCTION("""COMPUTED_VALUE"""),1168.35)</f>
        <v>1168.3499999999999</v>
      </c>
      <c r="C772" s="3">
        <f t="shared" ref="C772:C835" ca="1" si="24">(B772-B771)/B771</f>
        <v>-3.7943383356071332E-3</v>
      </c>
      <c r="D772">
        <f t="shared" ca="1" si="23"/>
        <v>1186.3826530612243</v>
      </c>
    </row>
    <row r="773" spans="1:4" x14ac:dyDescent="0.25">
      <c r="A773" s="2">
        <f ca="1">IFERROR(__xludf.DUMMYFUNCTION("""COMPUTED_VALUE"""),45518.6458333333)</f>
        <v>45518.645833333299</v>
      </c>
      <c r="B773" s="1">
        <f ca="1">IFERROR(__xludf.DUMMYFUNCTION("""COMPUTED_VALUE"""),1161.65)</f>
        <v>1161.6500000000001</v>
      </c>
      <c r="C773" s="3">
        <f t="shared" ca="1" si="24"/>
        <v>-5.7345829588734696E-3</v>
      </c>
      <c r="D773">
        <f t="shared" ca="1" si="23"/>
        <v>1186.5530612244895</v>
      </c>
    </row>
    <row r="774" spans="1:4" x14ac:dyDescent="0.25">
      <c r="A774" s="2">
        <f ca="1">IFERROR(__xludf.DUMMYFUNCTION("""COMPUTED_VALUE"""),45520.6458333333)</f>
        <v>45520.645833333299</v>
      </c>
      <c r="B774" s="1">
        <f ca="1">IFERROR(__xludf.DUMMYFUNCTION("""COMPUTED_VALUE"""),1187.25)</f>
        <v>1187.25</v>
      </c>
      <c r="C774" s="3">
        <f t="shared" ca="1" si="24"/>
        <v>2.2037618904144886E-2</v>
      </c>
      <c r="D774">
        <f t="shared" ca="1" si="23"/>
        <v>1188.3938775510203</v>
      </c>
    </row>
    <row r="775" spans="1:4" x14ac:dyDescent="0.25">
      <c r="A775" s="2">
        <f ca="1">IFERROR(__xludf.DUMMYFUNCTION("""COMPUTED_VALUE"""),45523.6458333333)</f>
        <v>45523.645833333299</v>
      </c>
      <c r="B775" s="1">
        <f ca="1">IFERROR(__xludf.DUMMYFUNCTION("""COMPUTED_VALUE"""),1175.9)</f>
        <v>1175.9000000000001</v>
      </c>
      <c r="C775" s="3">
        <f t="shared" ca="1" si="24"/>
        <v>-9.5599073489154845E-3</v>
      </c>
      <c r="D775">
        <f t="shared" ca="1" si="23"/>
        <v>1189.9979591836734</v>
      </c>
    </row>
    <row r="776" spans="1:4" x14ac:dyDescent="0.25">
      <c r="A776" s="2">
        <f ca="1">IFERROR(__xludf.DUMMYFUNCTION("""COMPUTED_VALUE"""),45524.6458333333)</f>
        <v>45524.645833333299</v>
      </c>
      <c r="B776" s="1">
        <f ca="1">IFERROR(__xludf.DUMMYFUNCTION("""COMPUTED_VALUE"""),1179.45)</f>
        <v>1179.45</v>
      </c>
      <c r="C776" s="3">
        <f t="shared" ca="1" si="24"/>
        <v>3.0189641976358147E-3</v>
      </c>
      <c r="D776">
        <f t="shared" ca="1" si="23"/>
        <v>1191.334693877551</v>
      </c>
    </row>
    <row r="777" spans="1:4" x14ac:dyDescent="0.25">
      <c r="A777" s="2">
        <f ca="1">IFERROR(__xludf.DUMMYFUNCTION("""COMPUTED_VALUE"""),45525.6458333333)</f>
        <v>45525.645833333299</v>
      </c>
      <c r="B777" s="1">
        <f ca="1">IFERROR(__xludf.DUMMYFUNCTION("""COMPUTED_VALUE"""),1174.85)</f>
        <v>1174.8499999999999</v>
      </c>
      <c r="C777" s="3">
        <f t="shared" ca="1" si="24"/>
        <v>-3.9001229386579645E-3</v>
      </c>
      <c r="D777">
        <f t="shared" ca="1" si="23"/>
        <v>1192.5132653061223</v>
      </c>
    </row>
    <row r="778" spans="1:4" x14ac:dyDescent="0.25">
      <c r="A778" s="2">
        <f ca="1">IFERROR(__xludf.DUMMYFUNCTION("""COMPUTED_VALUE"""),45526.6458333333)</f>
        <v>45526.645833333299</v>
      </c>
      <c r="B778" s="1">
        <f ca="1">IFERROR(__xludf.DUMMYFUNCTION("""COMPUTED_VALUE"""),1191.1)</f>
        <v>1191.0999999999999</v>
      </c>
      <c r="C778" s="3">
        <f t="shared" ca="1" si="24"/>
        <v>1.3831552964208198E-2</v>
      </c>
      <c r="D778">
        <f t="shared" ca="1" si="23"/>
        <v>1193.5551020408161</v>
      </c>
    </row>
    <row r="779" spans="1:4" x14ac:dyDescent="0.25">
      <c r="A779" s="2">
        <f ca="1">IFERROR(__xludf.DUMMYFUNCTION("""COMPUTED_VALUE"""),45527.6458333333)</f>
        <v>45527.645833333299</v>
      </c>
      <c r="B779" s="1">
        <f ca="1">IFERROR(__xludf.DUMMYFUNCTION("""COMPUTED_VALUE"""),1203.5)</f>
        <v>1203.5</v>
      </c>
      <c r="C779" s="3">
        <f t="shared" ca="1" si="24"/>
        <v>1.0410544874485847E-2</v>
      </c>
      <c r="D779">
        <f t="shared" ca="1" si="23"/>
        <v>1195.042857142857</v>
      </c>
    </row>
    <row r="780" spans="1:4" x14ac:dyDescent="0.25">
      <c r="A780" s="2">
        <f ca="1">IFERROR(__xludf.DUMMYFUNCTION("""COMPUTED_VALUE"""),45530.6458333333)</f>
        <v>45530.645833333299</v>
      </c>
      <c r="B780" s="1">
        <f ca="1">IFERROR(__xludf.DUMMYFUNCTION("""COMPUTED_VALUE"""),1213.3)</f>
        <v>1213.3</v>
      </c>
      <c r="C780" s="3">
        <f t="shared" ca="1" si="24"/>
        <v>8.1429164935604113E-3</v>
      </c>
      <c r="D780">
        <f t="shared" ca="1" si="23"/>
        <v>1196.7561224489796</v>
      </c>
    </row>
    <row r="781" spans="1:4" x14ac:dyDescent="0.25">
      <c r="A781" s="2">
        <f ca="1">IFERROR(__xludf.DUMMYFUNCTION("""COMPUTED_VALUE"""),45531.6458333333)</f>
        <v>45531.645833333299</v>
      </c>
      <c r="B781" s="1">
        <f ca="1">IFERROR(__xludf.DUMMYFUNCTION("""COMPUTED_VALUE"""),1226.35)</f>
        <v>1226.3499999999999</v>
      </c>
      <c r="C781" s="3">
        <f t="shared" ca="1" si="24"/>
        <v>1.0755789994230573E-2</v>
      </c>
      <c r="D781">
        <f t="shared" ca="1" si="23"/>
        <v>1198.9183673469386</v>
      </c>
    </row>
    <row r="782" spans="1:4" x14ac:dyDescent="0.25">
      <c r="A782" s="2">
        <f ca="1">IFERROR(__xludf.DUMMYFUNCTION("""COMPUTED_VALUE"""),45532.6458333333)</f>
        <v>45532.645833333299</v>
      </c>
      <c r="B782" s="1">
        <f ca="1">IFERROR(__xludf.DUMMYFUNCTION("""COMPUTED_VALUE"""),1223.85)</f>
        <v>1223.8499999999999</v>
      </c>
      <c r="C782" s="3">
        <f t="shared" ca="1" si="24"/>
        <v>-2.0385697394707876E-3</v>
      </c>
      <c r="D782">
        <f t="shared" ca="1" si="23"/>
        <v>1201.3816326530612</v>
      </c>
    </row>
    <row r="783" spans="1:4" x14ac:dyDescent="0.25">
      <c r="A783" s="2">
        <f ca="1">IFERROR(__xludf.DUMMYFUNCTION("""COMPUTED_VALUE"""),45533.6458333333)</f>
        <v>45533.645833333299</v>
      </c>
      <c r="B783" s="1">
        <f ca="1">IFERROR(__xludf.DUMMYFUNCTION("""COMPUTED_VALUE"""),1221.9)</f>
        <v>1221.9000000000001</v>
      </c>
      <c r="C783" s="3">
        <f t="shared" ca="1" si="24"/>
        <v>-1.5933325162395867E-3</v>
      </c>
      <c r="D783">
        <f t="shared" ca="1" si="23"/>
        <v>1203.4428571428571</v>
      </c>
    </row>
    <row r="784" spans="1:4" x14ac:dyDescent="0.25">
      <c r="A784" s="2">
        <f ca="1">IFERROR(__xludf.DUMMYFUNCTION("""COMPUTED_VALUE"""),45534.6458333333)</f>
        <v>45534.645833333299</v>
      </c>
      <c r="B784" s="1">
        <f ca="1">IFERROR(__xludf.DUMMYFUNCTION("""COMPUTED_VALUE"""),1229.2)</f>
        <v>1229.2</v>
      </c>
      <c r="C784" s="3">
        <f t="shared" ca="1" si="24"/>
        <v>5.9743023160651072E-3</v>
      </c>
      <c r="D784">
        <f t="shared" ca="1" si="23"/>
        <v>1205.0234693877551</v>
      </c>
    </row>
    <row r="785" spans="1:4" x14ac:dyDescent="0.25">
      <c r="A785" s="2">
        <f ca="1">IFERROR(__xludf.DUMMYFUNCTION("""COMPUTED_VALUE"""),45537.6458333333)</f>
        <v>45537.645833333299</v>
      </c>
      <c r="B785" s="1">
        <f ca="1">IFERROR(__xludf.DUMMYFUNCTION("""COMPUTED_VALUE"""),1229.95)</f>
        <v>1229.95</v>
      </c>
      <c r="C785" s="3">
        <f t="shared" ca="1" si="24"/>
        <v>6.1015294500488119E-4</v>
      </c>
      <c r="D785">
        <f t="shared" ca="1" si="23"/>
        <v>1206.5010204081634</v>
      </c>
    </row>
    <row r="786" spans="1:4" x14ac:dyDescent="0.25">
      <c r="A786" s="2">
        <f ca="1">IFERROR(__xludf.DUMMYFUNCTION("""COMPUTED_VALUE"""),45538.6458333333)</f>
        <v>45538.645833333299</v>
      </c>
      <c r="B786" s="1">
        <f ca="1">IFERROR(__xludf.DUMMYFUNCTION("""COMPUTED_VALUE"""),1247.7)</f>
        <v>1247.7</v>
      </c>
      <c r="C786" s="3">
        <f t="shared" ca="1" si="24"/>
        <v>1.4431480954510346E-2</v>
      </c>
      <c r="D786">
        <f t="shared" ca="1" si="23"/>
        <v>1207.9561224489796</v>
      </c>
    </row>
    <row r="787" spans="1:4" x14ac:dyDescent="0.25">
      <c r="A787" s="2">
        <f ca="1">IFERROR(__xludf.DUMMYFUNCTION("""COMPUTED_VALUE"""),45539.6458333333)</f>
        <v>45539.645833333299</v>
      </c>
      <c r="B787" s="1">
        <f ca="1">IFERROR(__xludf.DUMMYFUNCTION("""COMPUTED_VALUE"""),1236.35)</f>
        <v>1236.3499999999999</v>
      </c>
      <c r="C787" s="3">
        <f t="shared" ca="1" si="24"/>
        <v>-9.0967379979162745E-3</v>
      </c>
      <c r="D787">
        <f t="shared" ca="1" si="23"/>
        <v>1209.5397959183672</v>
      </c>
    </row>
    <row r="788" spans="1:4" x14ac:dyDescent="0.25">
      <c r="A788" s="2">
        <f ca="1">IFERROR(__xludf.DUMMYFUNCTION("""COMPUTED_VALUE"""),45540.6458333333)</f>
        <v>45540.645833333299</v>
      </c>
      <c r="B788" s="1">
        <f ca="1">IFERROR(__xludf.DUMMYFUNCTION("""COMPUTED_VALUE"""),1235.95)</f>
        <v>1235.95</v>
      </c>
      <c r="C788" s="3">
        <f t="shared" ca="1" si="24"/>
        <v>-3.23532980143053E-4</v>
      </c>
      <c r="D788">
        <f t="shared" ca="1" si="23"/>
        <v>1210.3234693877548</v>
      </c>
    </row>
    <row r="789" spans="1:4" x14ac:dyDescent="0.25">
      <c r="A789" s="2">
        <f ca="1">IFERROR(__xludf.DUMMYFUNCTION("""COMPUTED_VALUE"""),45541.6458333333)</f>
        <v>45541.645833333299</v>
      </c>
      <c r="B789" s="1">
        <f ca="1">IFERROR(__xludf.DUMMYFUNCTION("""COMPUTED_VALUE"""),1208.15)</f>
        <v>1208.1500000000001</v>
      </c>
      <c r="C789" s="3">
        <f t="shared" ca="1" si="24"/>
        <v>-2.2492819288806143E-2</v>
      </c>
      <c r="D789">
        <f t="shared" ca="1" si="23"/>
        <v>1210.6897959183671</v>
      </c>
    </row>
    <row r="790" spans="1:4" x14ac:dyDescent="0.25">
      <c r="A790" s="2">
        <f ca="1">IFERROR(__xludf.DUMMYFUNCTION("""COMPUTED_VALUE"""),45544.6458333333)</f>
        <v>45544.645833333299</v>
      </c>
      <c r="B790" s="1">
        <f ca="1">IFERROR(__xludf.DUMMYFUNCTION("""COMPUTED_VALUE"""),1235)</f>
        <v>1235</v>
      </c>
      <c r="C790" s="3">
        <f t="shared" ca="1" si="24"/>
        <v>2.2224061581757156E-2</v>
      </c>
      <c r="D790">
        <f t="shared" ca="1" si="23"/>
        <v>1210.4499999999998</v>
      </c>
    </row>
    <row r="791" spans="1:4" x14ac:dyDescent="0.25">
      <c r="A791" s="2">
        <f ca="1">IFERROR(__xludf.DUMMYFUNCTION("""COMPUTED_VALUE"""),45545.6458333333)</f>
        <v>45545.645833333299</v>
      </c>
      <c r="B791" s="1">
        <f ca="1">IFERROR(__xludf.DUMMYFUNCTION("""COMPUTED_VALUE"""),1237.3)</f>
        <v>1237.3</v>
      </c>
      <c r="C791" s="3">
        <f t="shared" ca="1" si="24"/>
        <v>1.8623481781376149E-3</v>
      </c>
      <c r="D791">
        <f t="shared" ca="1" si="23"/>
        <v>1211.1724489795915</v>
      </c>
    </row>
    <row r="792" spans="1:4" x14ac:dyDescent="0.25">
      <c r="A792" s="2">
        <f ca="1">IFERROR(__xludf.DUMMYFUNCTION("""COMPUTED_VALUE"""),45546.6458333333)</f>
        <v>45546.645833333299</v>
      </c>
      <c r="B792" s="1">
        <f ca="1">IFERROR(__xludf.DUMMYFUNCTION("""COMPUTED_VALUE"""),1236.35)</f>
        <v>1236.3499999999999</v>
      </c>
      <c r="C792" s="3">
        <f t="shared" ca="1" si="24"/>
        <v>-7.6780085670415056E-4</v>
      </c>
      <c r="D792">
        <f t="shared" ca="1" si="23"/>
        <v>1211.6918367346937</v>
      </c>
    </row>
    <row r="793" spans="1:4" x14ac:dyDescent="0.25">
      <c r="A793" s="2">
        <f ca="1">IFERROR(__xludf.DUMMYFUNCTION("""COMPUTED_VALUE"""),45547.6458333333)</f>
        <v>45547.645833333299</v>
      </c>
      <c r="B793" s="1">
        <f ca="1">IFERROR(__xludf.DUMMYFUNCTION("""COMPUTED_VALUE"""),1252.15)</f>
        <v>1252.1500000000001</v>
      </c>
      <c r="C793" s="3">
        <f t="shared" ca="1" si="24"/>
        <v>1.2779552715655101E-2</v>
      </c>
      <c r="D793">
        <f t="shared" ca="1" si="23"/>
        <v>1212.6255102040814</v>
      </c>
    </row>
    <row r="794" spans="1:4" x14ac:dyDescent="0.25">
      <c r="A794" s="2">
        <f ca="1">IFERROR(__xludf.DUMMYFUNCTION("""COMPUTED_VALUE"""),45548.6458333333)</f>
        <v>45548.645833333299</v>
      </c>
      <c r="B794" s="1">
        <f ca="1">IFERROR(__xludf.DUMMYFUNCTION("""COMPUTED_VALUE"""),1250.35)</f>
        <v>1250.3499999999999</v>
      </c>
      <c r="C794" s="3">
        <f t="shared" ca="1" si="24"/>
        <v>-1.4375274527813615E-3</v>
      </c>
      <c r="D794">
        <f t="shared" ca="1" si="23"/>
        <v>1213.6571428571424</v>
      </c>
    </row>
    <row r="795" spans="1:4" x14ac:dyDescent="0.25">
      <c r="A795" s="2">
        <f ca="1">IFERROR(__xludf.DUMMYFUNCTION("""COMPUTED_VALUE"""),45551.6458333333)</f>
        <v>45551.645833333299</v>
      </c>
      <c r="B795" s="1">
        <f ca="1">IFERROR(__xludf.DUMMYFUNCTION("""COMPUTED_VALUE"""),1262.85)</f>
        <v>1262.8499999999999</v>
      </c>
      <c r="C795" s="3">
        <f t="shared" ca="1" si="24"/>
        <v>9.9972007837805417E-3</v>
      </c>
      <c r="D795">
        <f t="shared" ca="1" si="23"/>
        <v>1214.0112244897955</v>
      </c>
    </row>
    <row r="796" spans="1:4" x14ac:dyDescent="0.25">
      <c r="A796" s="2">
        <f ca="1">IFERROR(__xludf.DUMMYFUNCTION("""COMPUTED_VALUE"""),45552.6458333333)</f>
        <v>45552.645833333299</v>
      </c>
      <c r="B796" s="1">
        <f ca="1">IFERROR(__xludf.DUMMYFUNCTION("""COMPUTED_VALUE"""),1268.1)</f>
        <v>1268.0999999999999</v>
      </c>
      <c r="C796" s="3">
        <f t="shared" ca="1" si="24"/>
        <v>4.1572633329374038E-3</v>
      </c>
      <c r="D796">
        <f t="shared" ca="1" si="23"/>
        <v>1214.6122448979588</v>
      </c>
    </row>
    <row r="797" spans="1:4" x14ac:dyDescent="0.25">
      <c r="A797" s="2">
        <f ca="1">IFERROR(__xludf.DUMMYFUNCTION("""COMPUTED_VALUE"""),45553.6458333333)</f>
        <v>45553.645833333299</v>
      </c>
      <c r="B797" s="1">
        <f ca="1">IFERROR(__xludf.DUMMYFUNCTION("""COMPUTED_VALUE"""),1288.35)</f>
        <v>1288.3499999999999</v>
      </c>
      <c r="C797" s="3">
        <f t="shared" ca="1" si="24"/>
        <v>1.596877217885025E-2</v>
      </c>
      <c r="D797">
        <f t="shared" ca="1" si="23"/>
        <v>1215.286734693877</v>
      </c>
    </row>
    <row r="798" spans="1:4" x14ac:dyDescent="0.25">
      <c r="A798" s="2">
        <f ca="1">IFERROR(__xludf.DUMMYFUNCTION("""COMPUTED_VALUE"""),45554.6458333333)</f>
        <v>45554.645833333299</v>
      </c>
      <c r="B798" s="1">
        <f ca="1">IFERROR(__xludf.DUMMYFUNCTION("""COMPUTED_VALUE"""),1292)</f>
        <v>1292</v>
      </c>
      <c r="C798" s="3">
        <f t="shared" ca="1" si="24"/>
        <v>2.8330810726899455E-3</v>
      </c>
      <c r="D798">
        <f t="shared" ca="1" si="23"/>
        <v>1216.1051020408158</v>
      </c>
    </row>
    <row r="799" spans="1:4" x14ac:dyDescent="0.25">
      <c r="A799" s="2">
        <f ca="1">IFERROR(__xludf.DUMMYFUNCTION("""COMPUTED_VALUE"""),45555.6458333333)</f>
        <v>45555.645833333299</v>
      </c>
      <c r="B799" s="1">
        <f ca="1">IFERROR(__xludf.DUMMYFUNCTION("""COMPUTED_VALUE"""),1338.45)</f>
        <v>1338.45</v>
      </c>
      <c r="C799" s="3">
        <f t="shared" ca="1" si="24"/>
        <v>3.5952012383900965E-2</v>
      </c>
      <c r="D799">
        <f t="shared" ca="1" si="23"/>
        <v>1217.1010204081629</v>
      </c>
    </row>
    <row r="800" spans="1:4" x14ac:dyDescent="0.25">
      <c r="A800" s="2">
        <f ca="1">IFERROR(__xludf.DUMMYFUNCTION("""COMPUTED_VALUE"""),45558.6458333333)</f>
        <v>45558.645833333299</v>
      </c>
      <c r="B800" s="1">
        <f ca="1">IFERROR(__xludf.DUMMYFUNCTION("""COMPUTED_VALUE"""),1321.9)</f>
        <v>1321.9</v>
      </c>
      <c r="C800" s="3">
        <f t="shared" ca="1" si="24"/>
        <v>-1.2365049123986666E-2</v>
      </c>
      <c r="D800">
        <f t="shared" ca="1" si="23"/>
        <v>1219.1418367346935</v>
      </c>
    </row>
    <row r="801" spans="1:4" x14ac:dyDescent="0.25">
      <c r="A801" s="2">
        <f ca="1">IFERROR(__xludf.DUMMYFUNCTION("""COMPUTED_VALUE"""),45559.6458333333)</f>
        <v>45559.645833333299</v>
      </c>
      <c r="B801" s="1">
        <f ca="1">IFERROR(__xludf.DUMMYFUNCTION("""COMPUTED_VALUE"""),1318.6)</f>
        <v>1318.6</v>
      </c>
      <c r="C801" s="3">
        <f t="shared" ca="1" si="24"/>
        <v>-2.4964066873441118E-3</v>
      </c>
      <c r="D801">
        <f t="shared" ca="1" si="23"/>
        <v>1220.9581632653058</v>
      </c>
    </row>
    <row r="802" spans="1:4" x14ac:dyDescent="0.25">
      <c r="A802" s="2">
        <f ca="1">IFERROR(__xludf.DUMMYFUNCTION("""COMPUTED_VALUE"""),45560.6458333333)</f>
        <v>45560.645833333299</v>
      </c>
      <c r="B802" s="1">
        <f ca="1">IFERROR(__xludf.DUMMYFUNCTION("""COMPUTED_VALUE"""),1323.85)</f>
        <v>1323.85</v>
      </c>
      <c r="C802" s="3">
        <f t="shared" ca="1" si="24"/>
        <v>3.9814955255574099E-3</v>
      </c>
      <c r="D802">
        <f t="shared" ca="1" si="23"/>
        <v>1222.7673469387751</v>
      </c>
    </row>
    <row r="803" spans="1:4" x14ac:dyDescent="0.25">
      <c r="A803" s="2">
        <f ca="1">IFERROR(__xludf.DUMMYFUNCTION("""COMPUTED_VALUE"""),45561.6458333333)</f>
        <v>45561.645833333299</v>
      </c>
      <c r="B803" s="1">
        <f ca="1">IFERROR(__xludf.DUMMYFUNCTION("""COMPUTED_VALUE"""),1329.05)</f>
        <v>1329.05</v>
      </c>
      <c r="C803" s="3">
        <f t="shared" ca="1" si="24"/>
        <v>3.9279374551497871E-3</v>
      </c>
      <c r="D803">
        <f t="shared" ca="1" si="23"/>
        <v>1224.4806122448977</v>
      </c>
    </row>
    <row r="804" spans="1:4" x14ac:dyDescent="0.25">
      <c r="A804" s="2">
        <f ca="1">IFERROR(__xludf.DUMMYFUNCTION("""COMPUTED_VALUE"""),45562.6458333333)</f>
        <v>45562.645833333299</v>
      </c>
      <c r="B804" s="1">
        <f ca="1">IFERROR(__xludf.DUMMYFUNCTION("""COMPUTED_VALUE"""),1306.6)</f>
        <v>1306.5999999999999</v>
      </c>
      <c r="C804" s="3">
        <f t="shared" ca="1" si="24"/>
        <v>-1.6891764794402051E-2</v>
      </c>
      <c r="D804">
        <f t="shared" ca="1" si="23"/>
        <v>1226.0877551020403</v>
      </c>
    </row>
    <row r="805" spans="1:4" x14ac:dyDescent="0.25">
      <c r="A805" s="2">
        <f ca="1">IFERROR(__xludf.DUMMYFUNCTION("""COMPUTED_VALUE"""),45565.6458333333)</f>
        <v>45565.645833333299</v>
      </c>
      <c r="B805" s="1">
        <f ca="1">IFERROR(__xludf.DUMMYFUNCTION("""COMPUTED_VALUE"""),1273)</f>
        <v>1273</v>
      </c>
      <c r="C805" s="3">
        <f t="shared" ca="1" si="24"/>
        <v>-2.5715597734578228E-2</v>
      </c>
      <c r="D805">
        <f t="shared" ca="1" si="23"/>
        <v>1227.2704081632648</v>
      </c>
    </row>
    <row r="806" spans="1:4" x14ac:dyDescent="0.25">
      <c r="A806" s="2">
        <f ca="1">IFERROR(__xludf.DUMMYFUNCTION("""COMPUTED_VALUE"""),45566.6458333333)</f>
        <v>45566.645833333299</v>
      </c>
      <c r="B806" s="1">
        <f ca="1">IFERROR(__xludf.DUMMYFUNCTION("""COMPUTED_VALUE"""),1274.4)</f>
        <v>1274.4000000000001</v>
      </c>
      <c r="C806" s="3">
        <f t="shared" ca="1" si="24"/>
        <v>1.09976433621374E-3</v>
      </c>
      <c r="D806">
        <f t="shared" ca="1" si="23"/>
        <v>1227.9204081632649</v>
      </c>
    </row>
    <row r="807" spans="1:4" x14ac:dyDescent="0.25">
      <c r="A807" s="2">
        <f ca="1">IFERROR(__xludf.DUMMYFUNCTION("""COMPUTED_VALUE"""),45568.6458333333)</f>
        <v>45568.645833333299</v>
      </c>
      <c r="B807" s="1">
        <f ca="1">IFERROR(__xludf.DUMMYFUNCTION("""COMPUTED_VALUE"""),1256.35)</f>
        <v>1256.3499999999999</v>
      </c>
      <c r="C807" s="3">
        <f t="shared" ca="1" si="24"/>
        <v>-1.4163527934714516E-2</v>
      </c>
      <c r="D807">
        <f t="shared" ca="1" si="23"/>
        <v>1228.8928571428569</v>
      </c>
    </row>
    <row r="808" spans="1:4" x14ac:dyDescent="0.25">
      <c r="A808" s="2">
        <f ca="1">IFERROR(__xludf.DUMMYFUNCTION("""COMPUTED_VALUE"""),45569.6458333333)</f>
        <v>45569.645833333299</v>
      </c>
      <c r="B808" s="1">
        <f ca="1">IFERROR(__xludf.DUMMYFUNCTION("""COMPUTED_VALUE"""),1239.75)</f>
        <v>1239.75</v>
      </c>
      <c r="C808" s="3">
        <f t="shared" ca="1" si="24"/>
        <v>-1.3212878576829633E-2</v>
      </c>
      <c r="D808">
        <f t="shared" ca="1" si="23"/>
        <v>1229.5734693877548</v>
      </c>
    </row>
    <row r="809" spans="1:4" x14ac:dyDescent="0.25">
      <c r="A809" s="2">
        <f ca="1">IFERROR(__xludf.DUMMYFUNCTION("""COMPUTED_VALUE"""),45572.6458333333)</f>
        <v>45572.645833333299</v>
      </c>
      <c r="B809" s="1">
        <f ca="1">IFERROR(__xludf.DUMMYFUNCTION("""COMPUTED_VALUE"""),1233.9)</f>
        <v>1233.9000000000001</v>
      </c>
      <c r="C809" s="3">
        <f t="shared" ca="1" si="24"/>
        <v>-4.7186932849364056E-3</v>
      </c>
      <c r="D809">
        <f t="shared" ca="1" si="23"/>
        <v>1230.4275510204081</v>
      </c>
    </row>
    <row r="810" spans="1:4" x14ac:dyDescent="0.25">
      <c r="A810" s="2">
        <f ca="1">IFERROR(__xludf.DUMMYFUNCTION("""COMPUTED_VALUE"""),45573.6458333333)</f>
        <v>45573.645833333299</v>
      </c>
      <c r="B810" s="1">
        <f ca="1">IFERROR(__xludf.DUMMYFUNCTION("""COMPUTED_VALUE"""),1236.6)</f>
        <v>1236.5999999999999</v>
      </c>
      <c r="C810" s="3">
        <f t="shared" ca="1" si="24"/>
        <v>2.1881838074396774E-3</v>
      </c>
      <c r="D810">
        <f t="shared" ca="1" si="23"/>
        <v>1230.9724489795917</v>
      </c>
    </row>
    <row r="811" spans="1:4" x14ac:dyDescent="0.25">
      <c r="A811" s="2">
        <f ca="1">IFERROR(__xludf.DUMMYFUNCTION("""COMPUTED_VALUE"""),45574.6458333333)</f>
        <v>45574.645833333299</v>
      </c>
      <c r="B811" s="1">
        <f ca="1">IFERROR(__xludf.DUMMYFUNCTION("""COMPUTED_VALUE"""),1244.15)</f>
        <v>1244.1500000000001</v>
      </c>
      <c r="C811" s="3">
        <f t="shared" ca="1" si="24"/>
        <v>6.1054504285946807E-3</v>
      </c>
      <c r="D811">
        <f t="shared" ca="1" si="23"/>
        <v>1231.4602040816326</v>
      </c>
    </row>
    <row r="812" spans="1:4" x14ac:dyDescent="0.25">
      <c r="A812" s="2">
        <f ca="1">IFERROR(__xludf.DUMMYFUNCTION("""COMPUTED_VALUE"""),45575.6458333333)</f>
        <v>45575.645833333299</v>
      </c>
      <c r="B812" s="1">
        <f ca="1">IFERROR(__xludf.DUMMYFUNCTION("""COMPUTED_VALUE"""),1243.5)</f>
        <v>1243.5</v>
      </c>
      <c r="C812" s="3">
        <f t="shared" ca="1" si="24"/>
        <v>-5.2244504280037855E-4</v>
      </c>
      <c r="D812">
        <f t="shared" ca="1" si="23"/>
        <v>1232.1683673469386</v>
      </c>
    </row>
    <row r="813" spans="1:4" x14ac:dyDescent="0.25">
      <c r="A813" s="2">
        <f ca="1">IFERROR(__xludf.DUMMYFUNCTION("""COMPUTED_VALUE"""),45576.6458333333)</f>
        <v>45576.645833333299</v>
      </c>
      <c r="B813" s="1">
        <f ca="1">IFERROR(__xludf.DUMMYFUNCTION("""COMPUTED_VALUE"""),1223)</f>
        <v>1223</v>
      </c>
      <c r="C813" s="3">
        <f t="shared" ca="1" si="24"/>
        <v>-1.6485725774024931E-2</v>
      </c>
      <c r="D813">
        <f t="shared" ca="1" si="23"/>
        <v>1232.7520408163264</v>
      </c>
    </row>
    <row r="814" spans="1:4" x14ac:dyDescent="0.25">
      <c r="A814" s="2">
        <f ca="1">IFERROR(__xludf.DUMMYFUNCTION("""COMPUTED_VALUE"""),45579.6458333333)</f>
        <v>45579.645833333299</v>
      </c>
      <c r="B814" s="1">
        <f ca="1">IFERROR(__xludf.DUMMYFUNCTION("""COMPUTED_VALUE"""),1231.75)</f>
        <v>1231.75</v>
      </c>
      <c r="C814" s="3">
        <f t="shared" ca="1" si="24"/>
        <v>7.1545380212591986E-3</v>
      </c>
      <c r="D814">
        <f t="shared" ca="1" si="23"/>
        <v>1233.0153061224489</v>
      </c>
    </row>
    <row r="815" spans="1:4" x14ac:dyDescent="0.25">
      <c r="A815" s="2">
        <f ca="1">IFERROR(__xludf.DUMMYFUNCTION("""COMPUTED_VALUE"""),45580.6458333333)</f>
        <v>45580.645833333299</v>
      </c>
      <c r="B815" s="1">
        <f ca="1">IFERROR(__xludf.DUMMYFUNCTION("""COMPUTED_VALUE"""),1255.5)</f>
        <v>1255.5</v>
      </c>
      <c r="C815" s="3">
        <f t="shared" ca="1" si="24"/>
        <v>1.9281510046681549E-2</v>
      </c>
      <c r="D815">
        <f t="shared" ca="1" si="23"/>
        <v>1233.7336734693874</v>
      </c>
    </row>
    <row r="816" spans="1:4" x14ac:dyDescent="0.25">
      <c r="A816" s="2">
        <f ca="1">IFERROR(__xludf.DUMMYFUNCTION("""COMPUTED_VALUE"""),45581.6458333333)</f>
        <v>45581.645833333299</v>
      </c>
      <c r="B816" s="1">
        <f ca="1">IFERROR(__xludf.DUMMYFUNCTION("""COMPUTED_VALUE"""),1243.15)</f>
        <v>1243.1500000000001</v>
      </c>
      <c r="C816" s="3">
        <f t="shared" ca="1" si="24"/>
        <v>-9.8367184388689043E-3</v>
      </c>
      <c r="D816">
        <f t="shared" ca="1" si="23"/>
        <v>1235.4255102040815</v>
      </c>
    </row>
    <row r="817" spans="1:4" x14ac:dyDescent="0.25">
      <c r="A817" s="2">
        <f ca="1">IFERROR(__xludf.DUMMYFUNCTION("""COMPUTED_VALUE"""),45582.6458333333)</f>
        <v>45582.645833333299</v>
      </c>
      <c r="B817" s="1">
        <f ca="1">IFERROR(__xludf.DUMMYFUNCTION("""COMPUTED_VALUE"""),1231.25)</f>
        <v>1231.25</v>
      </c>
      <c r="C817" s="3">
        <f t="shared" ca="1" si="24"/>
        <v>-9.5724570647147088E-3</v>
      </c>
      <c r="D817">
        <f t="shared" ca="1" si="23"/>
        <v>1236.9826530612245</v>
      </c>
    </row>
    <row r="818" spans="1:4" x14ac:dyDescent="0.25">
      <c r="A818" s="2">
        <f ca="1">IFERROR(__xludf.DUMMYFUNCTION("""COMPUTED_VALUE"""),45583.6458333333)</f>
        <v>45583.645833333299</v>
      </c>
      <c r="B818" s="1">
        <f ca="1">IFERROR(__xludf.DUMMYFUNCTION("""COMPUTED_VALUE"""),1264.5)</f>
        <v>1264.5</v>
      </c>
      <c r="C818" s="3">
        <f t="shared" ca="1" si="24"/>
        <v>2.7005076142131979E-2</v>
      </c>
      <c r="D818">
        <f t="shared" ca="1" si="23"/>
        <v>1238.1826530612245</v>
      </c>
    </row>
    <row r="819" spans="1:4" x14ac:dyDescent="0.25">
      <c r="A819" s="2">
        <f ca="1">IFERROR(__xludf.DUMMYFUNCTION("""COMPUTED_VALUE"""),45586.6458333333)</f>
        <v>45586.645833333299</v>
      </c>
      <c r="B819" s="1">
        <f ca="1">IFERROR(__xludf.DUMMYFUNCTION("""COMPUTED_VALUE"""),1259.05)</f>
        <v>1259.05</v>
      </c>
      <c r="C819" s="3">
        <f t="shared" ca="1" si="24"/>
        <v>-4.3100039541321038E-3</v>
      </c>
      <c r="D819">
        <f t="shared" ca="1" si="23"/>
        <v>1240.2214285714285</v>
      </c>
    </row>
    <row r="820" spans="1:4" x14ac:dyDescent="0.25">
      <c r="A820" s="2">
        <f ca="1">IFERROR(__xludf.DUMMYFUNCTION("""COMPUTED_VALUE"""),45587.6458333333)</f>
        <v>45587.645833333299</v>
      </c>
      <c r="B820" s="1">
        <f ca="1">IFERROR(__xludf.DUMMYFUNCTION("""COMPUTED_VALUE"""),1267.5)</f>
        <v>1267.5</v>
      </c>
      <c r="C820" s="3">
        <f t="shared" ca="1" si="24"/>
        <v>6.7114093959731906E-3</v>
      </c>
      <c r="D820">
        <f t="shared" ref="D820:D883" ca="1" si="25">AVERAGE(B771:B819)</f>
        <v>1242.0061224489796</v>
      </c>
    </row>
    <row r="821" spans="1:4" x14ac:dyDescent="0.25">
      <c r="A821" s="2">
        <f ca="1">IFERROR(__xludf.DUMMYFUNCTION("""COMPUTED_VALUE"""),45588.6458333333)</f>
        <v>45588.645833333299</v>
      </c>
      <c r="B821" s="1">
        <f ca="1">IFERROR(__xludf.DUMMYFUNCTION("""COMPUTED_VALUE"""),1251.6)</f>
        <v>1251.5999999999999</v>
      </c>
      <c r="C821" s="3">
        <f t="shared" ca="1" si="24"/>
        <v>-1.2544378698224924E-2</v>
      </c>
      <c r="D821">
        <f t="shared" ca="1" si="25"/>
        <v>1243.9387755102041</v>
      </c>
    </row>
    <row r="822" spans="1:4" x14ac:dyDescent="0.25">
      <c r="A822" s="2">
        <f ca="1">IFERROR(__xludf.DUMMYFUNCTION("""COMPUTED_VALUE"""),45589.6458333333)</f>
        <v>45589.645833333299</v>
      </c>
      <c r="B822" s="1">
        <f ca="1">IFERROR(__xludf.DUMMYFUNCTION("""COMPUTED_VALUE"""),1252.75)</f>
        <v>1252.75</v>
      </c>
      <c r="C822" s="3">
        <f t="shared" ca="1" si="24"/>
        <v>9.1882390540115935E-4</v>
      </c>
      <c r="D822">
        <f t="shared" ca="1" si="25"/>
        <v>1245.6377551020407</v>
      </c>
    </row>
    <row r="823" spans="1:4" x14ac:dyDescent="0.25">
      <c r="A823" s="2">
        <f ca="1">IFERROR(__xludf.DUMMYFUNCTION("""COMPUTED_VALUE"""),45590.6458333333)</f>
        <v>45590.645833333299</v>
      </c>
      <c r="B823" s="1">
        <f ca="1">IFERROR(__xludf.DUMMYFUNCTION("""COMPUTED_VALUE"""),1255.45)</f>
        <v>1255.45</v>
      </c>
      <c r="C823" s="3">
        <f t="shared" ca="1" si="24"/>
        <v>2.1552584314508444E-3</v>
      </c>
      <c r="D823">
        <f t="shared" ca="1" si="25"/>
        <v>1247.4969387755102</v>
      </c>
    </row>
    <row r="824" spans="1:4" x14ac:dyDescent="0.25">
      <c r="A824" s="2">
        <f ca="1">IFERROR(__xludf.DUMMYFUNCTION("""COMPUTED_VALUE"""),45593.6458333333)</f>
        <v>45593.645833333299</v>
      </c>
      <c r="B824" s="1">
        <f ca="1">IFERROR(__xludf.DUMMYFUNCTION("""COMPUTED_VALUE"""),1292.85)</f>
        <v>1292.8499999999999</v>
      </c>
      <c r="C824" s="3">
        <f t="shared" ca="1" si="24"/>
        <v>2.9790115098171862E-2</v>
      </c>
      <c r="D824">
        <f t="shared" ca="1" si="25"/>
        <v>1248.8887755102041</v>
      </c>
    </row>
    <row r="825" spans="1:4" x14ac:dyDescent="0.25">
      <c r="A825" s="2">
        <f ca="1">IFERROR(__xludf.DUMMYFUNCTION("""COMPUTED_VALUE"""),45594.6458333333)</f>
        <v>45594.645833333299</v>
      </c>
      <c r="B825" s="1">
        <f ca="1">IFERROR(__xludf.DUMMYFUNCTION("""COMPUTED_VALUE"""),1331.85)</f>
        <v>1331.85</v>
      </c>
      <c r="C825" s="3">
        <f t="shared" ca="1" si="24"/>
        <v>3.0165912518853699E-2</v>
      </c>
      <c r="D825">
        <f t="shared" ca="1" si="25"/>
        <v>1251.2755102040817</v>
      </c>
    </row>
    <row r="826" spans="1:4" x14ac:dyDescent="0.25">
      <c r="A826" s="2">
        <f ca="1">IFERROR(__xludf.DUMMYFUNCTION("""COMPUTED_VALUE"""),45595.6458333333)</f>
        <v>45595.645833333299</v>
      </c>
      <c r="B826" s="1">
        <f ca="1">IFERROR(__xludf.DUMMYFUNCTION("""COMPUTED_VALUE"""),1312.15)</f>
        <v>1312.15</v>
      </c>
      <c r="C826" s="3">
        <f t="shared" ca="1" si="24"/>
        <v>-1.4791455494237203E-2</v>
      </c>
      <c r="D826">
        <f t="shared" ca="1" si="25"/>
        <v>1254.3857142857141</v>
      </c>
    </row>
    <row r="827" spans="1:4" x14ac:dyDescent="0.25">
      <c r="A827" s="2">
        <f ca="1">IFERROR(__xludf.DUMMYFUNCTION("""COMPUTED_VALUE"""),45596.6458333333)</f>
        <v>45596.645833333299</v>
      </c>
      <c r="B827" s="1">
        <f ca="1">IFERROR(__xludf.DUMMYFUNCTION("""COMPUTED_VALUE"""),1292.25)</f>
        <v>1292.25</v>
      </c>
      <c r="C827" s="3">
        <f t="shared" ca="1" si="24"/>
        <v>-1.5165949014975491E-2</v>
      </c>
      <c r="D827">
        <f t="shared" ca="1" si="25"/>
        <v>1257.1877551020407</v>
      </c>
    </row>
    <row r="828" spans="1:4" x14ac:dyDescent="0.25">
      <c r="A828" s="2">
        <f ca="1">IFERROR(__xludf.DUMMYFUNCTION("""COMPUTED_VALUE"""),45600.6458333333)</f>
        <v>45600.645833333299</v>
      </c>
      <c r="B828" s="1">
        <f ca="1">IFERROR(__xludf.DUMMYFUNCTION("""COMPUTED_VALUE"""),1277.2)</f>
        <v>1277.2</v>
      </c>
      <c r="C828" s="3">
        <f t="shared" ca="1" si="24"/>
        <v>-1.1646353259818111E-2</v>
      </c>
      <c r="D828">
        <f t="shared" ca="1" si="25"/>
        <v>1259.2520408163264</v>
      </c>
    </row>
    <row r="829" spans="1:4" x14ac:dyDescent="0.25">
      <c r="A829" s="2">
        <f ca="1">IFERROR(__xludf.DUMMYFUNCTION("""COMPUTED_VALUE"""),45601.6458333333)</f>
        <v>45601.645833333299</v>
      </c>
      <c r="B829" s="1">
        <f ca="1">IFERROR(__xludf.DUMMYFUNCTION("""COMPUTED_VALUE"""),1296.7)</f>
        <v>1296.7</v>
      </c>
      <c r="C829" s="3">
        <f t="shared" ca="1" si="24"/>
        <v>1.526777325399311E-2</v>
      </c>
      <c r="D829">
        <f t="shared" ca="1" si="25"/>
        <v>1260.7561224489793</v>
      </c>
    </row>
    <row r="830" spans="1:4" x14ac:dyDescent="0.25">
      <c r="A830" s="2">
        <f ca="1">IFERROR(__xludf.DUMMYFUNCTION("""COMPUTED_VALUE"""),45602.6458333333)</f>
        <v>45602.645833333299</v>
      </c>
      <c r="B830" s="1">
        <f ca="1">IFERROR(__xludf.DUMMYFUNCTION("""COMPUTED_VALUE"""),1302.35)</f>
        <v>1302.3499999999999</v>
      </c>
      <c r="C830" s="3">
        <f t="shared" ca="1" si="24"/>
        <v>4.3572144674943036E-3</v>
      </c>
      <c r="D830">
        <f t="shared" ca="1" si="25"/>
        <v>1262.4581632653058</v>
      </c>
    </row>
    <row r="831" spans="1:4" x14ac:dyDescent="0.25">
      <c r="A831" s="2">
        <f ca="1">IFERROR(__xludf.DUMMYFUNCTION("""COMPUTED_VALUE"""),45603.6458333333)</f>
        <v>45603.645833333299</v>
      </c>
      <c r="B831" s="1">
        <f ca="1">IFERROR(__xludf.DUMMYFUNCTION("""COMPUTED_VALUE"""),1278.7)</f>
        <v>1278.7</v>
      </c>
      <c r="C831" s="3">
        <f t="shared" ca="1" si="24"/>
        <v>-1.8159480938303732E-2</v>
      </c>
      <c r="D831">
        <f t="shared" ca="1" si="25"/>
        <v>1264.0091836734691</v>
      </c>
    </row>
    <row r="832" spans="1:4" x14ac:dyDescent="0.25">
      <c r="A832" s="2">
        <f ca="1">IFERROR(__xludf.DUMMYFUNCTION("""COMPUTED_VALUE"""),45604.6458333333)</f>
        <v>45604.645833333299</v>
      </c>
      <c r="B832" s="1">
        <f ca="1">IFERROR(__xludf.DUMMYFUNCTION("""COMPUTED_VALUE"""),1258.85)</f>
        <v>1258.8499999999999</v>
      </c>
      <c r="C832" s="3">
        <f t="shared" ca="1" si="24"/>
        <v>-1.5523578634550821E-2</v>
      </c>
      <c r="D832">
        <f t="shared" ca="1" si="25"/>
        <v>1265.1285714285711</v>
      </c>
    </row>
    <row r="833" spans="1:4" x14ac:dyDescent="0.25">
      <c r="A833" s="2">
        <f ca="1">IFERROR(__xludf.DUMMYFUNCTION("""COMPUTED_VALUE"""),45607.6458333333)</f>
        <v>45607.645833333299</v>
      </c>
      <c r="B833" s="1">
        <f ca="1">IFERROR(__xludf.DUMMYFUNCTION("""COMPUTED_VALUE"""),1269.3)</f>
        <v>1269.3</v>
      </c>
      <c r="C833" s="3">
        <f t="shared" ca="1" si="24"/>
        <v>8.3012273106407002E-3</v>
      </c>
      <c r="D833">
        <f t="shared" ca="1" si="25"/>
        <v>1265.8826530612241</v>
      </c>
    </row>
    <row r="834" spans="1:4" x14ac:dyDescent="0.25">
      <c r="A834" s="2">
        <f ca="1">IFERROR(__xludf.DUMMYFUNCTION("""COMPUTED_VALUE"""),45608.6458333333)</f>
        <v>45608.645833333299</v>
      </c>
      <c r="B834" s="1">
        <f ca="1">IFERROR(__xludf.DUMMYFUNCTION("""COMPUTED_VALUE"""),1270.6)</f>
        <v>1270.5999999999999</v>
      </c>
      <c r="C834" s="3">
        <f t="shared" ca="1" si="24"/>
        <v>1.02418655952096E-3</v>
      </c>
      <c r="D834">
        <f t="shared" ca="1" si="25"/>
        <v>1266.701020408163</v>
      </c>
    </row>
    <row r="835" spans="1:4" x14ac:dyDescent="0.25">
      <c r="A835" s="2">
        <f ca="1">IFERROR(__xludf.DUMMYFUNCTION("""COMPUTED_VALUE"""),45609.6458333333)</f>
        <v>45609.645833333299</v>
      </c>
      <c r="B835" s="1">
        <f ca="1">IFERROR(__xludf.DUMMYFUNCTION("""COMPUTED_VALUE"""),1253.7)</f>
        <v>1253.7</v>
      </c>
      <c r="C835" s="3">
        <f t="shared" ca="1" si="24"/>
        <v>-1.3300802770344613E-2</v>
      </c>
      <c r="D835">
        <f t="shared" ca="1" si="25"/>
        <v>1267.5306122448976</v>
      </c>
    </row>
    <row r="836" spans="1:4" x14ac:dyDescent="0.25">
      <c r="A836" s="2">
        <f ca="1">IFERROR(__xludf.DUMMYFUNCTION("""COMPUTED_VALUE"""),45610.6458333333)</f>
        <v>45610.645833333299</v>
      </c>
      <c r="B836" s="1">
        <f ca="1">IFERROR(__xludf.DUMMYFUNCTION("""COMPUTED_VALUE"""),1256.95)</f>
        <v>1256.95</v>
      </c>
      <c r="C836" s="3">
        <f t="shared" ref="C836:C899" ca="1" si="26">(B836-B835)/B835</f>
        <v>2.5923267129297281E-3</v>
      </c>
      <c r="D836">
        <f t="shared" ca="1" si="25"/>
        <v>1267.6530612244894</v>
      </c>
    </row>
    <row r="837" spans="1:4" x14ac:dyDescent="0.25">
      <c r="A837" s="2">
        <f ca="1">IFERROR(__xludf.DUMMYFUNCTION("""COMPUTED_VALUE"""),45614.6458333333)</f>
        <v>45614.645833333299</v>
      </c>
      <c r="B837" s="1">
        <f ca="1">IFERROR(__xludf.DUMMYFUNCTION("""COMPUTED_VALUE"""),1253.45)</f>
        <v>1253.45</v>
      </c>
      <c r="C837" s="3">
        <f t="shared" ca="1" si="26"/>
        <v>-2.7845180794781018E-3</v>
      </c>
      <c r="D837">
        <f t="shared" ca="1" si="25"/>
        <v>1268.0734693877546</v>
      </c>
    </row>
    <row r="838" spans="1:4" x14ac:dyDescent="0.25">
      <c r="A838" s="2">
        <f ca="1">IFERROR(__xludf.DUMMYFUNCTION("""COMPUTED_VALUE"""),45615.6458333333)</f>
        <v>45615.645833333299</v>
      </c>
      <c r="B838" s="1">
        <f ca="1">IFERROR(__xludf.DUMMYFUNCTION("""COMPUTED_VALUE"""),1249.1)</f>
        <v>1249.0999999999999</v>
      </c>
      <c r="C838" s="3">
        <f t="shared" ca="1" si="26"/>
        <v>-3.4704216362839652E-3</v>
      </c>
      <c r="D838">
        <f t="shared" ca="1" si="25"/>
        <v>1268.4306122448975</v>
      </c>
    </row>
    <row r="839" spans="1:4" x14ac:dyDescent="0.25">
      <c r="A839" s="2">
        <f ca="1">IFERROR(__xludf.DUMMYFUNCTION("""COMPUTED_VALUE"""),45617.6458333333)</f>
        <v>45617.645833333299</v>
      </c>
      <c r="B839" s="1">
        <f ca="1">IFERROR(__xludf.DUMMYFUNCTION("""COMPUTED_VALUE"""),1250.55)</f>
        <v>1250.55</v>
      </c>
      <c r="C839" s="3">
        <f t="shared" ca="1" si="26"/>
        <v>1.1608358017773162E-3</v>
      </c>
      <c r="D839">
        <f t="shared" ca="1" si="25"/>
        <v>1269.2663265306119</v>
      </c>
    </row>
    <row r="840" spans="1:4" x14ac:dyDescent="0.25">
      <c r="A840" s="2">
        <f ca="1">IFERROR(__xludf.DUMMYFUNCTION("""COMPUTED_VALUE"""),45618.6458333333)</f>
        <v>45618.645833333299</v>
      </c>
      <c r="B840" s="1">
        <f ca="1">IFERROR(__xludf.DUMMYFUNCTION("""COMPUTED_VALUE"""),1278.05)</f>
        <v>1278.05</v>
      </c>
      <c r="C840" s="3">
        <f t="shared" ca="1" si="26"/>
        <v>2.1990324257326777E-2</v>
      </c>
      <c r="D840">
        <f t="shared" ca="1" si="25"/>
        <v>1269.5836734693873</v>
      </c>
    </row>
    <row r="841" spans="1:4" x14ac:dyDescent="0.25">
      <c r="A841" s="2">
        <f ca="1">IFERROR(__xludf.DUMMYFUNCTION("""COMPUTED_VALUE"""),45621.6458333333)</f>
        <v>45621.645833333299</v>
      </c>
      <c r="B841" s="1">
        <f ca="1">IFERROR(__xludf.DUMMYFUNCTION("""COMPUTED_VALUE"""),1300.95)</f>
        <v>1300.95</v>
      </c>
      <c r="C841" s="3">
        <f t="shared" ca="1" si="26"/>
        <v>1.7917921834044122E-2</v>
      </c>
      <c r="D841">
        <f t="shared" ca="1" si="25"/>
        <v>1270.4153061224486</v>
      </c>
    </row>
    <row r="842" spans="1:4" x14ac:dyDescent="0.25">
      <c r="A842" s="2">
        <f ca="1">IFERROR(__xludf.DUMMYFUNCTION("""COMPUTED_VALUE"""),45622.6458333333)</f>
        <v>45622.645833333299</v>
      </c>
      <c r="B842" s="1">
        <f ca="1">IFERROR(__xludf.DUMMYFUNCTION("""COMPUTED_VALUE"""),1304.95)</f>
        <v>1304.95</v>
      </c>
      <c r="C842" s="3">
        <f t="shared" ca="1" si="26"/>
        <v>3.0746761981628808E-3</v>
      </c>
      <c r="D842">
        <f t="shared" ca="1" si="25"/>
        <v>1271.7336734693874</v>
      </c>
    </row>
    <row r="843" spans="1:4" x14ac:dyDescent="0.25">
      <c r="A843" s="2">
        <f ca="1">IFERROR(__xludf.DUMMYFUNCTION("""COMPUTED_VALUE"""),45623.6458333333)</f>
        <v>45623.645833333299</v>
      </c>
      <c r="B843" s="1">
        <f ca="1">IFERROR(__xludf.DUMMYFUNCTION("""COMPUTED_VALUE"""),1300.7)</f>
        <v>1300.7</v>
      </c>
      <c r="C843" s="3">
        <f t="shared" ca="1" si="26"/>
        <v>-3.2568297635924746E-3</v>
      </c>
      <c r="D843">
        <f t="shared" ca="1" si="25"/>
        <v>1272.8112244897954</v>
      </c>
    </row>
    <row r="844" spans="1:4" x14ac:dyDescent="0.25">
      <c r="A844" s="2">
        <f ca="1">IFERROR(__xludf.DUMMYFUNCTION("""COMPUTED_VALUE"""),45624.6458333333)</f>
        <v>45624.645833333299</v>
      </c>
      <c r="B844" s="1">
        <f ca="1">IFERROR(__xludf.DUMMYFUNCTION("""COMPUTED_VALUE"""),1286.35)</f>
        <v>1286.3499999999999</v>
      </c>
      <c r="C844" s="3">
        <f t="shared" ca="1" si="26"/>
        <v>-1.1032520950257658E-2</v>
      </c>
      <c r="D844">
        <f t="shared" ca="1" si="25"/>
        <v>1273.8387755102035</v>
      </c>
    </row>
    <row r="845" spans="1:4" x14ac:dyDescent="0.25">
      <c r="A845" s="2">
        <f ca="1">IFERROR(__xludf.DUMMYFUNCTION("""COMPUTED_VALUE"""),45625.6458333333)</f>
        <v>45625.645833333299</v>
      </c>
      <c r="B845" s="1">
        <f ca="1">IFERROR(__xludf.DUMMYFUNCTION("""COMPUTED_VALUE"""),1300.1)</f>
        <v>1300.0999999999999</v>
      </c>
      <c r="C845" s="3">
        <f t="shared" ca="1" si="26"/>
        <v>1.0689159249037976E-2</v>
      </c>
      <c r="D845">
        <f t="shared" ca="1" si="25"/>
        <v>1274.3183673469382</v>
      </c>
    </row>
    <row r="846" spans="1:4" x14ac:dyDescent="0.25">
      <c r="A846" s="2">
        <f ca="1">IFERROR(__xludf.DUMMYFUNCTION("""COMPUTED_VALUE"""),45628.6458333333)</f>
        <v>45628.645833333299</v>
      </c>
      <c r="B846" s="1">
        <f ca="1">IFERROR(__xludf.DUMMYFUNCTION("""COMPUTED_VALUE"""),1304.65)</f>
        <v>1304.6500000000001</v>
      </c>
      <c r="C846" s="3">
        <f t="shared" ca="1" si="26"/>
        <v>3.4997307899393756E-3</v>
      </c>
      <c r="D846">
        <f t="shared" ca="1" si="25"/>
        <v>1274.9714285714279</v>
      </c>
    </row>
    <row r="847" spans="1:4" x14ac:dyDescent="0.25">
      <c r="A847" s="2">
        <f ca="1">IFERROR(__xludf.DUMMYFUNCTION("""COMPUTED_VALUE"""),45629.6458333333)</f>
        <v>45629.645833333299</v>
      </c>
      <c r="B847" s="1">
        <f ca="1">IFERROR(__xludf.DUMMYFUNCTION("""COMPUTED_VALUE"""),1308.4)</f>
        <v>1308.4000000000001</v>
      </c>
      <c r="C847" s="3">
        <f t="shared" ca="1" si="26"/>
        <v>2.874334112597248E-3</v>
      </c>
      <c r="D847">
        <f t="shared" ca="1" si="25"/>
        <v>1275.3040816326525</v>
      </c>
    </row>
    <row r="848" spans="1:4" x14ac:dyDescent="0.25">
      <c r="A848" s="2">
        <f ca="1">IFERROR(__xludf.DUMMYFUNCTION("""COMPUTED_VALUE"""),45630.6458333333)</f>
        <v>45630.645833333299</v>
      </c>
      <c r="B848" s="1">
        <f ca="1">IFERROR(__xludf.DUMMYFUNCTION("""COMPUTED_VALUE"""),1316.05)</f>
        <v>1316.05</v>
      </c>
      <c r="C848" s="3">
        <f t="shared" ca="1" si="26"/>
        <v>5.8468358300212955E-3</v>
      </c>
      <c r="D848">
        <f t="shared" ca="1" si="25"/>
        <v>1275.6387755102037</v>
      </c>
    </row>
    <row r="849" spans="1:4" x14ac:dyDescent="0.25">
      <c r="A849" s="2">
        <f ca="1">IFERROR(__xludf.DUMMYFUNCTION("""COMPUTED_VALUE"""),45631.6458333333)</f>
        <v>45631.645833333299</v>
      </c>
      <c r="B849" s="1">
        <f ca="1">IFERROR(__xludf.DUMMYFUNCTION("""COMPUTED_VALUE"""),1336.5)</f>
        <v>1336.5</v>
      </c>
      <c r="C849" s="3">
        <f t="shared" ca="1" si="26"/>
        <v>1.5538923293187984E-2</v>
      </c>
      <c r="D849">
        <f t="shared" ca="1" si="25"/>
        <v>1275.1816326530609</v>
      </c>
    </row>
    <row r="850" spans="1:4" x14ac:dyDescent="0.25">
      <c r="A850" s="2">
        <f ca="1">IFERROR(__xludf.DUMMYFUNCTION("""COMPUTED_VALUE"""),45632.6458333333)</f>
        <v>45632.645833333299</v>
      </c>
      <c r="B850" s="1">
        <f ca="1">IFERROR(__xludf.DUMMYFUNCTION("""COMPUTED_VALUE"""),1328.75)</f>
        <v>1328.75</v>
      </c>
      <c r="C850" s="3">
        <f t="shared" ca="1" si="26"/>
        <v>-5.7987280209502428E-3</v>
      </c>
      <c r="D850">
        <f t="shared" ca="1" si="25"/>
        <v>1275.4795918367342</v>
      </c>
    </row>
    <row r="851" spans="1:4" x14ac:dyDescent="0.25">
      <c r="A851" s="2">
        <f ca="1">IFERROR(__xludf.DUMMYFUNCTION("""COMPUTED_VALUE"""),45635.6458333333)</f>
        <v>45635.645833333299</v>
      </c>
      <c r="B851" s="1">
        <f ca="1">IFERROR(__xludf.DUMMYFUNCTION("""COMPUTED_VALUE"""),1322.3)</f>
        <v>1322.3</v>
      </c>
      <c r="C851" s="3">
        <f t="shared" ca="1" si="26"/>
        <v>-4.8541862652869581E-3</v>
      </c>
      <c r="D851">
        <f t="shared" ca="1" si="25"/>
        <v>1275.686734693877</v>
      </c>
    </row>
    <row r="852" spans="1:4" x14ac:dyDescent="0.25">
      <c r="A852" s="2">
        <f ca="1">IFERROR(__xludf.DUMMYFUNCTION("""COMPUTED_VALUE"""),45636.6458333333)</f>
        <v>45636.645833333299</v>
      </c>
      <c r="B852" s="1">
        <f ca="1">IFERROR(__xludf.DUMMYFUNCTION("""COMPUTED_VALUE"""),1330.45)</f>
        <v>1330.45</v>
      </c>
      <c r="C852" s="3">
        <f t="shared" ca="1" si="26"/>
        <v>6.1635029872193084E-3</v>
      </c>
      <c r="D852">
        <f t="shared" ca="1" si="25"/>
        <v>1275.655102040816</v>
      </c>
    </row>
    <row r="853" spans="1:4" x14ac:dyDescent="0.25">
      <c r="A853" s="2">
        <f ca="1">IFERROR(__xludf.DUMMYFUNCTION("""COMPUTED_VALUE"""),45637.6458333333)</f>
        <v>45637.645833333299</v>
      </c>
      <c r="B853" s="1">
        <f ca="1">IFERROR(__xludf.DUMMYFUNCTION("""COMPUTED_VALUE"""),1327.5)</f>
        <v>1327.5</v>
      </c>
      <c r="C853" s="3">
        <f t="shared" ca="1" si="26"/>
        <v>-2.2172949002217637E-3</v>
      </c>
      <c r="D853">
        <f t="shared" ca="1" si="25"/>
        <v>1275.6836734693875</v>
      </c>
    </row>
    <row r="854" spans="1:4" x14ac:dyDescent="0.25">
      <c r="A854" s="2">
        <f ca="1">IFERROR(__xludf.DUMMYFUNCTION("""COMPUTED_VALUE"""),45638.6458333333)</f>
        <v>45638.645833333299</v>
      </c>
      <c r="B854" s="1">
        <f ca="1">IFERROR(__xludf.DUMMYFUNCTION("""COMPUTED_VALUE"""),1329.25)</f>
        <v>1329.25</v>
      </c>
      <c r="C854" s="3">
        <f t="shared" ca="1" si="26"/>
        <v>1.3182674199623352E-3</v>
      </c>
      <c r="D854">
        <f t="shared" ca="1" si="25"/>
        <v>1276.1102040816324</v>
      </c>
    </row>
    <row r="855" spans="1:4" x14ac:dyDescent="0.25">
      <c r="A855" s="2">
        <f ca="1">IFERROR(__xludf.DUMMYFUNCTION("""COMPUTED_VALUE"""),45639.6458333333)</f>
        <v>45639.645833333299</v>
      </c>
      <c r="B855" s="1">
        <f ca="1">IFERROR(__xludf.DUMMYFUNCTION("""COMPUTED_VALUE"""),1344.9)</f>
        <v>1344.9</v>
      </c>
      <c r="C855" s="3">
        <f t="shared" ca="1" si="26"/>
        <v>1.1773556516832869E-2</v>
      </c>
      <c r="D855">
        <f t="shared" ca="1" si="25"/>
        <v>1277.2581632653059</v>
      </c>
    </row>
    <row r="856" spans="1:4" x14ac:dyDescent="0.25">
      <c r="A856" s="2">
        <f ca="1">IFERROR(__xludf.DUMMYFUNCTION("""COMPUTED_VALUE"""),45642.6458333333)</f>
        <v>45642.645833333299</v>
      </c>
      <c r="B856" s="1">
        <f ca="1">IFERROR(__xludf.DUMMYFUNCTION("""COMPUTED_VALUE"""),1346.1)</f>
        <v>1346.1</v>
      </c>
      <c r="C856" s="3">
        <f t="shared" ca="1" si="26"/>
        <v>8.9225964755730385E-4</v>
      </c>
      <c r="D856">
        <f t="shared" ca="1" si="25"/>
        <v>1278.69693877551</v>
      </c>
    </row>
    <row r="857" spans="1:4" x14ac:dyDescent="0.25">
      <c r="A857" s="2">
        <f ca="1">IFERROR(__xludf.DUMMYFUNCTION("""COMPUTED_VALUE"""),45643.6458333333)</f>
        <v>45643.645833333299</v>
      </c>
      <c r="B857" s="1">
        <f ca="1">IFERROR(__xludf.DUMMYFUNCTION("""COMPUTED_VALUE"""),1333.75)</f>
        <v>1333.75</v>
      </c>
      <c r="C857" s="3">
        <f t="shared" ca="1" si="26"/>
        <v>-9.1746527003936634E-3</v>
      </c>
      <c r="D857">
        <f t="shared" ca="1" si="25"/>
        <v>1280.5285714285712</v>
      </c>
    </row>
    <row r="858" spans="1:4" x14ac:dyDescent="0.25">
      <c r="A858" s="2">
        <f ca="1">IFERROR(__xludf.DUMMYFUNCTION("""COMPUTED_VALUE"""),45644.6458333333)</f>
        <v>45644.645833333299</v>
      </c>
      <c r="B858" s="1">
        <f ca="1">IFERROR(__xludf.DUMMYFUNCTION("""COMPUTED_VALUE"""),1314.15)</f>
        <v>1314.15</v>
      </c>
      <c r="C858" s="3">
        <f t="shared" ca="1" si="26"/>
        <v>-1.4695407685098338E-2</v>
      </c>
      <c r="D858">
        <f t="shared" ca="1" si="25"/>
        <v>1282.44693877551</v>
      </c>
    </row>
    <row r="859" spans="1:4" x14ac:dyDescent="0.25">
      <c r="A859" s="2">
        <f ca="1">IFERROR(__xludf.DUMMYFUNCTION("""COMPUTED_VALUE"""),45645.6458333333)</f>
        <v>45645.645833333299</v>
      </c>
      <c r="B859" s="1">
        <f ca="1">IFERROR(__xludf.DUMMYFUNCTION("""COMPUTED_VALUE"""),1286.9)</f>
        <v>1286.9000000000001</v>
      </c>
      <c r="C859" s="3">
        <f t="shared" ca="1" si="26"/>
        <v>-2.0735836852718487E-2</v>
      </c>
      <c r="D859">
        <f t="shared" ca="1" si="25"/>
        <v>1284.0846938775508</v>
      </c>
    </row>
    <row r="860" spans="1:4" x14ac:dyDescent="0.25">
      <c r="A860" s="2">
        <f ca="1">IFERROR(__xludf.DUMMYFUNCTION("""COMPUTED_VALUE"""),45646.6458333333)</f>
        <v>45646.645833333299</v>
      </c>
      <c r="B860" s="1">
        <f ca="1">IFERROR(__xludf.DUMMYFUNCTION("""COMPUTED_VALUE"""),1288.4)</f>
        <v>1288.4000000000001</v>
      </c>
      <c r="C860" s="3">
        <f t="shared" ca="1" si="26"/>
        <v>1.1655917320693137E-3</v>
      </c>
      <c r="D860">
        <f t="shared" ca="1" si="25"/>
        <v>1285.1112244897959</v>
      </c>
    </row>
    <row r="861" spans="1:4" x14ac:dyDescent="0.25">
      <c r="A861" s="2">
        <f ca="1">IFERROR(__xludf.DUMMYFUNCTION("""COMPUTED_VALUE"""),45649.6458333333)</f>
        <v>45649.645833333299</v>
      </c>
      <c r="B861" s="1">
        <f ca="1">IFERROR(__xludf.DUMMYFUNCTION("""COMPUTED_VALUE"""),1296.8)</f>
        <v>1296.8</v>
      </c>
      <c r="C861" s="3">
        <f t="shared" ca="1" si="26"/>
        <v>6.5197143744177765E-3</v>
      </c>
      <c r="D861">
        <f t="shared" ca="1" si="25"/>
        <v>1286.0142857142857</v>
      </c>
    </row>
    <row r="862" spans="1:4" x14ac:dyDescent="0.25">
      <c r="A862" s="2">
        <f ca="1">IFERROR(__xludf.DUMMYFUNCTION("""COMPUTED_VALUE"""),45650.6458333333)</f>
        <v>45650.645833333299</v>
      </c>
      <c r="B862" s="1">
        <f ca="1">IFERROR(__xludf.DUMMYFUNCTION("""COMPUTED_VALUE"""),1297.25)</f>
        <v>1297.25</v>
      </c>
      <c r="C862" s="3">
        <f t="shared" ca="1" si="26"/>
        <v>3.4700801974093577E-4</v>
      </c>
      <c r="D862">
        <f t="shared" ca="1" si="25"/>
        <v>1287.1020408163267</v>
      </c>
    </row>
    <row r="863" spans="1:4" x14ac:dyDescent="0.25">
      <c r="A863" s="2">
        <f ca="1">IFERROR(__xludf.DUMMYFUNCTION("""COMPUTED_VALUE"""),45652.6458333333)</f>
        <v>45652.645833333299</v>
      </c>
      <c r="B863" s="1">
        <f ca="1">IFERROR(__xludf.DUMMYFUNCTION("""COMPUTED_VALUE"""),1297.35)</f>
        <v>1297.3499999999999</v>
      </c>
      <c r="C863" s="3">
        <f t="shared" ca="1" si="26"/>
        <v>7.7086143765588017E-5</v>
      </c>
      <c r="D863">
        <f t="shared" ca="1" si="25"/>
        <v>1288.6173469387757</v>
      </c>
    </row>
    <row r="864" spans="1:4" x14ac:dyDescent="0.25">
      <c r="A864" s="2">
        <f ca="1">IFERROR(__xludf.DUMMYFUNCTION("""COMPUTED_VALUE"""),45653.6458333333)</f>
        <v>45653.645833333299</v>
      </c>
      <c r="B864" s="1">
        <f ca="1">IFERROR(__xludf.DUMMYFUNCTION("""COMPUTED_VALUE"""),1307.55)</f>
        <v>1307.55</v>
      </c>
      <c r="C864" s="3">
        <f t="shared" ca="1" si="26"/>
        <v>7.8621805989132054E-3</v>
      </c>
      <c r="D864">
        <f t="shared" ca="1" si="25"/>
        <v>1289.9561224489796</v>
      </c>
    </row>
    <row r="865" spans="1:4" x14ac:dyDescent="0.25">
      <c r="A865" s="2">
        <f ca="1">IFERROR(__xludf.DUMMYFUNCTION("""COMPUTED_VALUE"""),45656.6458333333)</f>
        <v>45656.645833333299</v>
      </c>
      <c r="B865" s="1">
        <f ca="1">IFERROR(__xludf.DUMMYFUNCTION("""COMPUTED_VALUE"""),1294.65)</f>
        <v>1294.6500000000001</v>
      </c>
      <c r="C865" s="3">
        <f t="shared" ca="1" si="26"/>
        <v>-9.8657795112996553E-3</v>
      </c>
      <c r="D865">
        <f t="shared" ca="1" si="25"/>
        <v>1291.0183673469387</v>
      </c>
    </row>
    <row r="866" spans="1:4" x14ac:dyDescent="0.25">
      <c r="A866" s="2">
        <f ca="1">IFERROR(__xludf.DUMMYFUNCTION("""COMPUTED_VALUE"""),45657.6458333333)</f>
        <v>45657.645833333299</v>
      </c>
      <c r="B866" s="1">
        <f ca="1">IFERROR(__xludf.DUMMYFUNCTION("""COMPUTED_VALUE"""),1281.65)</f>
        <v>1281.6500000000001</v>
      </c>
      <c r="C866" s="3">
        <f t="shared" ca="1" si="26"/>
        <v>-1.0041323909937047E-2</v>
      </c>
      <c r="D866">
        <f t="shared" ca="1" si="25"/>
        <v>1292.0693877551023</v>
      </c>
    </row>
    <row r="867" spans="1:4" x14ac:dyDescent="0.25">
      <c r="A867" s="2">
        <f ca="1">IFERROR(__xludf.DUMMYFUNCTION("""COMPUTED_VALUE"""),45658.6458333333)</f>
        <v>45658.645833333299</v>
      </c>
      <c r="B867" s="1">
        <f ca="1">IFERROR(__xludf.DUMMYFUNCTION("""COMPUTED_VALUE"""),1283.65)</f>
        <v>1283.6500000000001</v>
      </c>
      <c r="C867" s="3">
        <f t="shared" ca="1" si="26"/>
        <v>1.5604884328794912E-3</v>
      </c>
      <c r="D867">
        <f t="shared" ca="1" si="25"/>
        <v>1293.0979591836738</v>
      </c>
    </row>
    <row r="868" spans="1:4" x14ac:dyDescent="0.25">
      <c r="A868" s="2">
        <f ca="1">IFERROR(__xludf.DUMMYFUNCTION("""COMPUTED_VALUE"""),45659.6458333333)</f>
        <v>45659.645833333299</v>
      </c>
      <c r="B868" s="1">
        <f ca="1">IFERROR(__xludf.DUMMYFUNCTION("""COMPUTED_VALUE"""),1290.6)</f>
        <v>1290.5999999999999</v>
      </c>
      <c r="C868" s="3">
        <f t="shared" ca="1" si="26"/>
        <v>5.4142484322048986E-3</v>
      </c>
      <c r="D868">
        <f t="shared" ca="1" si="25"/>
        <v>1293.4887755102045</v>
      </c>
    </row>
    <row r="869" spans="1:4" x14ac:dyDescent="0.25">
      <c r="A869" s="2">
        <f ca="1">IFERROR(__xludf.DUMMYFUNCTION("""COMPUTED_VALUE"""),45660.6458333333)</f>
        <v>45660.645833333299</v>
      </c>
      <c r="B869" s="1">
        <f ca="1">IFERROR(__xludf.DUMMYFUNCTION("""COMPUTED_VALUE"""),1265.05)</f>
        <v>1265.05</v>
      </c>
      <c r="C869" s="3">
        <f t="shared" ca="1" si="26"/>
        <v>-1.9796993646365998E-2</v>
      </c>
      <c r="D869">
        <f t="shared" ca="1" si="25"/>
        <v>1294.1326530612248</v>
      </c>
    </row>
    <row r="870" spans="1:4" x14ac:dyDescent="0.25">
      <c r="A870" s="2">
        <f ca="1">IFERROR(__xludf.DUMMYFUNCTION("""COMPUTED_VALUE"""),45663.6458333333)</f>
        <v>45663.645833333299</v>
      </c>
      <c r="B870" s="1">
        <f ca="1">IFERROR(__xludf.DUMMYFUNCTION("""COMPUTED_VALUE"""),1264.1)</f>
        <v>1264.0999999999999</v>
      </c>
      <c r="C870" s="3">
        <f t="shared" ca="1" si="26"/>
        <v>-7.5095846013995134E-4</v>
      </c>
      <c r="D870">
        <f t="shared" ca="1" si="25"/>
        <v>1294.0826530612248</v>
      </c>
    </row>
    <row r="871" spans="1:4" x14ac:dyDescent="0.25">
      <c r="A871" s="2">
        <f ca="1">IFERROR(__xludf.DUMMYFUNCTION("""COMPUTED_VALUE"""),45664.6458333333)</f>
        <v>45664.645833333299</v>
      </c>
      <c r="B871" s="1">
        <f ca="1">IFERROR(__xludf.DUMMYFUNCTION("""COMPUTED_VALUE"""),1279.25)</f>
        <v>1279.25</v>
      </c>
      <c r="C871" s="3">
        <f t="shared" ca="1" si="26"/>
        <v>1.1984811328217777E-2</v>
      </c>
      <c r="D871">
        <f t="shared" ca="1" si="25"/>
        <v>1294.3377551020412</v>
      </c>
    </row>
    <row r="872" spans="1:4" x14ac:dyDescent="0.25">
      <c r="A872" s="2">
        <f ca="1">IFERROR(__xludf.DUMMYFUNCTION("""COMPUTED_VALUE"""),45665.6458333333)</f>
        <v>45665.645833333299</v>
      </c>
      <c r="B872" s="1">
        <f ca="1">IFERROR(__xludf.DUMMYFUNCTION("""COMPUTED_VALUE"""),1263.75)</f>
        <v>1263.75</v>
      </c>
      <c r="C872" s="3">
        <f t="shared" ca="1" si="26"/>
        <v>-1.2116474496775454E-2</v>
      </c>
      <c r="D872">
        <f t="shared" ca="1" si="25"/>
        <v>1294.8785714285718</v>
      </c>
    </row>
    <row r="873" spans="1:4" x14ac:dyDescent="0.25">
      <c r="A873" s="2">
        <f ca="1">IFERROR(__xludf.DUMMYFUNCTION("""COMPUTED_VALUE"""),45666.6458333333)</f>
        <v>45666.645833333299</v>
      </c>
      <c r="B873" s="1">
        <f ca="1">IFERROR(__xludf.DUMMYFUNCTION("""COMPUTED_VALUE"""),1262.4)</f>
        <v>1262.4000000000001</v>
      </c>
      <c r="C873" s="3">
        <f t="shared" ca="1" si="26"/>
        <v>-1.0682492581601654E-3</v>
      </c>
      <c r="D873">
        <f t="shared" ca="1" si="25"/>
        <v>1295.0479591836738</v>
      </c>
    </row>
    <row r="874" spans="1:4" x14ac:dyDescent="0.25">
      <c r="A874" s="2">
        <f ca="1">IFERROR(__xludf.DUMMYFUNCTION("""COMPUTED_VALUE"""),45667.6458333333)</f>
        <v>45667.645833333299</v>
      </c>
      <c r="B874" s="1">
        <f ca="1">IFERROR(__xludf.DUMMYFUNCTION("""COMPUTED_VALUE"""),1249.85)</f>
        <v>1249.8499999999999</v>
      </c>
      <c r="C874" s="3">
        <f t="shared" ca="1" si="26"/>
        <v>-9.9413814955641479E-3</v>
      </c>
      <c r="D874">
        <f t="shared" ca="1" si="25"/>
        <v>1294.4265306122452</v>
      </c>
    </row>
    <row r="875" spans="1:4" x14ac:dyDescent="0.25">
      <c r="A875" s="2">
        <f ca="1">IFERROR(__xludf.DUMMYFUNCTION("""COMPUTED_VALUE"""),45670.6458333333)</f>
        <v>45670.645833333299</v>
      </c>
      <c r="B875" s="1">
        <f ca="1">IFERROR(__xludf.DUMMYFUNCTION("""COMPUTED_VALUE"""),1229.75)</f>
        <v>1229.75</v>
      </c>
      <c r="C875" s="3">
        <f t="shared" ca="1" si="26"/>
        <v>-1.6081929831579717E-2</v>
      </c>
      <c r="D875">
        <f t="shared" ca="1" si="25"/>
        <v>1292.75306122449</v>
      </c>
    </row>
    <row r="876" spans="1:4" x14ac:dyDescent="0.25">
      <c r="A876" s="2">
        <f ca="1">IFERROR(__xludf.DUMMYFUNCTION("""COMPUTED_VALUE"""),45671.6458333333)</f>
        <v>45671.645833333299</v>
      </c>
      <c r="B876" s="1">
        <f ca="1">IFERROR(__xludf.DUMMYFUNCTION("""COMPUTED_VALUE"""),1240.3)</f>
        <v>1240.3</v>
      </c>
      <c r="C876" s="3">
        <f t="shared" ca="1" si="26"/>
        <v>8.5789794673713799E-3</v>
      </c>
      <c r="D876">
        <f t="shared" ca="1" si="25"/>
        <v>1291.0714285714289</v>
      </c>
    </row>
    <row r="877" spans="1:4" x14ac:dyDescent="0.25">
      <c r="A877" s="2">
        <f ca="1">IFERROR(__xludf.DUMMYFUNCTION("""COMPUTED_VALUE"""),45672.6458333333)</f>
        <v>45672.645833333299</v>
      </c>
      <c r="B877" s="1">
        <f ca="1">IFERROR(__xludf.DUMMYFUNCTION("""COMPUTED_VALUE"""),1238.25)</f>
        <v>1238.25</v>
      </c>
      <c r="C877" s="3">
        <f t="shared" ca="1" si="26"/>
        <v>-1.6528259292106382E-3</v>
      </c>
      <c r="D877">
        <f t="shared" ca="1" si="25"/>
        <v>1290.0112244897962</v>
      </c>
    </row>
    <row r="878" spans="1:4" x14ac:dyDescent="0.25">
      <c r="A878" s="2">
        <f ca="1">IFERROR(__xludf.DUMMYFUNCTION("""COMPUTED_VALUE"""),45673.6458333333)</f>
        <v>45673.645833333299</v>
      </c>
      <c r="B878" s="1">
        <f ca="1">IFERROR(__xludf.DUMMYFUNCTION("""COMPUTED_VALUE"""),1249.1)</f>
        <v>1249.0999999999999</v>
      </c>
      <c r="C878" s="3">
        <f t="shared" ca="1" si="26"/>
        <v>8.7623662426811293E-3</v>
      </c>
      <c r="D878">
        <f t="shared" ca="1" si="25"/>
        <v>1289.2163265306126</v>
      </c>
    </row>
    <row r="879" spans="1:4" x14ac:dyDescent="0.25">
      <c r="A879" s="2">
        <f ca="1">IFERROR(__xludf.DUMMYFUNCTION("""COMPUTED_VALUE"""),45674.6458333333)</f>
        <v>45674.645833333299</v>
      </c>
      <c r="B879" s="1">
        <f ca="1">IFERROR(__xludf.DUMMYFUNCTION("""COMPUTED_VALUE"""),1225.45)</f>
        <v>1225.45</v>
      </c>
      <c r="C879" s="3">
        <f t="shared" ca="1" si="26"/>
        <v>-1.8933632215194833E-2</v>
      </c>
      <c r="D879">
        <f t="shared" ca="1" si="25"/>
        <v>1288.2448979591841</v>
      </c>
    </row>
    <row r="880" spans="1:4" x14ac:dyDescent="0.25">
      <c r="A880" s="2">
        <f ca="1">IFERROR(__xludf.DUMMYFUNCTION("""COMPUTED_VALUE"""),45677.6458333333)</f>
        <v>45677.645833333299</v>
      </c>
      <c r="B880" s="1">
        <f ca="1">IFERROR(__xludf.DUMMYFUNCTION("""COMPUTED_VALUE"""),1232.95)</f>
        <v>1232.95</v>
      </c>
      <c r="C880" s="3">
        <f t="shared" ca="1" si="26"/>
        <v>6.120200742584357E-3</v>
      </c>
      <c r="D880">
        <f t="shared" ca="1" si="25"/>
        <v>1286.675510204082</v>
      </c>
    </row>
    <row r="881" spans="1:4" x14ac:dyDescent="0.25">
      <c r="A881" s="2">
        <f ca="1">IFERROR(__xludf.DUMMYFUNCTION("""COMPUTED_VALUE"""),45678.6458333333)</f>
        <v>45678.645833333299</v>
      </c>
      <c r="B881" s="1">
        <f ca="1">IFERROR(__xludf.DUMMYFUNCTION("""COMPUTED_VALUE"""),1196.15)</f>
        <v>1196.1500000000001</v>
      </c>
      <c r="C881" s="3">
        <f t="shared" ca="1" si="26"/>
        <v>-2.9847114643740583E-2</v>
      </c>
      <c r="D881">
        <f t="shared" ca="1" si="25"/>
        <v>1285.7418367346941</v>
      </c>
    </row>
    <row r="882" spans="1:4" x14ac:dyDescent="0.25">
      <c r="A882" s="2">
        <f ca="1">IFERROR(__xludf.DUMMYFUNCTION("""COMPUTED_VALUE"""),45679.6458333333)</f>
        <v>45679.645833333299</v>
      </c>
      <c r="B882" s="1">
        <f ca="1">IFERROR(__xludf.DUMMYFUNCTION("""COMPUTED_VALUE"""),1200.45)</f>
        <v>1200.45</v>
      </c>
      <c r="C882" s="3">
        <f t="shared" ca="1" si="26"/>
        <v>3.5948668645236419E-3</v>
      </c>
      <c r="D882">
        <f t="shared" ca="1" si="25"/>
        <v>1284.4622448979594</v>
      </c>
    </row>
    <row r="883" spans="1:4" x14ac:dyDescent="0.25">
      <c r="A883" s="2">
        <f ca="1">IFERROR(__xludf.DUMMYFUNCTION("""COMPUTED_VALUE"""),45680.6458333333)</f>
        <v>45680.645833333299</v>
      </c>
      <c r="B883" s="1">
        <f ca="1">IFERROR(__xludf.DUMMYFUNCTION("""COMPUTED_VALUE"""),1201.75)</f>
        <v>1201.75</v>
      </c>
      <c r="C883" s="3">
        <f t="shared" ca="1" si="26"/>
        <v>1.0829272356199379E-3</v>
      </c>
      <c r="D883">
        <f t="shared" ca="1" si="25"/>
        <v>1283.0571428571432</v>
      </c>
    </row>
    <row r="884" spans="1:4" x14ac:dyDescent="0.25">
      <c r="A884" s="2">
        <f ca="1">IFERROR(__xludf.DUMMYFUNCTION("""COMPUTED_VALUE"""),45681.6458333333)</f>
        <v>45681.645833333299</v>
      </c>
      <c r="B884" s="1">
        <f ca="1">IFERROR(__xludf.DUMMYFUNCTION("""COMPUTED_VALUE"""),1209.2)</f>
        <v>1209.2</v>
      </c>
      <c r="C884" s="3">
        <f t="shared" ca="1" si="26"/>
        <v>6.1992926981485714E-3</v>
      </c>
      <c r="D884">
        <f t="shared" ref="D884:D947" ca="1" si="27">AVERAGE(B835:B883)</f>
        <v>1281.6520408163267</v>
      </c>
    </row>
    <row r="885" spans="1:4" x14ac:dyDescent="0.25">
      <c r="A885" s="2">
        <f ca="1">IFERROR(__xludf.DUMMYFUNCTION("""COMPUTED_VALUE"""),45684.6458333333)</f>
        <v>45684.645833333299</v>
      </c>
      <c r="B885" s="1">
        <f ca="1">IFERROR(__xludf.DUMMYFUNCTION("""COMPUTED_VALUE"""),1227.95)</f>
        <v>1227.95</v>
      </c>
      <c r="C885" s="3">
        <f t="shared" ca="1" si="26"/>
        <v>1.5506119748594111E-2</v>
      </c>
      <c r="D885">
        <f t="shared" ca="1" si="27"/>
        <v>1280.7438775510204</v>
      </c>
    </row>
    <row r="886" spans="1:4" x14ac:dyDescent="0.25">
      <c r="A886" s="2">
        <f ca="1">IFERROR(__xludf.DUMMYFUNCTION("""COMPUTED_VALUE"""),45685.6458333333)</f>
        <v>45685.645833333299</v>
      </c>
      <c r="B886" s="1">
        <f ca="1">IFERROR(__xludf.DUMMYFUNCTION("""COMPUTED_VALUE"""),1246.9)</f>
        <v>1246.9000000000001</v>
      </c>
      <c r="C886" s="3">
        <f t="shared" ca="1" si="26"/>
        <v>1.5432224439105864E-2</v>
      </c>
      <c r="D886">
        <f t="shared" ca="1" si="27"/>
        <v>1280.1520408163265</v>
      </c>
    </row>
    <row r="887" spans="1:4" x14ac:dyDescent="0.25">
      <c r="A887" s="2">
        <f ca="1">IFERROR(__xludf.DUMMYFUNCTION("""COMPUTED_VALUE"""),45686.6458333333)</f>
        <v>45686.645833333299</v>
      </c>
      <c r="B887" s="1">
        <f ca="1">IFERROR(__xludf.DUMMYFUNCTION("""COMPUTED_VALUE"""),1251.65)</f>
        <v>1251.6500000000001</v>
      </c>
      <c r="C887" s="3">
        <f t="shared" ca="1" si="26"/>
        <v>3.8094474296254707E-3</v>
      </c>
      <c r="D887">
        <f t="shared" ca="1" si="27"/>
        <v>1280.0183673469387</v>
      </c>
    </row>
    <row r="888" spans="1:4" x14ac:dyDescent="0.25">
      <c r="A888" s="2">
        <f ca="1">IFERROR(__xludf.DUMMYFUNCTION("""COMPUTED_VALUE"""),45687.6458333333)</f>
        <v>45687.645833333299</v>
      </c>
      <c r="B888" s="1">
        <f ca="1">IFERROR(__xludf.DUMMYFUNCTION("""COMPUTED_VALUE"""),1255.6)</f>
        <v>1255.5999999999999</v>
      </c>
      <c r="C888" s="3">
        <f t="shared" ca="1" si="26"/>
        <v>3.1558342987255367E-3</v>
      </c>
      <c r="D888">
        <f t="shared" ca="1" si="27"/>
        <v>1280.0704081632653</v>
      </c>
    </row>
    <row r="889" spans="1:4" x14ac:dyDescent="0.25">
      <c r="A889" s="2">
        <f ca="1">IFERROR(__xludf.DUMMYFUNCTION("""COMPUTED_VALUE"""),45688.6458333333)</f>
        <v>45688.645833333299</v>
      </c>
      <c r="B889" s="1">
        <f ca="1">IFERROR(__xludf.DUMMYFUNCTION("""COMPUTED_VALUE"""),1252.8)</f>
        <v>1252.8</v>
      </c>
      <c r="C889" s="3">
        <f t="shared" ca="1" si="26"/>
        <v>-2.2300095571837803E-3</v>
      </c>
      <c r="D889">
        <f t="shared" ca="1" si="27"/>
        <v>1280.1734693877549</v>
      </c>
    </row>
    <row r="890" spans="1:4" x14ac:dyDescent="0.25">
      <c r="A890" s="2">
        <f ca="1">IFERROR(__xludf.DUMMYFUNCTION("""COMPUTED_VALUE"""),45691.6458333333)</f>
        <v>45691.645833333299</v>
      </c>
      <c r="B890" s="1">
        <f ca="1">IFERROR(__xludf.DUMMYFUNCTION("""COMPUTED_VALUE"""),1253)</f>
        <v>1253</v>
      </c>
      <c r="C890" s="3">
        <f t="shared" ca="1" si="26"/>
        <v>1.5964240102174767E-4</v>
      </c>
      <c r="D890">
        <f t="shared" ca="1" si="27"/>
        <v>1279.658163265306</v>
      </c>
    </row>
    <row r="891" spans="1:4" x14ac:dyDescent="0.25">
      <c r="A891" s="2">
        <f ca="1">IFERROR(__xludf.DUMMYFUNCTION("""COMPUTED_VALUE"""),45692.6458333333)</f>
        <v>45692.645833333299</v>
      </c>
      <c r="B891" s="1">
        <f ca="1">IFERROR(__xludf.DUMMYFUNCTION("""COMPUTED_VALUE"""),1268.2)</f>
        <v>1268.2</v>
      </c>
      <c r="C891" s="3">
        <f t="shared" ca="1" si="26"/>
        <v>1.213088587390267E-2</v>
      </c>
      <c r="D891">
        <f t="shared" ca="1" si="27"/>
        <v>1278.6795918367345</v>
      </c>
    </row>
    <row r="892" spans="1:4" x14ac:dyDescent="0.25">
      <c r="A892" s="2">
        <f ca="1">IFERROR(__xludf.DUMMYFUNCTION("""COMPUTED_VALUE"""),45693.6458333333)</f>
        <v>45693.645833333299</v>
      </c>
      <c r="B892" s="1">
        <f ca="1">IFERROR(__xludf.DUMMYFUNCTION("""COMPUTED_VALUE"""),1267.7)</f>
        <v>1267.7</v>
      </c>
      <c r="C892" s="3">
        <f t="shared" ca="1" si="26"/>
        <v>-3.9425958050780632E-4</v>
      </c>
      <c r="D892">
        <f t="shared" ca="1" si="27"/>
        <v>1277.9295918367345</v>
      </c>
    </row>
    <row r="893" spans="1:4" x14ac:dyDescent="0.25">
      <c r="A893" s="2">
        <f ca="1">IFERROR(__xludf.DUMMYFUNCTION("""COMPUTED_VALUE"""),45694.6458333333)</f>
        <v>45694.645833333299</v>
      </c>
      <c r="B893" s="1">
        <f ca="1">IFERROR(__xludf.DUMMYFUNCTION("""COMPUTED_VALUE"""),1272.4)</f>
        <v>1272.4000000000001</v>
      </c>
      <c r="C893" s="3">
        <f t="shared" ca="1" si="26"/>
        <v>3.7075017748679066E-3</v>
      </c>
      <c r="D893">
        <f t="shared" ca="1" si="27"/>
        <v>1277.2561224489793</v>
      </c>
    </row>
    <row r="894" spans="1:4" x14ac:dyDescent="0.25">
      <c r="A894" s="2">
        <f ca="1">IFERROR(__xludf.DUMMYFUNCTION("""COMPUTED_VALUE"""),45695.6458333333)</f>
        <v>45695.645833333299</v>
      </c>
      <c r="B894" s="1">
        <f ca="1">IFERROR(__xludf.DUMMYFUNCTION("""COMPUTED_VALUE"""),1256.9)</f>
        <v>1256.9000000000001</v>
      </c>
      <c r="C894" s="3">
        <f t="shared" ca="1" si="26"/>
        <v>-1.2181703866708582E-2</v>
      </c>
      <c r="D894">
        <f t="shared" ca="1" si="27"/>
        <v>1276.9714285714283</v>
      </c>
    </row>
    <row r="895" spans="1:4" x14ac:dyDescent="0.25">
      <c r="A895" s="2">
        <f ca="1">IFERROR(__xludf.DUMMYFUNCTION("""COMPUTED_VALUE"""),45698.6458333333)</f>
        <v>45698.645833333299</v>
      </c>
      <c r="B895" s="1">
        <f ca="1">IFERROR(__xludf.DUMMYFUNCTION("""COMPUTED_VALUE"""),1262.6)</f>
        <v>1262.5999999999999</v>
      </c>
      <c r="C895" s="3">
        <f t="shared" ca="1" si="26"/>
        <v>4.5349669822577912E-3</v>
      </c>
      <c r="D895">
        <f t="shared" ca="1" si="27"/>
        <v>1276.0897959183671</v>
      </c>
    </row>
    <row r="896" spans="1:4" x14ac:dyDescent="0.25">
      <c r="A896" s="2">
        <f ca="1">IFERROR(__xludf.DUMMYFUNCTION("""COMPUTED_VALUE"""),45699.6458333333)</f>
        <v>45699.645833333299</v>
      </c>
      <c r="B896" s="1">
        <f ca="1">IFERROR(__xludf.DUMMYFUNCTION("""COMPUTED_VALUE"""),1252.75)</f>
        <v>1252.75</v>
      </c>
      <c r="C896" s="3">
        <f t="shared" ca="1" si="26"/>
        <v>-7.8013622683351103E-3</v>
      </c>
      <c r="D896">
        <f t="shared" ca="1" si="27"/>
        <v>1275.2316326530611</v>
      </c>
    </row>
    <row r="897" spans="1:4" x14ac:dyDescent="0.25">
      <c r="A897" s="2">
        <f ca="1">IFERROR(__xludf.DUMMYFUNCTION("""COMPUTED_VALUE"""),45700.6458333333)</f>
        <v>45700.645833333299</v>
      </c>
      <c r="B897" s="1">
        <f ca="1">IFERROR(__xludf.DUMMYFUNCTION("""COMPUTED_VALUE"""),1251.8)</f>
        <v>1251.8</v>
      </c>
      <c r="C897" s="3">
        <f t="shared" ca="1" si="26"/>
        <v>-7.5833167032532064E-4</v>
      </c>
      <c r="D897">
        <f t="shared" ca="1" si="27"/>
        <v>1274.0959183673465</v>
      </c>
    </row>
    <row r="898" spans="1:4" x14ac:dyDescent="0.25">
      <c r="A898" s="2">
        <f ca="1">IFERROR(__xludf.DUMMYFUNCTION("""COMPUTED_VALUE"""),45701.6458333333)</f>
        <v>45701.645833333299</v>
      </c>
      <c r="B898" s="1">
        <f ca="1">IFERROR(__xludf.DUMMYFUNCTION("""COMPUTED_VALUE"""),1248.9)</f>
        <v>1248.9000000000001</v>
      </c>
      <c r="C898" s="3">
        <f t="shared" ca="1" si="26"/>
        <v>-2.3166640038343694E-3</v>
      </c>
      <c r="D898">
        <f t="shared" ca="1" si="27"/>
        <v>1272.7846938775508</v>
      </c>
    </row>
    <row r="899" spans="1:4" x14ac:dyDescent="0.25">
      <c r="A899" s="2">
        <f ca="1">IFERROR(__xludf.DUMMYFUNCTION("""COMPUTED_VALUE"""),45702.6458333333)</f>
        <v>45702.645833333299</v>
      </c>
      <c r="B899" s="1">
        <f ca="1">IFERROR(__xludf.DUMMYFUNCTION("""COMPUTED_VALUE"""),1260.1)</f>
        <v>1260.0999999999999</v>
      </c>
      <c r="C899" s="3">
        <f t="shared" ca="1" si="26"/>
        <v>8.9678917447352201E-3</v>
      </c>
      <c r="D899">
        <f t="shared" ca="1" si="27"/>
        <v>1270.99693877551</v>
      </c>
    </row>
    <row r="900" spans="1:4" x14ac:dyDescent="0.25">
      <c r="A900" s="2">
        <f ca="1">IFERROR(__xludf.DUMMYFUNCTION("""COMPUTED_VALUE"""),45705.6458333333)</f>
        <v>45705.645833333299</v>
      </c>
      <c r="B900" s="1">
        <f ca="1">IFERROR(__xludf.DUMMYFUNCTION("""COMPUTED_VALUE"""),1251.15)</f>
        <v>1251.1500000000001</v>
      </c>
      <c r="C900" s="3">
        <f t="shared" ref="C900:C963" ca="1" si="28">(B900-B899)/B899</f>
        <v>-7.1026109038963723E-3</v>
      </c>
      <c r="D900">
        <f t="shared" ca="1" si="27"/>
        <v>1269.5959183673467</v>
      </c>
    </row>
    <row r="901" spans="1:4" x14ac:dyDescent="0.25">
      <c r="A901" s="2">
        <f ca="1">IFERROR(__xludf.DUMMYFUNCTION("""COMPUTED_VALUE"""),45706.6458333333)</f>
        <v>45706.645833333299</v>
      </c>
      <c r="B901" s="1">
        <f ca="1">IFERROR(__xludf.DUMMYFUNCTION("""COMPUTED_VALUE"""),1243.05)</f>
        <v>1243.05</v>
      </c>
      <c r="C901" s="3">
        <f t="shared" ca="1" si="28"/>
        <v>-6.4740438796308487E-3</v>
      </c>
      <c r="D901">
        <f t="shared" ca="1" si="27"/>
        <v>1268.1438775510201</v>
      </c>
    </row>
    <row r="902" spans="1:4" x14ac:dyDescent="0.25">
      <c r="A902" s="2">
        <f ca="1">IFERROR(__xludf.DUMMYFUNCTION("""COMPUTED_VALUE"""),45707.6458333333)</f>
        <v>45707.645833333299</v>
      </c>
      <c r="B902" s="1">
        <f ca="1">IFERROR(__xludf.DUMMYFUNCTION("""COMPUTED_VALUE"""),1261.65)</f>
        <v>1261.6500000000001</v>
      </c>
      <c r="C902" s="3">
        <f t="shared" ca="1" si="28"/>
        <v>1.4963195366236384E-2</v>
      </c>
      <c r="D902">
        <f t="shared" ca="1" si="27"/>
        <v>1266.3602040816324</v>
      </c>
    </row>
    <row r="903" spans="1:4" x14ac:dyDescent="0.25">
      <c r="A903" s="2">
        <f ca="1">IFERROR(__xludf.DUMMYFUNCTION("""COMPUTED_VALUE"""),45708.6458333333)</f>
        <v>45708.645833333299</v>
      </c>
      <c r="B903" s="1">
        <f ca="1">IFERROR(__xludf.DUMMYFUNCTION("""COMPUTED_VALUE"""),1249.95)</f>
        <v>1249.95</v>
      </c>
      <c r="C903" s="3">
        <f t="shared" ca="1" si="28"/>
        <v>-9.2735703245749972E-3</v>
      </c>
      <c r="D903">
        <f t="shared" ca="1" si="27"/>
        <v>1265.0163265306121</v>
      </c>
    </row>
    <row r="904" spans="1:4" x14ac:dyDescent="0.25">
      <c r="A904" s="2">
        <f ca="1">IFERROR(__xludf.DUMMYFUNCTION("""COMPUTED_VALUE"""),45709.6458333333)</f>
        <v>45709.645833333299</v>
      </c>
      <c r="B904" s="1">
        <f ca="1">IFERROR(__xludf.DUMMYFUNCTION("""COMPUTED_VALUE"""),1232.95)</f>
        <v>1232.95</v>
      </c>
      <c r="C904" s="3">
        <f t="shared" ca="1" si="28"/>
        <v>-1.360054402176087E-2</v>
      </c>
      <c r="D904">
        <f t="shared" ca="1" si="27"/>
        <v>1263.3979591836733</v>
      </c>
    </row>
    <row r="905" spans="1:4" x14ac:dyDescent="0.25">
      <c r="A905" s="2">
        <f ca="1">IFERROR(__xludf.DUMMYFUNCTION("""COMPUTED_VALUE"""),45712.6458333333)</f>
        <v>45712.645833333299</v>
      </c>
      <c r="B905" s="1">
        <f ca="1">IFERROR(__xludf.DUMMYFUNCTION("""COMPUTED_VALUE"""),1218.35)</f>
        <v>1218.3499999999999</v>
      </c>
      <c r="C905" s="3">
        <f t="shared" ca="1" si="28"/>
        <v>-1.1841518309745031E-2</v>
      </c>
      <c r="D905">
        <f t="shared" ca="1" si="27"/>
        <v>1261.1132653061222</v>
      </c>
    </row>
    <row r="906" spans="1:4" x14ac:dyDescent="0.25">
      <c r="A906" s="2">
        <f ca="1">IFERROR(__xludf.DUMMYFUNCTION("""COMPUTED_VALUE"""),45713.6458333333)</f>
        <v>45713.645833333299</v>
      </c>
      <c r="B906" s="1">
        <f ca="1">IFERROR(__xludf.DUMMYFUNCTION("""COMPUTED_VALUE"""),1224.15)</f>
        <v>1224.1500000000001</v>
      </c>
      <c r="C906" s="3">
        <f t="shared" ca="1" si="28"/>
        <v>4.7605367915625084E-3</v>
      </c>
      <c r="D906">
        <f t="shared" ca="1" si="27"/>
        <v>1258.5061224489796</v>
      </c>
    </row>
    <row r="907" spans="1:4" x14ac:dyDescent="0.25">
      <c r="A907" s="2">
        <f ca="1">IFERROR(__xludf.DUMMYFUNCTION("""COMPUTED_VALUE"""),45715.6458333333)</f>
        <v>45715.645833333299</v>
      </c>
      <c r="B907" s="1">
        <f ca="1">IFERROR(__xludf.DUMMYFUNCTION("""COMPUTED_VALUE"""),1222.45)</f>
        <v>1222.45</v>
      </c>
      <c r="C907" s="3">
        <f t="shared" ca="1" si="28"/>
        <v>-1.38871870277339E-3</v>
      </c>
      <c r="D907">
        <f t="shared" ca="1" si="27"/>
        <v>1256.2693877551019</v>
      </c>
    </row>
    <row r="908" spans="1:4" x14ac:dyDescent="0.25">
      <c r="A908" s="2">
        <f ca="1">IFERROR(__xludf.DUMMYFUNCTION("""COMPUTED_VALUE"""),45716.6458333333)</f>
        <v>45716.645833333299</v>
      </c>
      <c r="B908" s="1">
        <f ca="1">IFERROR(__xludf.DUMMYFUNCTION("""COMPUTED_VALUE"""),1204.1)</f>
        <v>1204.0999999999999</v>
      </c>
      <c r="C908" s="3">
        <f t="shared" ca="1" si="28"/>
        <v>-1.5010838889116231E-2</v>
      </c>
      <c r="D908">
        <f t="shared" ca="1" si="27"/>
        <v>1254.3979591836735</v>
      </c>
    </row>
    <row r="909" spans="1:4" x14ac:dyDescent="0.25">
      <c r="A909" s="2">
        <f ca="1">IFERROR(__xludf.DUMMYFUNCTION("""COMPUTED_VALUE"""),45719.6458333333)</f>
        <v>45719.645833333299</v>
      </c>
      <c r="B909" s="1">
        <f ca="1">IFERROR(__xludf.DUMMYFUNCTION("""COMPUTED_VALUE"""),1206.2)</f>
        <v>1206.2</v>
      </c>
      <c r="C909" s="3">
        <f t="shared" ca="1" si="28"/>
        <v>1.7440411925920909E-3</v>
      </c>
      <c r="D909">
        <f t="shared" ca="1" si="27"/>
        <v>1252.708163265306</v>
      </c>
    </row>
    <row r="910" spans="1:4" x14ac:dyDescent="0.25">
      <c r="A910" s="2">
        <f ca="1">IFERROR(__xludf.DUMMYFUNCTION("""COMPUTED_VALUE"""),45720.6458333333)</f>
        <v>45720.645833333299</v>
      </c>
      <c r="B910" s="1">
        <f ca="1">IFERROR(__xludf.DUMMYFUNCTION("""COMPUTED_VALUE"""),1210.4)</f>
        <v>1210.4000000000001</v>
      </c>
      <c r="C910" s="3">
        <f t="shared" ca="1" si="28"/>
        <v>3.4820096169789795E-3</v>
      </c>
      <c r="D910">
        <f t="shared" ca="1" si="27"/>
        <v>1251.0306122448978</v>
      </c>
    </row>
    <row r="911" spans="1:4" x14ac:dyDescent="0.25">
      <c r="A911" s="2">
        <f ca="1">IFERROR(__xludf.DUMMYFUNCTION("""COMPUTED_VALUE"""),45721.6458333333)</f>
        <v>45721.645833333299</v>
      </c>
      <c r="B911" s="1">
        <f ca="1">IFERROR(__xludf.DUMMYFUNCTION("""COMPUTED_VALUE"""),1215.7)</f>
        <v>1215.7</v>
      </c>
      <c r="C911" s="3">
        <f t="shared" ca="1" si="28"/>
        <v>4.3787177792464918E-3</v>
      </c>
      <c r="D911">
        <f t="shared" ca="1" si="27"/>
        <v>1249.2673469387755</v>
      </c>
    </row>
    <row r="912" spans="1:4" x14ac:dyDescent="0.25">
      <c r="A912" s="2">
        <f ca="1">IFERROR(__xludf.DUMMYFUNCTION("""COMPUTED_VALUE"""),45722.6458333333)</f>
        <v>45722.645833333299</v>
      </c>
      <c r="B912" s="1">
        <f ca="1">IFERROR(__xludf.DUMMYFUNCTION("""COMPUTED_VALUE"""),1218.05)</f>
        <v>1218.05</v>
      </c>
      <c r="C912" s="3">
        <f t="shared" ca="1" si="28"/>
        <v>1.9330426914534087E-3</v>
      </c>
      <c r="D912">
        <f t="shared" ca="1" si="27"/>
        <v>1247.6030612244897</v>
      </c>
    </row>
    <row r="913" spans="1:4" x14ac:dyDescent="0.25">
      <c r="A913" s="2">
        <f ca="1">IFERROR(__xludf.DUMMYFUNCTION("""COMPUTED_VALUE"""),45723.6458333333)</f>
        <v>45723.645833333299</v>
      </c>
      <c r="B913" s="1">
        <f ca="1">IFERROR(__xludf.DUMMYFUNCTION("""COMPUTED_VALUE"""),1214.55)</f>
        <v>1214.55</v>
      </c>
      <c r="C913" s="3">
        <f t="shared" ca="1" si="28"/>
        <v>-2.8734452608677806E-3</v>
      </c>
      <c r="D913">
        <f t="shared" ca="1" si="27"/>
        <v>1245.9846938775509</v>
      </c>
    </row>
    <row r="914" spans="1:4" x14ac:dyDescent="0.25">
      <c r="A914" s="2">
        <f ca="1">IFERROR(__xludf.DUMMYFUNCTION("""COMPUTED_VALUE"""),45726.6458333333)</f>
        <v>45726.645833333299</v>
      </c>
      <c r="B914" s="1">
        <f ca="1">IFERROR(__xludf.DUMMYFUNCTION("""COMPUTED_VALUE"""),1214.85)</f>
        <v>1214.8499999999999</v>
      </c>
      <c r="C914" s="3">
        <f t="shared" ca="1" si="28"/>
        <v>2.4700506360376647E-4</v>
      </c>
      <c r="D914">
        <f t="shared" ca="1" si="27"/>
        <v>1244.0867346938776</v>
      </c>
    </row>
    <row r="915" spans="1:4" x14ac:dyDescent="0.25">
      <c r="A915" s="2">
        <f ca="1">IFERROR(__xludf.DUMMYFUNCTION("""COMPUTED_VALUE"""),45727.6458333333)</f>
        <v>45727.645833333299</v>
      </c>
      <c r="B915" s="1">
        <f ca="1">IFERROR(__xludf.DUMMYFUNCTION("""COMPUTED_VALUE"""),1245.4)</f>
        <v>1245.4000000000001</v>
      </c>
      <c r="C915" s="3">
        <f t="shared" ca="1" si="28"/>
        <v>2.5147137506688219E-2</v>
      </c>
      <c r="D915">
        <f t="shared" ca="1" si="27"/>
        <v>1242.4581632653062</v>
      </c>
    </row>
    <row r="916" spans="1:4" x14ac:dyDescent="0.25">
      <c r="A916" s="2">
        <f ca="1">IFERROR(__xludf.DUMMYFUNCTION("""COMPUTED_VALUE"""),45728.6458333333)</f>
        <v>45728.645833333299</v>
      </c>
      <c r="B916" s="1">
        <f ca="1">IFERROR(__xludf.DUMMYFUNCTION("""COMPUTED_VALUE"""),1243.95)</f>
        <v>1243.95</v>
      </c>
      <c r="C916" s="3">
        <f t="shared" ca="1" si="28"/>
        <v>-1.1642845672073594E-3</v>
      </c>
      <c r="D916">
        <f t="shared" ca="1" si="27"/>
        <v>1241.718367346939</v>
      </c>
    </row>
    <row r="917" spans="1:4" x14ac:dyDescent="0.25">
      <c r="A917" s="2">
        <f ca="1">IFERROR(__xludf.DUMMYFUNCTION("""COMPUTED_VALUE"""),45729.6458333333)</f>
        <v>45729.645833333299</v>
      </c>
      <c r="B917" s="1">
        <f ca="1">IFERROR(__xludf.DUMMYFUNCTION("""COMPUTED_VALUE"""),1250.05)</f>
        <v>1250.05</v>
      </c>
      <c r="C917" s="3">
        <f t="shared" ca="1" si="28"/>
        <v>4.903734072912825E-3</v>
      </c>
      <c r="D917">
        <f t="shared" ca="1" si="27"/>
        <v>1240.908163265306</v>
      </c>
    </row>
    <row r="918" spans="1:4" x14ac:dyDescent="0.25">
      <c r="A918" s="2">
        <f ca="1">IFERROR(__xludf.DUMMYFUNCTION("""COMPUTED_VALUE"""),45733.6458333333)</f>
        <v>45733.645833333299</v>
      </c>
      <c r="B918" s="1">
        <f ca="1">IFERROR(__xludf.DUMMYFUNCTION("""COMPUTED_VALUE"""),1269)</f>
        <v>1269</v>
      </c>
      <c r="C918" s="3">
        <f t="shared" ca="1" si="28"/>
        <v>1.5159393624255066E-2</v>
      </c>
      <c r="D918">
        <f t="shared" ca="1" si="27"/>
        <v>1240.080612244898</v>
      </c>
    </row>
    <row r="919" spans="1:4" x14ac:dyDescent="0.25">
      <c r="A919" s="2">
        <f ca="1">IFERROR(__xludf.DUMMYFUNCTION("""COMPUTED_VALUE"""),45734.6458333333)</f>
        <v>45734.645833333299</v>
      </c>
      <c r="B919" s="1">
        <f ca="1">IFERROR(__xludf.DUMMYFUNCTION("""COMPUTED_VALUE"""),1309.85)</f>
        <v>1309.8499999999999</v>
      </c>
      <c r="C919" s="3">
        <f t="shared" ca="1" si="28"/>
        <v>3.2190701339637438E-2</v>
      </c>
      <c r="D919">
        <f t="shared" ca="1" si="27"/>
        <v>1240.161224489796</v>
      </c>
    </row>
    <row r="920" spans="1:4" x14ac:dyDescent="0.25">
      <c r="A920" s="2">
        <f ca="1">IFERROR(__xludf.DUMMYFUNCTION("""COMPUTED_VALUE"""),45735.6458333333)</f>
        <v>45735.645833333299</v>
      </c>
      <c r="B920" s="1">
        <f ca="1">IFERROR(__xludf.DUMMYFUNCTION("""COMPUTED_VALUE"""),1313.1)</f>
        <v>1313.1</v>
      </c>
      <c r="C920" s="3">
        <f t="shared" ca="1" si="28"/>
        <v>2.4812001374203154E-3</v>
      </c>
      <c r="D920">
        <f t="shared" ca="1" si="27"/>
        <v>1241.0948979591838</v>
      </c>
    </row>
    <row r="921" spans="1:4" x14ac:dyDescent="0.25">
      <c r="A921" s="2">
        <f ca="1">IFERROR(__xludf.DUMMYFUNCTION("""COMPUTED_VALUE"""),45736.6458333333)</f>
        <v>45736.645833333299</v>
      </c>
      <c r="B921" s="1">
        <f ca="1">IFERROR(__xludf.DUMMYFUNCTION("""COMPUTED_VALUE"""),1321.7)</f>
        <v>1321.7</v>
      </c>
      <c r="C921" s="3">
        <f t="shared" ca="1" si="28"/>
        <v>6.5493869469196078E-3</v>
      </c>
      <c r="D921">
        <f t="shared" ca="1" si="27"/>
        <v>1241.7857142857142</v>
      </c>
    </row>
    <row r="922" spans="1:4" x14ac:dyDescent="0.25">
      <c r="A922" s="2">
        <f ca="1">IFERROR(__xludf.DUMMYFUNCTION("""COMPUTED_VALUE"""),45737.6458333333)</f>
        <v>45737.645833333299</v>
      </c>
      <c r="B922" s="1">
        <f ca="1">IFERROR(__xludf.DUMMYFUNCTION("""COMPUTED_VALUE"""),1343.1)</f>
        <v>1343.1</v>
      </c>
      <c r="C922" s="3">
        <f t="shared" ca="1" si="28"/>
        <v>1.6191268820458397E-2</v>
      </c>
      <c r="D922">
        <f t="shared" ca="1" si="27"/>
        <v>1242.9683673469387</v>
      </c>
    </row>
    <row r="923" spans="1:4" x14ac:dyDescent="0.25">
      <c r="A923" s="2">
        <f ca="1">IFERROR(__xludf.DUMMYFUNCTION("""COMPUTED_VALUE"""),45740.6458333333)</f>
        <v>45740.645833333299</v>
      </c>
      <c r="B923" s="1">
        <f ca="1">IFERROR(__xludf.DUMMYFUNCTION("""COMPUTED_VALUE"""),1358.15)</f>
        <v>1358.15</v>
      </c>
      <c r="C923" s="3">
        <f t="shared" ca="1" si="28"/>
        <v>1.1205420296329524E-2</v>
      </c>
      <c r="D923">
        <f t="shared" ca="1" si="27"/>
        <v>1244.6153061224486</v>
      </c>
    </row>
    <row r="924" spans="1:4" x14ac:dyDescent="0.25">
      <c r="A924" s="2">
        <f ca="1">IFERROR(__xludf.DUMMYFUNCTION("""COMPUTED_VALUE"""),45741.6458333333)</f>
        <v>45741.645833333299</v>
      </c>
      <c r="B924" s="1">
        <f ca="1">IFERROR(__xludf.DUMMYFUNCTION("""COMPUTED_VALUE"""),1343.7)</f>
        <v>1343.7</v>
      </c>
      <c r="C924" s="3">
        <f t="shared" ca="1" si="28"/>
        <v>-1.0639472812281446E-2</v>
      </c>
      <c r="D924">
        <f t="shared" ca="1" si="27"/>
        <v>1246.8255102040814</v>
      </c>
    </row>
    <row r="925" spans="1:4" x14ac:dyDescent="0.25">
      <c r="A925" s="2">
        <f ca="1">IFERROR(__xludf.DUMMYFUNCTION("""COMPUTED_VALUE"""),45742.6458333333)</f>
        <v>45742.645833333299</v>
      </c>
      <c r="B925" s="1">
        <f ca="1">IFERROR(__xludf.DUMMYFUNCTION("""COMPUTED_VALUE"""),1335.9)</f>
        <v>1335.9</v>
      </c>
      <c r="C925" s="3">
        <f t="shared" ca="1" si="28"/>
        <v>-5.8048671578477002E-3</v>
      </c>
      <c r="D925">
        <f t="shared" ca="1" si="27"/>
        <v>1249.151020408163</v>
      </c>
    </row>
    <row r="926" spans="1:4" x14ac:dyDescent="0.25">
      <c r="A926" s="2">
        <f ca="1">IFERROR(__xludf.DUMMYFUNCTION("""COMPUTED_VALUE"""),45743.6458333333)</f>
        <v>45743.645833333299</v>
      </c>
      <c r="B926" s="1">
        <f ca="1">IFERROR(__xludf.DUMMYFUNCTION("""COMPUTED_VALUE"""),1336.65)</f>
        <v>1336.65</v>
      </c>
      <c r="C926" s="3">
        <f t="shared" ca="1" si="28"/>
        <v>5.6141926790927458E-4</v>
      </c>
      <c r="D926">
        <f t="shared" ca="1" si="27"/>
        <v>1251.1020408163263</v>
      </c>
    </row>
    <row r="927" spans="1:4" x14ac:dyDescent="0.25">
      <c r="A927" s="2">
        <f ca="1">IFERROR(__xludf.DUMMYFUNCTION("""COMPUTED_VALUE"""),45744.6458333333)</f>
        <v>45744.645833333299</v>
      </c>
      <c r="B927" s="1">
        <f ca="1">IFERROR(__xludf.DUMMYFUNCTION("""COMPUTED_VALUE"""),1348.35)</f>
        <v>1348.35</v>
      </c>
      <c r="C927" s="3">
        <f t="shared" ca="1" si="28"/>
        <v>8.7532263494555923E-3</v>
      </c>
      <c r="D927">
        <f t="shared" ca="1" si="27"/>
        <v>1253.1102040816324</v>
      </c>
    </row>
    <row r="928" spans="1:4" x14ac:dyDescent="0.25">
      <c r="A928" s="2">
        <f ca="1">IFERROR(__xludf.DUMMYFUNCTION("""COMPUTED_VALUE"""),45748.6458333333)</f>
        <v>45748.645833333299</v>
      </c>
      <c r="B928" s="1">
        <f ca="1">IFERROR(__xludf.DUMMYFUNCTION("""COMPUTED_VALUE"""),1318.45)</f>
        <v>1318.45</v>
      </c>
      <c r="C928" s="3">
        <f t="shared" ca="1" si="28"/>
        <v>-2.2175251232988368E-2</v>
      </c>
      <c r="D928">
        <f t="shared" ca="1" si="27"/>
        <v>1255.1357142857141</v>
      </c>
    </row>
    <row r="929" spans="1:4" x14ac:dyDescent="0.25">
      <c r="A929" s="2">
        <f ca="1">IFERROR(__xludf.DUMMYFUNCTION("""COMPUTED_VALUE"""),45749.6458333333)</f>
        <v>45749.645833333299</v>
      </c>
      <c r="B929" s="1">
        <f ca="1">IFERROR(__xludf.DUMMYFUNCTION("""COMPUTED_VALUE"""),1331.25)</f>
        <v>1331.25</v>
      </c>
      <c r="C929" s="3">
        <f t="shared" ca="1" si="28"/>
        <v>9.7083696765140545E-3</v>
      </c>
      <c r="D929">
        <f t="shared" ca="1" si="27"/>
        <v>1257.0336734693874</v>
      </c>
    </row>
    <row r="930" spans="1:4" x14ac:dyDescent="0.25">
      <c r="A930" s="2">
        <f ca="1">IFERROR(__xludf.DUMMYFUNCTION("""COMPUTED_VALUE"""),45750.6458333333)</f>
        <v>45750.645833333299</v>
      </c>
      <c r="B930" s="1">
        <f ca="1">IFERROR(__xludf.DUMMYFUNCTION("""COMPUTED_VALUE"""),1329.55)</f>
        <v>1329.55</v>
      </c>
      <c r="C930" s="3">
        <f t="shared" ca="1" si="28"/>
        <v>-1.2769953051643534E-3</v>
      </c>
      <c r="D930">
        <f t="shared" ca="1" si="27"/>
        <v>1259.0397959183672</v>
      </c>
    </row>
    <row r="931" spans="1:4" x14ac:dyDescent="0.25">
      <c r="A931" s="2">
        <f ca="1">IFERROR(__xludf.DUMMYFUNCTION("""COMPUTED_VALUE"""),45751.6458333333)</f>
        <v>45751.645833333299</v>
      </c>
      <c r="B931" s="1">
        <f ca="1">IFERROR(__xludf.DUMMYFUNCTION("""COMPUTED_VALUE"""),1335.3)</f>
        <v>1335.3</v>
      </c>
      <c r="C931" s="3">
        <f t="shared" ca="1" si="28"/>
        <v>4.3247715392426009E-3</v>
      </c>
      <c r="D931">
        <f t="shared" ca="1" si="27"/>
        <v>1261.7622448979591</v>
      </c>
    </row>
    <row r="932" spans="1:4" x14ac:dyDescent="0.25">
      <c r="A932" s="2">
        <f ca="1">IFERROR(__xludf.DUMMYFUNCTION("""COMPUTED_VALUE"""),45754.6458333333)</f>
        <v>45754.645833333299</v>
      </c>
      <c r="B932" s="1">
        <f ca="1">IFERROR(__xludf.DUMMYFUNCTION("""COMPUTED_VALUE"""),1287.55)</f>
        <v>1287.55</v>
      </c>
      <c r="C932" s="3">
        <f t="shared" ca="1" si="28"/>
        <v>-3.5759754362315585E-2</v>
      </c>
      <c r="D932">
        <f t="shared" ca="1" si="27"/>
        <v>1264.5142857142857</v>
      </c>
    </row>
    <row r="933" spans="1:4" x14ac:dyDescent="0.25">
      <c r="A933" s="2">
        <f ca="1">IFERROR(__xludf.DUMMYFUNCTION("""COMPUTED_VALUE"""),45755.6458333333)</f>
        <v>45755.645833333299</v>
      </c>
      <c r="B933" s="1">
        <f ca="1">IFERROR(__xludf.DUMMYFUNCTION("""COMPUTED_VALUE"""),1299.9)</f>
        <v>1299.9000000000001</v>
      </c>
      <c r="C933" s="3">
        <f t="shared" ca="1" si="28"/>
        <v>9.5918605102715514E-3</v>
      </c>
      <c r="D933">
        <f t="shared" ca="1" si="27"/>
        <v>1266.2653061224491</v>
      </c>
    </row>
    <row r="934" spans="1:4" x14ac:dyDescent="0.25">
      <c r="A934" s="2">
        <f ca="1">IFERROR(__xludf.DUMMYFUNCTION("""COMPUTED_VALUE"""),45756.6458333333)</f>
        <v>45756.645833333299</v>
      </c>
      <c r="B934" s="1">
        <f ca="1">IFERROR(__xludf.DUMMYFUNCTION("""COMPUTED_VALUE"""),1300.8)</f>
        <v>1300.8</v>
      </c>
      <c r="C934" s="3">
        <f t="shared" ca="1" si="28"/>
        <v>6.9236095084226749E-4</v>
      </c>
      <c r="D934">
        <f t="shared" ca="1" si="27"/>
        <v>1268.1163265306125</v>
      </c>
    </row>
    <row r="935" spans="1:4" x14ac:dyDescent="0.25">
      <c r="A935" s="2">
        <f ca="1">IFERROR(__xludf.DUMMYFUNCTION("""COMPUTED_VALUE"""),45758.6458333333)</f>
        <v>45758.645833333299</v>
      </c>
      <c r="B935" s="1">
        <f ca="1">IFERROR(__xludf.DUMMYFUNCTION("""COMPUTED_VALUE"""),1311.65)</f>
        <v>1311.65</v>
      </c>
      <c r="C935" s="3">
        <f t="shared" ca="1" si="28"/>
        <v>8.3410209102092077E-3</v>
      </c>
      <c r="D935">
        <f t="shared" ca="1" si="27"/>
        <v>1269.6030612244899</v>
      </c>
    </row>
    <row r="936" spans="1:4" x14ac:dyDescent="0.25">
      <c r="A936" s="2">
        <f ca="1">IFERROR(__xludf.DUMMYFUNCTION("""COMPUTED_VALUE"""),45762.6458333333)</f>
        <v>45762.645833333299</v>
      </c>
      <c r="B936" s="1">
        <f ca="1">IFERROR(__xludf.DUMMYFUNCTION("""COMPUTED_VALUE"""),1350.2)</f>
        <v>1350.2</v>
      </c>
      <c r="C936" s="3">
        <f t="shared" ca="1" si="28"/>
        <v>2.9390462394693669E-2</v>
      </c>
      <c r="D936">
        <f t="shared" ca="1" si="27"/>
        <v>1270.9244897959186</v>
      </c>
    </row>
    <row r="937" spans="1:4" x14ac:dyDescent="0.25">
      <c r="A937" s="2">
        <f ca="1">IFERROR(__xludf.DUMMYFUNCTION("""COMPUTED_VALUE"""),45763.6458333333)</f>
        <v>45763.645833333299</v>
      </c>
      <c r="B937" s="1">
        <f ca="1">IFERROR(__xludf.DUMMYFUNCTION("""COMPUTED_VALUE"""),1356.4)</f>
        <v>1356.4</v>
      </c>
      <c r="C937" s="3">
        <f t="shared" ca="1" si="28"/>
        <v>4.5919123092875462E-3</v>
      </c>
      <c r="D937">
        <f t="shared" ca="1" si="27"/>
        <v>1272.9357142857143</v>
      </c>
    </row>
    <row r="938" spans="1:4" x14ac:dyDescent="0.25">
      <c r="A938" s="2">
        <f ca="1">IFERROR(__xludf.DUMMYFUNCTION("""COMPUTED_VALUE"""),45764.6458333333)</f>
        <v>45764.645833333299</v>
      </c>
      <c r="B938" s="1">
        <f ca="1">IFERROR(__xludf.DUMMYFUNCTION("""COMPUTED_VALUE"""),1406.7)</f>
        <v>1406.7</v>
      </c>
      <c r="C938" s="3">
        <f t="shared" ca="1" si="28"/>
        <v>3.7083456207608341E-2</v>
      </c>
      <c r="D938">
        <f t="shared" ca="1" si="27"/>
        <v>1274.9928571428572</v>
      </c>
    </row>
    <row r="939" spans="1:4" x14ac:dyDescent="0.25">
      <c r="A939" s="2">
        <f ca="1">IFERROR(__xludf.DUMMYFUNCTION("""COMPUTED_VALUE"""),45768.6458333333)</f>
        <v>45768.645833333299</v>
      </c>
      <c r="B939" s="1">
        <f ca="1">IFERROR(__xludf.DUMMYFUNCTION("""COMPUTED_VALUE"""),1409.8)</f>
        <v>1409.8</v>
      </c>
      <c r="C939" s="3">
        <f t="shared" ca="1" si="28"/>
        <v>2.2037392478850564E-3</v>
      </c>
      <c r="D939">
        <f t="shared" ca="1" si="27"/>
        <v>1278.1336734693878</v>
      </c>
    </row>
    <row r="940" spans="1:4" x14ac:dyDescent="0.25">
      <c r="A940" s="2">
        <f ca="1">IFERROR(__xludf.DUMMYFUNCTION("""COMPUTED_VALUE"""),45769.6458333333)</f>
        <v>45769.645833333299</v>
      </c>
      <c r="B940" s="1">
        <f ca="1">IFERROR(__xludf.DUMMYFUNCTION("""COMPUTED_VALUE"""),1416.5)</f>
        <v>1416.5</v>
      </c>
      <c r="C940" s="3">
        <f t="shared" ca="1" si="28"/>
        <v>4.7524471556249434E-3</v>
      </c>
      <c r="D940">
        <f t="shared" ca="1" si="27"/>
        <v>1281.3336734693878</v>
      </c>
    </row>
    <row r="941" spans="1:4" x14ac:dyDescent="0.25">
      <c r="A941" s="2">
        <f ca="1">IFERROR(__xludf.DUMMYFUNCTION("""COMPUTED_VALUE"""),45770.6458333333)</f>
        <v>45770.645833333299</v>
      </c>
      <c r="B941" s="1">
        <f ca="1">IFERROR(__xludf.DUMMYFUNCTION("""COMPUTED_VALUE"""),1424.4)</f>
        <v>1424.4</v>
      </c>
      <c r="C941" s="3">
        <f t="shared" ca="1" si="28"/>
        <v>5.5771267207907456E-3</v>
      </c>
      <c r="D941">
        <f t="shared" ca="1" si="27"/>
        <v>1284.3602040816329</v>
      </c>
    </row>
    <row r="942" spans="1:4" x14ac:dyDescent="0.25">
      <c r="A942" s="2">
        <f ca="1">IFERROR(__xludf.DUMMYFUNCTION("""COMPUTED_VALUE"""),45771.6458333333)</f>
        <v>45771.645833333299</v>
      </c>
      <c r="B942" s="1">
        <f ca="1">IFERROR(__xludf.DUMMYFUNCTION("""COMPUTED_VALUE"""),1402.7)</f>
        <v>1402.7</v>
      </c>
      <c r="C942" s="3">
        <f t="shared" ca="1" si="28"/>
        <v>-1.5234484695310337E-2</v>
      </c>
      <c r="D942">
        <f t="shared" ca="1" si="27"/>
        <v>1287.5581632653063</v>
      </c>
    </row>
    <row r="943" spans="1:4" x14ac:dyDescent="0.25">
      <c r="A943" s="2">
        <f ca="1">IFERROR(__xludf.DUMMYFUNCTION("""COMPUTED_VALUE"""),45772.6458333333)</f>
        <v>45772.645833333299</v>
      </c>
      <c r="B943" s="1">
        <f ca="1">IFERROR(__xludf.DUMMYFUNCTION("""COMPUTED_VALUE"""),1404.8)</f>
        <v>1404.8</v>
      </c>
      <c r="C943" s="3">
        <f t="shared" ca="1" si="28"/>
        <v>1.4971127111997641E-3</v>
      </c>
      <c r="D943">
        <f t="shared" ca="1" si="27"/>
        <v>1290.2173469387756</v>
      </c>
    </row>
    <row r="944" spans="1:4" x14ac:dyDescent="0.25">
      <c r="A944" s="2">
        <f ca="1">IFERROR(__xludf.DUMMYFUNCTION("""COMPUTED_VALUE"""),45775.6458333333)</f>
        <v>45775.645833333299</v>
      </c>
      <c r="B944" s="1">
        <f ca="1">IFERROR(__xludf.DUMMYFUNCTION("""COMPUTED_VALUE"""),1428.8)</f>
        <v>1428.8</v>
      </c>
      <c r="C944" s="3">
        <f t="shared" ca="1" si="28"/>
        <v>1.7084282460136675E-2</v>
      </c>
      <c r="D944">
        <f t="shared" ca="1" si="27"/>
        <v>1293.2357142857145</v>
      </c>
    </row>
    <row r="945" spans="1:4" x14ac:dyDescent="0.25">
      <c r="A945" s="2">
        <f ca="1">IFERROR(__xludf.DUMMYFUNCTION("""COMPUTED_VALUE"""),45776.6458333333)</f>
        <v>45776.645833333299</v>
      </c>
      <c r="B945" s="1">
        <f ca="1">IFERROR(__xludf.DUMMYFUNCTION("""COMPUTED_VALUE"""),1429.8)</f>
        <v>1429.8</v>
      </c>
      <c r="C945" s="3">
        <f t="shared" ca="1" si="28"/>
        <v>6.9988801791713324E-4</v>
      </c>
      <c r="D945">
        <f t="shared" ca="1" si="27"/>
        <v>1296.6275510204084</v>
      </c>
    </row>
    <row r="946" spans="1:4" x14ac:dyDescent="0.25">
      <c r="A946" s="2">
        <f ca="1">IFERROR(__xludf.DUMMYFUNCTION("""COMPUTED_VALUE"""),45777.6458333333)</f>
        <v>45777.645833333299</v>
      </c>
      <c r="B946" s="1">
        <f ca="1">IFERROR(__xludf.DUMMYFUNCTION("""COMPUTED_VALUE"""),1427)</f>
        <v>1427</v>
      </c>
      <c r="C946" s="3">
        <f t="shared" ca="1" si="28"/>
        <v>-1.9583158483703696E-3</v>
      </c>
      <c r="D946">
        <f t="shared" ca="1" si="27"/>
        <v>1300.2408163265309</v>
      </c>
    </row>
    <row r="947" spans="1:4" x14ac:dyDescent="0.25">
      <c r="A947" s="2">
        <f ca="1">IFERROR(__xludf.DUMMYFUNCTION("""COMPUTED_VALUE"""),45779.6458333333)</f>
        <v>45779.645833333299</v>
      </c>
      <c r="B947" s="1">
        <f ca="1">IFERROR(__xludf.DUMMYFUNCTION("""COMPUTED_VALUE"""),1432.4)</f>
        <v>1432.4</v>
      </c>
      <c r="C947" s="3">
        <f t="shared" ca="1" si="28"/>
        <v>3.7841625788367843E-3</v>
      </c>
      <c r="D947">
        <f t="shared" ca="1" si="27"/>
        <v>1303.8163265306125</v>
      </c>
    </row>
    <row r="948" spans="1:4" x14ac:dyDescent="0.25">
      <c r="A948" s="2">
        <f ca="1">IFERROR(__xludf.DUMMYFUNCTION("""COMPUTED_VALUE"""),45782.6458333333)</f>
        <v>45782.645833333299</v>
      </c>
      <c r="B948" s="1">
        <f ca="1">IFERROR(__xludf.DUMMYFUNCTION("""COMPUTED_VALUE"""),1429.4)</f>
        <v>1429.4</v>
      </c>
      <c r="C948" s="3">
        <f t="shared" ca="1" si="28"/>
        <v>-2.0943870427254955E-3</v>
      </c>
      <c r="D948">
        <f t="shared" ref="D948:D1011" ca="1" si="29">AVERAGE(B899:B947)</f>
        <v>1307.5612244897964</v>
      </c>
    </row>
    <row r="949" spans="1:4" x14ac:dyDescent="0.25">
      <c r="A949" s="2">
        <f ca="1">IFERROR(__xludf.DUMMYFUNCTION("""COMPUTED_VALUE"""),45783.6458333333)</f>
        <v>45783.645833333299</v>
      </c>
      <c r="B949" s="1">
        <f ca="1">IFERROR(__xludf.DUMMYFUNCTION("""COMPUTED_VALUE"""),1431.6)</f>
        <v>1431.6</v>
      </c>
      <c r="C949" s="3">
        <f t="shared" ca="1" si="28"/>
        <v>1.5391073177555743E-3</v>
      </c>
      <c r="D949">
        <f t="shared" ca="1" si="29"/>
        <v>1311.0163265306126</v>
      </c>
    </row>
    <row r="950" spans="1:4" x14ac:dyDescent="0.25">
      <c r="A950" s="2">
        <f ca="1">IFERROR(__xludf.DUMMYFUNCTION("""COMPUTED_VALUE"""),45784.6458333333)</f>
        <v>45784.645833333299</v>
      </c>
      <c r="B950" s="1">
        <f ca="1">IFERROR(__xludf.DUMMYFUNCTION("""COMPUTED_VALUE"""),1435.4)</f>
        <v>1435.4</v>
      </c>
      <c r="C950" s="3">
        <f t="shared" ca="1" si="28"/>
        <v>2.654372729812924E-3</v>
      </c>
      <c r="D950">
        <f t="shared" ca="1" si="29"/>
        <v>1314.6989795918371</v>
      </c>
    </row>
    <row r="951" spans="1:4" x14ac:dyDescent="0.25">
      <c r="A951" s="2">
        <f ca="1">IFERROR(__xludf.DUMMYFUNCTION("""COMPUTED_VALUE"""),45785.6458333333)</f>
        <v>45785.645833333299</v>
      </c>
      <c r="B951" s="1">
        <f ca="1">IFERROR(__xludf.DUMMYFUNCTION("""COMPUTED_VALUE"""),1435.5)</f>
        <v>1435.5</v>
      </c>
      <c r="C951" s="3">
        <f t="shared" ca="1" si="28"/>
        <v>6.966699177923161E-5</v>
      </c>
      <c r="D951">
        <f t="shared" ca="1" si="29"/>
        <v>1318.6244897959189</v>
      </c>
    </row>
    <row r="952" spans="1:4" x14ac:dyDescent="0.25">
      <c r="A952" s="2">
        <f ca="1">IFERROR(__xludf.DUMMYFUNCTION("""COMPUTED_VALUE"""),45786.6458333333)</f>
        <v>45786.645833333299</v>
      </c>
      <c r="B952" s="1">
        <f ca="1">IFERROR(__xludf.DUMMYFUNCTION("""COMPUTED_VALUE"""),1388.9)</f>
        <v>1388.9</v>
      </c>
      <c r="C952" s="3">
        <f t="shared" ca="1" si="28"/>
        <v>-3.2462556600487573E-2</v>
      </c>
      <c r="D952">
        <f t="shared" ca="1" si="29"/>
        <v>1322.1724489795922</v>
      </c>
    </row>
    <row r="953" spans="1:4" x14ac:dyDescent="0.25">
      <c r="A953" s="2">
        <f ca="1">IFERROR(__xludf.DUMMYFUNCTION("""COMPUTED_VALUE"""),45789.6458333333)</f>
        <v>45789.645833333299</v>
      </c>
      <c r="B953" s="1">
        <f ca="1">IFERROR(__xludf.DUMMYFUNCTION("""COMPUTED_VALUE"""),1448.5)</f>
        <v>1448.5</v>
      </c>
      <c r="C953" s="3">
        <f t="shared" ca="1" si="28"/>
        <v>4.2911656706746279E-2</v>
      </c>
      <c r="D953">
        <f t="shared" ca="1" si="29"/>
        <v>1325.0081632653068</v>
      </c>
    </row>
    <row r="954" spans="1:4" x14ac:dyDescent="0.25">
      <c r="A954" s="2">
        <f ca="1">IFERROR(__xludf.DUMMYFUNCTION("""COMPUTED_VALUE"""),45790.6458333333)</f>
        <v>45790.645833333299</v>
      </c>
      <c r="B954" s="1">
        <f ca="1">IFERROR(__xludf.DUMMYFUNCTION("""COMPUTED_VALUE"""),1430.6)</f>
        <v>1430.6</v>
      </c>
      <c r="C954" s="3">
        <f t="shared" ca="1" si="28"/>
        <v>-1.2357611322057363E-2</v>
      </c>
      <c r="D954">
        <f t="shared" ca="1" si="29"/>
        <v>1329.4071428571433</v>
      </c>
    </row>
    <row r="955" spans="1:4" x14ac:dyDescent="0.25">
      <c r="A955" s="2">
        <f ca="1">IFERROR(__xludf.DUMMYFUNCTION("""COMPUTED_VALUE"""),45791.6458333333)</f>
        <v>45791.645833333299</v>
      </c>
      <c r="B955" s="1">
        <f ca="1">IFERROR(__xludf.DUMMYFUNCTION("""COMPUTED_VALUE"""),1426.2)</f>
        <v>1426.2</v>
      </c>
      <c r="C955" s="3">
        <f t="shared" ca="1" si="28"/>
        <v>-3.0756326017054828E-3</v>
      </c>
      <c r="D955">
        <f t="shared" ca="1" si="29"/>
        <v>1333.7387755102045</v>
      </c>
    </row>
    <row r="956" spans="1:4" x14ac:dyDescent="0.25">
      <c r="A956" s="2">
        <f ca="1">IFERROR(__xludf.DUMMYFUNCTION("""COMPUTED_VALUE"""),45792.6458333333)</f>
        <v>45792.645833333299</v>
      </c>
      <c r="B956" s="1">
        <f ca="1">IFERROR(__xludf.DUMMYFUNCTION("""COMPUTED_VALUE"""),1450.8)</f>
        <v>1450.8</v>
      </c>
      <c r="C956" s="3">
        <f t="shared" ca="1" si="28"/>
        <v>1.7248632730332288E-2</v>
      </c>
      <c r="D956">
        <f t="shared" ca="1" si="29"/>
        <v>1337.8622448979595</v>
      </c>
    </row>
    <row r="957" spans="1:4" x14ac:dyDescent="0.25">
      <c r="A957" s="2">
        <f ca="1">IFERROR(__xludf.DUMMYFUNCTION("""COMPUTED_VALUE"""),45793.6458333333)</f>
        <v>45793.645833333299</v>
      </c>
      <c r="B957" s="1">
        <f ca="1">IFERROR(__xludf.DUMMYFUNCTION("""COMPUTED_VALUE"""),1454)</f>
        <v>1454</v>
      </c>
      <c r="C957" s="3">
        <f t="shared" ca="1" si="28"/>
        <v>2.205679625034495E-3</v>
      </c>
      <c r="D957">
        <f t="shared" ca="1" si="29"/>
        <v>1342.5224489795919</v>
      </c>
    </row>
    <row r="958" spans="1:4" x14ac:dyDescent="0.25">
      <c r="A958" s="2">
        <f ca="1">IFERROR(__xludf.DUMMYFUNCTION("""COMPUTED_VALUE"""),45796.6458333333)</f>
        <v>45796.645833333299</v>
      </c>
      <c r="B958" s="1">
        <f ca="1">IFERROR(__xludf.DUMMYFUNCTION("""COMPUTED_VALUE"""),1449)</f>
        <v>1449</v>
      </c>
      <c r="C958" s="3">
        <f t="shared" ca="1" si="28"/>
        <v>-3.4387895460797797E-3</v>
      </c>
      <c r="D958">
        <f t="shared" ca="1" si="29"/>
        <v>1347.622448979592</v>
      </c>
    </row>
    <row r="959" spans="1:4" x14ac:dyDescent="0.25">
      <c r="A959" s="2">
        <f ca="1">IFERROR(__xludf.DUMMYFUNCTION("""COMPUTED_VALUE"""),45797.6458333333)</f>
        <v>45797.645833333299</v>
      </c>
      <c r="B959" s="1">
        <f ca="1">IFERROR(__xludf.DUMMYFUNCTION("""COMPUTED_VALUE"""),1438.2)</f>
        <v>1438.2</v>
      </c>
      <c r="C959" s="3">
        <f t="shared" ca="1" si="28"/>
        <v>-7.4534161490682916E-3</v>
      </c>
      <c r="D959">
        <f t="shared" ca="1" si="29"/>
        <v>1352.5775510204085</v>
      </c>
    </row>
    <row r="960" spans="1:4" x14ac:dyDescent="0.25">
      <c r="A960" s="2">
        <f ca="1">IFERROR(__xludf.DUMMYFUNCTION("""COMPUTED_VALUE"""),45798.6458333333)</f>
        <v>45798.645833333299</v>
      </c>
      <c r="B960" s="1">
        <f ca="1">IFERROR(__xludf.DUMMYFUNCTION("""COMPUTED_VALUE"""),1444.7)</f>
        <v>1444.7</v>
      </c>
      <c r="C960" s="3">
        <f t="shared" ca="1" si="28"/>
        <v>4.5195383117786116E-3</v>
      </c>
      <c r="D960">
        <f t="shared" ca="1" si="29"/>
        <v>1357.2265306122454</v>
      </c>
    </row>
    <row r="961" spans="1:4" x14ac:dyDescent="0.25">
      <c r="A961" s="2">
        <f ca="1">IFERROR(__xludf.DUMMYFUNCTION("""COMPUTED_VALUE"""),45799.6458333333)</f>
        <v>45799.645833333299</v>
      </c>
      <c r="B961" s="1">
        <f ca="1">IFERROR(__xludf.DUMMYFUNCTION("""COMPUTED_VALUE"""),1442.1)</f>
        <v>1442.1</v>
      </c>
      <c r="C961" s="3">
        <f t="shared" ca="1" si="28"/>
        <v>-1.7996815947948614E-3</v>
      </c>
      <c r="D961">
        <f t="shared" ca="1" si="29"/>
        <v>1361.9</v>
      </c>
    </row>
    <row r="962" spans="1:4" x14ac:dyDescent="0.25">
      <c r="A962" s="2">
        <f ca="1">IFERROR(__xludf.DUMMYFUNCTION("""COMPUTED_VALUE"""),45800.6458333333)</f>
        <v>45800.645833333299</v>
      </c>
      <c r="B962" s="1">
        <f ca="1">IFERROR(__xludf.DUMMYFUNCTION("""COMPUTED_VALUE"""),1449.8)</f>
        <v>1449.8</v>
      </c>
      <c r="C962" s="3">
        <f t="shared" ca="1" si="28"/>
        <v>5.3394355453852344E-3</v>
      </c>
      <c r="D962">
        <f t="shared" ca="1" si="29"/>
        <v>1366.4724489795919</v>
      </c>
    </row>
    <row r="963" spans="1:4" x14ac:dyDescent="0.25">
      <c r="A963" s="2">
        <f ca="1">IFERROR(__xludf.DUMMYFUNCTION("""COMPUTED_VALUE"""),45803.6458333333)</f>
        <v>45803.645833333299</v>
      </c>
      <c r="B963" s="1">
        <f ca="1">IFERROR(__xludf.DUMMYFUNCTION("""COMPUTED_VALUE"""),1460.6)</f>
        <v>1460.6</v>
      </c>
      <c r="C963" s="3">
        <f t="shared" ca="1" si="28"/>
        <v>7.449303352186477E-3</v>
      </c>
      <c r="D963">
        <f t="shared" ca="1" si="29"/>
        <v>1371.2734693877553</v>
      </c>
    </row>
    <row r="964" spans="1:4" x14ac:dyDescent="0.25">
      <c r="A964" s="2">
        <f ca="1">IFERROR(__xludf.DUMMYFUNCTION("""COMPUTED_VALUE"""),45804.6458333333)</f>
        <v>45804.645833333299</v>
      </c>
      <c r="B964" s="1">
        <f ca="1">IFERROR(__xludf.DUMMYFUNCTION("""COMPUTED_VALUE"""),1446.4)</f>
        <v>1446.4</v>
      </c>
      <c r="C964" s="3">
        <f t="shared" ref="C964:C1027" ca="1" si="30">(B964-B963)/B963</f>
        <v>-9.7220320416266052E-3</v>
      </c>
      <c r="D964">
        <f t="shared" ca="1" si="29"/>
        <v>1376.2887755102042</v>
      </c>
    </row>
    <row r="965" spans="1:4" x14ac:dyDescent="0.25">
      <c r="A965" s="2">
        <f ca="1">IFERROR(__xludf.DUMMYFUNCTION("""COMPUTED_VALUE"""),45805.6458333333)</f>
        <v>45805.645833333299</v>
      </c>
      <c r="B965" s="1">
        <f ca="1">IFERROR(__xludf.DUMMYFUNCTION("""COMPUTED_VALUE"""),1453.8)</f>
        <v>1453.8</v>
      </c>
      <c r="C965" s="3">
        <f t="shared" ca="1" si="30"/>
        <v>5.1161504424777817E-3</v>
      </c>
      <c r="D965">
        <f t="shared" ca="1" si="29"/>
        <v>1380.3908163265307</v>
      </c>
    </row>
    <row r="966" spans="1:4" x14ac:dyDescent="0.25">
      <c r="A966" s="2">
        <f ca="1">IFERROR(__xludf.DUMMYFUNCTION("""COMPUTED_VALUE"""),45806.6458333333)</f>
        <v>45806.645833333299</v>
      </c>
      <c r="B966" s="1">
        <f ca="1">IFERROR(__xludf.DUMMYFUNCTION("""COMPUTED_VALUE"""),1456.5)</f>
        <v>1456.5</v>
      </c>
      <c r="C966" s="3">
        <f t="shared" ca="1" si="30"/>
        <v>1.8572018159306958E-3</v>
      </c>
      <c r="D966">
        <f t="shared" ca="1" si="29"/>
        <v>1384.6734693877552</v>
      </c>
    </row>
    <row r="967" spans="1:4" x14ac:dyDescent="0.25">
      <c r="A967" s="2">
        <f ca="1">IFERROR(__xludf.DUMMYFUNCTION("""COMPUTED_VALUE"""),45807.6458333333)</f>
        <v>45807.645833333299</v>
      </c>
      <c r="B967" s="1">
        <f ca="1">IFERROR(__xludf.DUMMYFUNCTION("""COMPUTED_VALUE"""),1445.8)</f>
        <v>1445.8</v>
      </c>
      <c r="C967" s="3">
        <f t="shared" ca="1" si="30"/>
        <v>-7.3463783041538243E-3</v>
      </c>
      <c r="D967">
        <f t="shared" ca="1" si="29"/>
        <v>1388.8867346938778</v>
      </c>
    </row>
    <row r="968" spans="1:4" x14ac:dyDescent="0.25">
      <c r="A968" s="2">
        <f ca="1">IFERROR(__xludf.DUMMYFUNCTION("""COMPUTED_VALUE"""),45810.6458333333)</f>
        <v>45810.645833333299</v>
      </c>
      <c r="B968" s="1">
        <f ca="1">IFERROR(__xludf.DUMMYFUNCTION("""COMPUTED_VALUE"""),1450.5)</f>
        <v>1450.5</v>
      </c>
      <c r="C968" s="3">
        <f t="shared" ca="1" si="30"/>
        <v>3.2507954073869453E-3</v>
      </c>
      <c r="D968">
        <f t="shared" ca="1" si="29"/>
        <v>1392.4948979591841</v>
      </c>
    </row>
    <row r="969" spans="1:4" x14ac:dyDescent="0.25">
      <c r="A969" s="2">
        <f ca="1">IFERROR(__xludf.DUMMYFUNCTION("""COMPUTED_VALUE"""),45811.6458333333)</f>
        <v>45811.645833333299</v>
      </c>
      <c r="B969" s="1">
        <f ca="1">IFERROR(__xludf.DUMMYFUNCTION("""COMPUTED_VALUE"""),1437.9)</f>
        <v>1437.9</v>
      </c>
      <c r="C969" s="3">
        <f t="shared" ca="1" si="30"/>
        <v>-8.6866597724921807E-3</v>
      </c>
      <c r="D969">
        <f t="shared" ca="1" si="29"/>
        <v>1395.3653061224491</v>
      </c>
    </row>
    <row r="970" spans="1:4" x14ac:dyDescent="0.25">
      <c r="A970" s="2">
        <f ca="1">IFERROR(__xludf.DUMMYFUNCTION("""COMPUTED_VALUE"""),45812.6458333333)</f>
        <v>45812.645833333299</v>
      </c>
      <c r="B970" s="1">
        <f ca="1">IFERROR(__xludf.DUMMYFUNCTION("""COMPUTED_VALUE"""),1431)</f>
        <v>1431</v>
      </c>
      <c r="C970" s="3">
        <f t="shared" ca="1" si="30"/>
        <v>-4.7986647193824956E-3</v>
      </c>
      <c r="D970">
        <f t="shared" ca="1" si="29"/>
        <v>1397.9122448979592</v>
      </c>
    </row>
    <row r="971" spans="1:4" x14ac:dyDescent="0.25">
      <c r="A971" s="2">
        <f ca="1">IFERROR(__xludf.DUMMYFUNCTION("""COMPUTED_VALUE"""),45813.6458333333)</f>
        <v>45813.645833333299</v>
      </c>
      <c r="B971" s="1">
        <f ca="1">IFERROR(__xludf.DUMMYFUNCTION("""COMPUTED_VALUE"""),1454.8)</f>
        <v>1454.8</v>
      </c>
      <c r="C971" s="3">
        <f t="shared" ca="1" si="30"/>
        <v>1.6631726065688298E-2</v>
      </c>
      <c r="D971">
        <f t="shared" ca="1" si="29"/>
        <v>1400.1428571428571</v>
      </c>
    </row>
    <row r="972" spans="1:4" x14ac:dyDescent="0.25">
      <c r="A972" s="2">
        <f ca="1">IFERROR(__xludf.DUMMYFUNCTION("""COMPUTED_VALUE"""),45814.6458333333)</f>
        <v>45814.645833333299</v>
      </c>
      <c r="B972" s="1">
        <f ca="1">IFERROR(__xludf.DUMMYFUNCTION("""COMPUTED_VALUE"""),1459.7)</f>
        <v>1459.7</v>
      </c>
      <c r="C972" s="3">
        <f t="shared" ca="1" si="30"/>
        <v>3.3681605718999803E-3</v>
      </c>
      <c r="D972">
        <f t="shared" ca="1" si="29"/>
        <v>1402.4224489795918</v>
      </c>
    </row>
    <row r="973" spans="1:4" x14ac:dyDescent="0.25">
      <c r="A973" s="2">
        <f ca="1">IFERROR(__xludf.DUMMYFUNCTION("""COMPUTED_VALUE"""),45817.6458333333)</f>
        <v>45817.645833333299</v>
      </c>
      <c r="B973" s="1">
        <f ca="1">IFERROR(__xludf.DUMMYFUNCTION("""COMPUTED_VALUE"""),1434.8)</f>
        <v>1434.8</v>
      </c>
      <c r="C973" s="3">
        <f t="shared" ca="1" si="30"/>
        <v>-1.7058299650613201E-2</v>
      </c>
      <c r="D973">
        <f t="shared" ca="1" si="29"/>
        <v>1404.4948979591836</v>
      </c>
    </row>
    <row r="974" spans="1:4" x14ac:dyDescent="0.25">
      <c r="A974" s="2">
        <f ca="1">IFERROR(__xludf.DUMMYFUNCTION("""COMPUTED_VALUE"""),45818.6458333333)</f>
        <v>45818.645833333299</v>
      </c>
      <c r="B974" s="1">
        <f ca="1">IFERROR(__xludf.DUMMYFUNCTION("""COMPUTED_VALUE"""),1422.9)</f>
        <v>1422.9</v>
      </c>
      <c r="C974" s="3">
        <f t="shared" ca="1" si="30"/>
        <v>-8.2938388625591469E-3</v>
      </c>
      <c r="D974">
        <f t="shared" ca="1" si="29"/>
        <v>1406.3540816326531</v>
      </c>
    </row>
    <row r="975" spans="1:4" x14ac:dyDescent="0.25">
      <c r="A975" s="2">
        <f ca="1">IFERROR(__xludf.DUMMYFUNCTION("""COMPUTED_VALUE"""),45819.6458333333)</f>
        <v>45819.645833333299</v>
      </c>
      <c r="B975" s="1">
        <f ca="1">IFERROR(__xludf.DUMMYFUNCTION("""COMPUTED_VALUE"""),1431)</f>
        <v>1431</v>
      </c>
      <c r="C975" s="3">
        <f t="shared" ca="1" si="30"/>
        <v>5.6925996204932943E-3</v>
      </c>
      <c r="D975">
        <f t="shared" ca="1" si="29"/>
        <v>1408.1295918367348</v>
      </c>
    </row>
    <row r="976" spans="1:4" x14ac:dyDescent="0.25">
      <c r="A976" s="2">
        <f ca="1">IFERROR(__xludf.DUMMYFUNCTION("""COMPUTED_VALUE"""),45820.6458333333)</f>
        <v>45820.645833333299</v>
      </c>
      <c r="B976" s="1">
        <f ca="1">IFERROR(__xludf.DUMMYFUNCTION("""COMPUTED_VALUE"""),1425.2)</f>
        <v>1425.2</v>
      </c>
      <c r="C976" s="3">
        <f t="shared" ca="1" si="30"/>
        <v>-4.0531097134870403E-3</v>
      </c>
      <c r="D976">
        <f t="shared" ca="1" si="29"/>
        <v>1410.0551020408163</v>
      </c>
    </row>
    <row r="977" spans="1:4" x14ac:dyDescent="0.25">
      <c r="A977" s="2">
        <f ca="1">IFERROR(__xludf.DUMMYFUNCTION("""COMPUTED_VALUE"""),45821.6458333333)</f>
        <v>45821.645833333299</v>
      </c>
      <c r="B977" s="1">
        <f ca="1">IFERROR(__xludf.DUMMYFUNCTION("""COMPUTED_VALUE"""),1416.1)</f>
        <v>1416.1</v>
      </c>
      <c r="C977" s="3">
        <f t="shared" ca="1" si="30"/>
        <v>-6.3850687622790739E-3</v>
      </c>
      <c r="D977">
        <f t="shared" ca="1" si="29"/>
        <v>1411.6234693877552</v>
      </c>
    </row>
    <row r="978" spans="1:4" x14ac:dyDescent="0.25">
      <c r="A978" s="2">
        <f ca="1">IFERROR(__xludf.DUMMYFUNCTION("""COMPUTED_VALUE"""),45824.6458333333)</f>
        <v>45824.645833333299</v>
      </c>
      <c r="B978" s="1">
        <f ca="1">IFERROR(__xludf.DUMMYFUNCTION("""COMPUTED_VALUE"""),1426.9)</f>
        <v>1426.9</v>
      </c>
      <c r="C978" s="3">
        <f t="shared" ca="1" si="30"/>
        <v>7.6265800437823475E-3</v>
      </c>
      <c r="D978">
        <f t="shared" ca="1" si="29"/>
        <v>1413.6163265306125</v>
      </c>
    </row>
    <row r="979" spans="1:4" x14ac:dyDescent="0.25">
      <c r="A979" s="2">
        <f ca="1">IFERROR(__xludf.DUMMYFUNCTION("""COMPUTED_VALUE"""),45825.6458333333)</f>
        <v>45825.645833333299</v>
      </c>
      <c r="B979" s="1">
        <f ca="1">IFERROR(__xludf.DUMMYFUNCTION("""COMPUTED_VALUE"""),1423.2)</f>
        <v>1423.2</v>
      </c>
      <c r="C979" s="3">
        <f t="shared" ca="1" si="30"/>
        <v>-2.5930338496040683E-3</v>
      </c>
      <c r="D979">
        <f t="shared" ca="1" si="29"/>
        <v>1415.5683673469389</v>
      </c>
    </row>
    <row r="980" spans="1:4" x14ac:dyDescent="0.25">
      <c r="A980" s="2">
        <f ca="1">IFERROR(__xludf.DUMMYFUNCTION("""COMPUTED_VALUE"""),45826.6458333333)</f>
        <v>45826.645833333299</v>
      </c>
      <c r="B980" s="1">
        <f ca="1">IFERROR(__xludf.DUMMYFUNCTION("""COMPUTED_VALUE"""),1412.6)</f>
        <v>1412.6</v>
      </c>
      <c r="C980" s="3">
        <f t="shared" ca="1" si="30"/>
        <v>-7.4480044969084712E-3</v>
      </c>
      <c r="D980">
        <f t="shared" ca="1" si="29"/>
        <v>1417.4795918367347</v>
      </c>
    </row>
    <row r="981" spans="1:4" x14ac:dyDescent="0.25">
      <c r="A981" s="2">
        <f ca="1">IFERROR(__xludf.DUMMYFUNCTION("""COMPUTED_VALUE"""),45827.6458333333)</f>
        <v>45827.645833333299</v>
      </c>
      <c r="B981" s="1">
        <f ca="1">IFERROR(__xludf.DUMMYFUNCTION("""COMPUTED_VALUE"""),1411.3)</f>
        <v>1411.3</v>
      </c>
      <c r="C981" s="3">
        <f t="shared" ca="1" si="30"/>
        <v>-9.2028882910941145E-4</v>
      </c>
      <c r="D981">
        <f t="shared" ca="1" si="29"/>
        <v>1419.0571428571429</v>
      </c>
    </row>
    <row r="982" spans="1:4" x14ac:dyDescent="0.25">
      <c r="A982" s="2">
        <f ca="1">IFERROR(__xludf.DUMMYFUNCTION("""COMPUTED_VALUE"""),45828.6458333333)</f>
        <v>45828.645833333299</v>
      </c>
      <c r="B982" s="1">
        <f ca="1">IFERROR(__xludf.DUMMYFUNCTION("""COMPUTED_VALUE"""),1427.1)</f>
        <v>1427.1</v>
      </c>
      <c r="C982" s="3">
        <f t="shared" ca="1" si="30"/>
        <v>1.1195351803301888E-2</v>
      </c>
      <c r="D982">
        <f t="shared" ca="1" si="29"/>
        <v>1421.5826530612248</v>
      </c>
    </row>
    <row r="983" spans="1:4" x14ac:dyDescent="0.25">
      <c r="A983" s="2">
        <f ca="1">IFERROR(__xludf.DUMMYFUNCTION("""COMPUTED_VALUE"""),45831.6458333333)</f>
        <v>45831.645833333299</v>
      </c>
      <c r="B983" s="1">
        <f ca="1">IFERROR(__xludf.DUMMYFUNCTION("""COMPUTED_VALUE"""),1420.1)</f>
        <v>1420.1</v>
      </c>
      <c r="C983" s="3">
        <f t="shared" ca="1" si="30"/>
        <v>-4.9050522037698829E-3</v>
      </c>
      <c r="D983">
        <f t="shared" ca="1" si="29"/>
        <v>1424.1785714285718</v>
      </c>
    </row>
    <row r="984" spans="1:4" x14ac:dyDescent="0.25">
      <c r="A984" s="2">
        <f ca="1">IFERROR(__xludf.DUMMYFUNCTION("""COMPUTED_VALUE"""),45832.6458333333)</f>
        <v>45832.645833333299</v>
      </c>
      <c r="B984" s="1">
        <f ca="1">IFERROR(__xludf.DUMMYFUNCTION("""COMPUTED_VALUE"""),1424.1)</f>
        <v>1424.1</v>
      </c>
      <c r="C984" s="3">
        <f t="shared" ca="1" si="30"/>
        <v>2.8167030490810507E-3</v>
      </c>
      <c r="D984">
        <f t="shared" ca="1" si="29"/>
        <v>1426.6132653061229</v>
      </c>
    </row>
    <row r="985" spans="1:4" x14ac:dyDescent="0.25">
      <c r="A985" s="2">
        <f ca="1">IFERROR(__xludf.DUMMYFUNCTION("""COMPUTED_VALUE"""),45833.6458333333)</f>
        <v>45833.645833333299</v>
      </c>
      <c r="B985" s="1">
        <f ca="1">IFERROR(__xludf.DUMMYFUNCTION("""COMPUTED_VALUE"""),1425.8)</f>
        <v>1425.8</v>
      </c>
      <c r="C985" s="3">
        <f t="shared" ca="1" si="30"/>
        <v>1.1937363949161193E-3</v>
      </c>
      <c r="D985">
        <f t="shared" ca="1" si="29"/>
        <v>1428.9081632653065</v>
      </c>
    </row>
    <row r="986" spans="1:4" x14ac:dyDescent="0.25">
      <c r="A986" s="2">
        <f ca="1">IFERROR(__xludf.DUMMYFUNCTION("""COMPUTED_VALUE"""),45834.6458333333)</f>
        <v>45834.645833333299</v>
      </c>
      <c r="B986" s="1">
        <f ca="1">IFERROR(__xludf.DUMMYFUNCTION("""COMPUTED_VALUE"""),1439.1)</f>
        <v>1439.1</v>
      </c>
      <c r="C986" s="3">
        <f t="shared" ca="1" si="30"/>
        <v>9.3280965072239826E-3</v>
      </c>
      <c r="D986">
        <f t="shared" ca="1" si="29"/>
        <v>1430.4510204081637</v>
      </c>
    </row>
    <row r="987" spans="1:4" x14ac:dyDescent="0.25">
      <c r="A987" s="2">
        <f ca="1">IFERROR(__xludf.DUMMYFUNCTION("""COMPUTED_VALUE"""),45835.6458333333)</f>
        <v>45835.645833333299</v>
      </c>
      <c r="B987" s="1">
        <f ca="1">IFERROR(__xludf.DUMMYFUNCTION("""COMPUTED_VALUE"""),1462.2)</f>
        <v>1462.2</v>
      </c>
      <c r="C987" s="3">
        <f t="shared" ca="1" si="30"/>
        <v>1.6051698978528341E-2</v>
      </c>
      <c r="D987">
        <f t="shared" ca="1" si="29"/>
        <v>1432.1387755102044</v>
      </c>
    </row>
    <row r="988" spans="1:4" x14ac:dyDescent="0.25">
      <c r="A988" s="2">
        <f ca="1">IFERROR(__xludf.DUMMYFUNCTION("""COMPUTED_VALUE"""),45838.6458333333)</f>
        <v>45838.645833333299</v>
      </c>
      <c r="B988" s="1">
        <f ca="1">IFERROR(__xludf.DUMMYFUNCTION("""COMPUTED_VALUE"""),1445.8)</f>
        <v>1445.8</v>
      </c>
      <c r="C988" s="3">
        <f t="shared" ca="1" si="30"/>
        <v>-1.1215975926685877E-2</v>
      </c>
      <c r="D988">
        <f t="shared" ca="1" si="29"/>
        <v>1433.2714285714289</v>
      </c>
    </row>
    <row r="989" spans="1:4" x14ac:dyDescent="0.25">
      <c r="A989" s="2">
        <f ca="1">IFERROR(__xludf.DUMMYFUNCTION("""COMPUTED_VALUE"""),45839.6458333333)</f>
        <v>45839.645833333299</v>
      </c>
      <c r="B989" s="1">
        <f ca="1">IFERROR(__xludf.DUMMYFUNCTION("""COMPUTED_VALUE"""),1432)</f>
        <v>1432</v>
      </c>
      <c r="C989" s="3">
        <f t="shared" ca="1" si="30"/>
        <v>-9.5448886429658018E-3</v>
      </c>
      <c r="D989">
        <f t="shared" ca="1" si="29"/>
        <v>1434.0061224489796</v>
      </c>
    </row>
    <row r="990" spans="1:4" x14ac:dyDescent="0.25">
      <c r="A990" s="2">
        <f ca="1">IFERROR(__xludf.DUMMYFUNCTION("""COMPUTED_VALUE"""),45840.6458333333)</f>
        <v>45840.645833333299</v>
      </c>
      <c r="B990" s="1">
        <f ca="1">IFERROR(__xludf.DUMMYFUNCTION("""COMPUTED_VALUE"""),1427.8)</f>
        <v>1427.8</v>
      </c>
      <c r="C990" s="3">
        <f t="shared" ca="1" si="30"/>
        <v>-2.9329608938547802E-3</v>
      </c>
      <c r="D990">
        <f t="shared" ca="1" si="29"/>
        <v>1434.3224489795919</v>
      </c>
    </row>
    <row r="991" spans="1:4" x14ac:dyDescent="0.25">
      <c r="A991" s="2">
        <f ca="1">IFERROR(__xludf.DUMMYFUNCTION("""COMPUTED_VALUE"""),45841.6458333333)</f>
        <v>45841.645833333299</v>
      </c>
      <c r="B991" s="1">
        <f ca="1">IFERROR(__xludf.DUMMYFUNCTION("""COMPUTED_VALUE"""),1425.9)</f>
        <v>1425.9</v>
      </c>
      <c r="C991" s="3">
        <f t="shared" ca="1" si="30"/>
        <v>-1.3307185880374447E-3</v>
      </c>
      <c r="D991">
        <f t="shared" ca="1" si="29"/>
        <v>1434.3918367346942</v>
      </c>
    </row>
    <row r="992" spans="1:4" x14ac:dyDescent="0.25">
      <c r="A992" s="2">
        <f ca="1">IFERROR(__xludf.DUMMYFUNCTION("""COMPUTED_VALUE"""),45842.6458333333)</f>
        <v>45842.645833333299</v>
      </c>
      <c r="B992" s="1">
        <f ca="1">IFERROR(__xludf.DUMMYFUNCTION("""COMPUTED_VALUE"""),1442.8)</f>
        <v>1442.8</v>
      </c>
      <c r="C992" s="3">
        <f t="shared" ca="1" si="30"/>
        <v>1.1852163545830607E-2</v>
      </c>
      <c r="D992">
        <f t="shared" ca="1" si="29"/>
        <v>1434.8653061224488</v>
      </c>
    </row>
    <row r="993" spans="1:4" x14ac:dyDescent="0.25">
      <c r="A993" s="2">
        <f ca="1">IFERROR(__xludf.DUMMYFUNCTION("""COMPUTED_VALUE"""),45845.6458333333)</f>
        <v>45845.645833333299</v>
      </c>
      <c r="B993" s="1">
        <f ca="1">IFERROR(__xludf.DUMMYFUNCTION("""COMPUTED_VALUE"""),1435.7)</f>
        <v>1435.7</v>
      </c>
      <c r="C993" s="3">
        <f t="shared" ca="1" si="30"/>
        <v>-4.9209869697809184E-3</v>
      </c>
      <c r="D993">
        <f t="shared" ca="1" si="29"/>
        <v>1435.6408163265305</v>
      </c>
    </row>
    <row r="994" spans="1:4" x14ac:dyDescent="0.25">
      <c r="A994" s="2">
        <f ca="1">IFERROR(__xludf.DUMMYFUNCTION("""COMPUTED_VALUE"""),45846.6458333333)</f>
        <v>45846.645833333299</v>
      </c>
      <c r="B994" s="1">
        <f ca="1">IFERROR(__xludf.DUMMYFUNCTION("""COMPUTED_VALUE"""),1442)</f>
        <v>1442</v>
      </c>
      <c r="C994" s="3">
        <f t="shared" ca="1" si="30"/>
        <v>4.3881033642125472E-3</v>
      </c>
      <c r="D994">
        <f t="shared" ca="1" si="29"/>
        <v>1435.781632653061</v>
      </c>
    </row>
    <row r="995" spans="1:4" x14ac:dyDescent="0.25">
      <c r="A995" s="2">
        <f ca="1">IFERROR(__xludf.DUMMYFUNCTION("""COMPUTED_VALUE"""),45847.6458333333)</f>
        <v>45847.645833333299</v>
      </c>
      <c r="B995" s="1">
        <f ca="1">IFERROR(__xludf.DUMMYFUNCTION("""COMPUTED_VALUE"""),1431.9)</f>
        <v>1431.9</v>
      </c>
      <c r="C995" s="3">
        <f t="shared" ca="1" si="30"/>
        <v>-7.0041608876559702E-3</v>
      </c>
      <c r="D995">
        <f t="shared" ca="1" si="29"/>
        <v>1436.0306122448981</v>
      </c>
    </row>
    <row r="996" spans="1:4" x14ac:dyDescent="0.25">
      <c r="A996" s="2">
        <f ca="1">IFERROR(__xludf.DUMMYFUNCTION("""COMPUTED_VALUE"""),45848.6458333333)</f>
        <v>45848.645833333299</v>
      </c>
      <c r="B996" s="1">
        <f ca="1">IFERROR(__xludf.DUMMYFUNCTION("""COMPUTED_VALUE"""),1424.1)</f>
        <v>1424.1</v>
      </c>
      <c r="C996" s="3">
        <f t="shared" ca="1" si="30"/>
        <v>-5.4473077728892953E-3</v>
      </c>
      <c r="D996">
        <f t="shared" ca="1" si="29"/>
        <v>1436.1306122448977</v>
      </c>
    </row>
    <row r="997" spans="1:4" x14ac:dyDescent="0.25">
      <c r="A997" s="2">
        <f ca="1">IFERROR(__xludf.DUMMYFUNCTION("""COMPUTED_VALUE"""),45849.6458333333)</f>
        <v>45849.645833333299</v>
      </c>
      <c r="B997" s="1">
        <f ca="1">IFERROR(__xludf.DUMMYFUNCTION("""COMPUTED_VALUE"""),1421.9)</f>
        <v>1421.9</v>
      </c>
      <c r="C997" s="3">
        <f t="shared" ca="1" si="30"/>
        <v>-1.5448353345971619E-3</v>
      </c>
      <c r="D997">
        <f t="shared" ca="1" si="29"/>
        <v>1435.961224489796</v>
      </c>
    </row>
    <row r="998" spans="1:4" x14ac:dyDescent="0.25">
      <c r="A998" s="2">
        <f ca="1">IFERROR(__xludf.DUMMYFUNCTION("""COMPUTED_VALUE"""),45852.6458333333)</f>
        <v>45852.645833333299</v>
      </c>
      <c r="B998" s="1">
        <f ca="1">IFERROR(__xludf.DUMMYFUNCTION("""COMPUTED_VALUE"""),1423)</f>
        <v>1423</v>
      </c>
      <c r="C998" s="3">
        <f t="shared" ca="1" si="30"/>
        <v>7.7361277164351148E-4</v>
      </c>
      <c r="D998">
        <f t="shared" ca="1" si="29"/>
        <v>1435.8081632653059</v>
      </c>
    </row>
    <row r="999" spans="1:4" x14ac:dyDescent="0.25">
      <c r="A999" s="2">
        <f ca="1">IFERROR(__xludf.DUMMYFUNCTION("""COMPUTED_VALUE"""),45853.6458333333)</f>
        <v>45853.645833333299</v>
      </c>
      <c r="B999" s="1">
        <f ca="1">IFERROR(__xludf.DUMMYFUNCTION("""COMPUTED_VALUE"""),1430.8)</f>
        <v>1430.8</v>
      </c>
      <c r="C999" s="3">
        <f t="shared" ca="1" si="30"/>
        <v>5.4813773717497924E-3</v>
      </c>
      <c r="D999">
        <f t="shared" ca="1" si="29"/>
        <v>1435.6326530612246</v>
      </c>
    </row>
    <row r="1000" spans="1:4" x14ac:dyDescent="0.25">
      <c r="A1000" s="2">
        <f ca="1">IFERROR(__xludf.DUMMYFUNCTION("""COMPUTED_VALUE"""),45854.6458333333)</f>
        <v>45854.645833333299</v>
      </c>
      <c r="B1000" s="1">
        <f ca="1">IFERROR(__xludf.DUMMYFUNCTION("""COMPUTED_VALUE"""),1426.4)</f>
        <v>1426.4</v>
      </c>
      <c r="C1000" s="3">
        <f t="shared" ca="1" si="30"/>
        <v>-3.0752026838131562E-3</v>
      </c>
      <c r="D1000">
        <f t="shared" ca="1" si="29"/>
        <v>1435.5387755102042</v>
      </c>
    </row>
    <row r="1001" spans="1:4" x14ac:dyDescent="0.25">
      <c r="A1001" s="2">
        <f ca="1">IFERROR(__xludf.DUMMYFUNCTION("""COMPUTED_VALUE"""),45855.6458333333)</f>
        <v>45855.645833333299</v>
      </c>
      <c r="B1001" s="1">
        <f ca="1">IFERROR(__xludf.DUMMYFUNCTION("""COMPUTED_VALUE"""),1418.7)</f>
        <v>1418.7</v>
      </c>
      <c r="C1001" s="3">
        <f t="shared" ca="1" si="30"/>
        <v>-5.3982052720134921E-3</v>
      </c>
      <c r="D1001">
        <f t="shared" ca="1" si="29"/>
        <v>1435.3530612244895</v>
      </c>
    </row>
    <row r="1002" spans="1:4" x14ac:dyDescent="0.25">
      <c r="A1002" s="2">
        <f ca="1">IFERROR(__xludf.DUMMYFUNCTION("""COMPUTED_VALUE"""),45856.6458333333)</f>
        <v>45856.645833333299</v>
      </c>
      <c r="B1002" s="1">
        <f ca="1">IFERROR(__xludf.DUMMYFUNCTION("""COMPUTED_VALUE"""),1425.8)</f>
        <v>1425.8</v>
      </c>
      <c r="C1002" s="3">
        <f t="shared" ca="1" si="30"/>
        <v>5.0045816592654609E-3</v>
      </c>
      <c r="D1002">
        <f t="shared" ca="1" si="29"/>
        <v>1435.961224489796</v>
      </c>
    </row>
    <row r="1003" spans="1:4" x14ac:dyDescent="0.25">
      <c r="A1003" s="2">
        <f ca="1">IFERROR(__xludf.DUMMYFUNCTION("""COMPUTED_VALUE"""),45859.6458333333)</f>
        <v>45859.645833333299</v>
      </c>
      <c r="B1003" s="1">
        <f ca="1">IFERROR(__xludf.DUMMYFUNCTION("""COMPUTED_VALUE"""),1465.8)</f>
        <v>1465.8</v>
      </c>
      <c r="C1003" s="3">
        <f t="shared" ca="1" si="30"/>
        <v>2.8054425585636134E-2</v>
      </c>
      <c r="D1003">
        <f t="shared" ca="1" si="29"/>
        <v>1435.4979591836734</v>
      </c>
    </row>
    <row r="1004" spans="1:4" x14ac:dyDescent="0.25">
      <c r="A1004" s="2">
        <f ca="1">IFERROR(__xludf.DUMMYFUNCTION("""COMPUTED_VALUE"""),45860.6458333333)</f>
        <v>45860.645833333299</v>
      </c>
      <c r="B1004" s="1">
        <f ca="1">IFERROR(__xludf.DUMMYFUNCTION("""COMPUTED_VALUE"""),1473.6)</f>
        <v>1473.6</v>
      </c>
      <c r="C1004" s="3">
        <f t="shared" ca="1" si="30"/>
        <v>5.3213262382316518E-3</v>
      </c>
      <c r="D1004">
        <f t="shared" ca="1" si="29"/>
        <v>1436.2163265306124</v>
      </c>
    </row>
    <row r="1005" spans="1:4" x14ac:dyDescent="0.25">
      <c r="A1005" s="2">
        <f ca="1">IFERROR(__xludf.DUMMYFUNCTION("""COMPUTED_VALUE"""),45861.6458333333)</f>
        <v>45861.645833333299</v>
      </c>
      <c r="B1005" s="1">
        <f ca="1">IFERROR(__xludf.DUMMYFUNCTION("""COMPUTED_VALUE"""),1488.6)</f>
        <v>1488.6</v>
      </c>
      <c r="C1005" s="3">
        <f t="shared" ca="1" si="30"/>
        <v>1.0179153094462542E-2</v>
      </c>
      <c r="D1005">
        <f t="shared" ca="1" si="29"/>
        <v>1437.1836734693879</v>
      </c>
    </row>
    <row r="1006" spans="1:4" x14ac:dyDescent="0.25">
      <c r="A1006" s="2">
        <f ca="1">IFERROR(__xludf.DUMMYFUNCTION("""COMPUTED_VALUE"""),45862.6458333333)</f>
        <v>45862.645833333299</v>
      </c>
      <c r="B1006" s="1">
        <f ca="1">IFERROR(__xludf.DUMMYFUNCTION("""COMPUTED_VALUE"""),1483.4)</f>
        <v>1483.4</v>
      </c>
      <c r="C1006" s="3">
        <f t="shared" ca="1" si="30"/>
        <v>-3.4932151014374704E-3</v>
      </c>
      <c r="D1006">
        <f t="shared" ca="1" si="29"/>
        <v>1437.9551020408167</v>
      </c>
    </row>
    <row r="1007" spans="1:4" x14ac:dyDescent="0.25">
      <c r="A1007" s="2">
        <f ca="1">IFERROR(__xludf.DUMMYFUNCTION("""COMPUTED_VALUE"""),45863.6458333333)</f>
        <v>45863.645833333299</v>
      </c>
      <c r="B1007" s="1">
        <f ca="1">IFERROR(__xludf.DUMMYFUNCTION("""COMPUTED_VALUE"""),1477.1)</f>
        <v>1477.1</v>
      </c>
      <c r="C1007" s="3">
        <f t="shared" ca="1" si="30"/>
        <v>-4.247000134825523E-3</v>
      </c>
      <c r="D1007">
        <f t="shared" ca="1" si="29"/>
        <v>1438.5551020408166</v>
      </c>
    </row>
    <row r="1008" spans="1:4" x14ac:dyDescent="0.25">
      <c r="A1008" s="2">
        <f ca="1">IFERROR(__xludf.DUMMYFUNCTION("""COMPUTED_VALUE"""),45866.6458333333)</f>
        <v>45866.645833333299</v>
      </c>
      <c r="B1008" s="1">
        <f ca="1">IFERROR(__xludf.DUMMYFUNCTION("""COMPUTED_VALUE"""),1488.4)</f>
        <v>1488.4</v>
      </c>
      <c r="C1008" s="3">
        <f t="shared" ca="1" si="30"/>
        <v>7.6501252454134333E-3</v>
      </c>
      <c r="D1008">
        <f t="shared" ca="1" si="29"/>
        <v>1439.1285714285718</v>
      </c>
    </row>
    <row r="1009" spans="1:4" x14ac:dyDescent="0.25">
      <c r="A1009" s="2">
        <f ca="1">IFERROR(__xludf.DUMMYFUNCTION("""COMPUTED_VALUE"""),45867.6458333333)</f>
        <v>45867.645833333299</v>
      </c>
      <c r="B1009" s="1">
        <f ca="1">IFERROR(__xludf.DUMMYFUNCTION("""COMPUTED_VALUE"""),1486.2)</f>
        <v>1486.2</v>
      </c>
      <c r="C1009" s="3">
        <f t="shared" ca="1" si="30"/>
        <v>-1.4780972856759239E-3</v>
      </c>
      <c r="D1009">
        <f t="shared" ca="1" si="29"/>
        <v>1440.1530612244899</v>
      </c>
    </row>
    <row r="1010" spans="1:4" x14ac:dyDescent="0.25">
      <c r="A1010" s="2">
        <f ca="1">IFERROR(__xludf.DUMMYFUNCTION("""COMPUTED_VALUE"""),45868.6458333333)</f>
        <v>45868.645833333299</v>
      </c>
      <c r="B1010" s="1">
        <f ca="1">IFERROR(__xludf.DUMMYFUNCTION("""COMPUTED_VALUE"""),1482.4)</f>
        <v>1482.4</v>
      </c>
      <c r="C1010" s="3">
        <f t="shared" ca="1" si="30"/>
        <v>-2.5568564123267085E-3</v>
      </c>
      <c r="D1010">
        <f t="shared" ca="1" si="29"/>
        <v>1441</v>
      </c>
    </row>
    <row r="1011" spans="1:4" x14ac:dyDescent="0.25">
      <c r="A1011" s="2">
        <f ca="1">IFERROR(__xludf.DUMMYFUNCTION("""COMPUTED_VALUE"""),45869.6458333333)</f>
        <v>45869.645833333299</v>
      </c>
      <c r="B1011" s="1">
        <f ca="1">IFERROR(__xludf.DUMMYFUNCTION("""COMPUTED_VALUE"""),1481.4)</f>
        <v>1481.4</v>
      </c>
      <c r="C1011" s="3">
        <f t="shared" ca="1" si="30"/>
        <v>-6.7458175930922828E-4</v>
      </c>
      <c r="D1011">
        <f t="shared" ca="1" si="29"/>
        <v>1441.8224489795919</v>
      </c>
    </row>
    <row r="1012" spans="1:4" x14ac:dyDescent="0.25">
      <c r="A1012" s="2">
        <f ca="1">IFERROR(__xludf.DUMMYFUNCTION("""COMPUTED_VALUE"""),45870.6458333333)</f>
        <v>45870.645833333299</v>
      </c>
      <c r="B1012" s="1">
        <f ca="1">IFERROR(__xludf.DUMMYFUNCTION("""COMPUTED_VALUE"""),1471.6)</f>
        <v>1471.6</v>
      </c>
      <c r="C1012" s="3">
        <f t="shared" ca="1" si="30"/>
        <v>-6.615363845011598E-3</v>
      </c>
      <c r="D1012">
        <f t="shared" ref="D1012:D1075" ca="1" si="31">AVERAGE(B963:B1011)</f>
        <v>1442.4673469387753</v>
      </c>
    </row>
    <row r="1013" spans="1:4" x14ac:dyDescent="0.25">
      <c r="A1013" s="2">
        <f ca="1">IFERROR(__xludf.DUMMYFUNCTION("""COMPUTED_VALUE"""),45873.6458333333)</f>
        <v>45873.645833333299</v>
      </c>
      <c r="B1013" s="1">
        <f ca="1">IFERROR(__xludf.DUMMYFUNCTION("""COMPUTED_VALUE"""),1463.2)</f>
        <v>1463.2</v>
      </c>
      <c r="C1013" s="3">
        <f t="shared" ca="1" si="30"/>
        <v>-5.7080728458819407E-3</v>
      </c>
      <c r="D1013">
        <f t="shared" ca="1" si="31"/>
        <v>1442.6918367346937</v>
      </c>
    </row>
    <row r="1014" spans="1:4" x14ac:dyDescent="0.25">
      <c r="A1014" s="2">
        <f ca="1">IFERROR(__xludf.DUMMYFUNCTION("""COMPUTED_VALUE"""),45874.6458333333)</f>
        <v>45874.645833333299</v>
      </c>
      <c r="B1014" s="1">
        <f ca="1">IFERROR(__xludf.DUMMYFUNCTION("""COMPUTED_VALUE"""),1444.4)</f>
        <v>1444.4</v>
      </c>
      <c r="C1014" s="3">
        <f t="shared" ca="1" si="30"/>
        <v>-1.2848551120831024E-2</v>
      </c>
      <c r="D1014">
        <f t="shared" ca="1" si="31"/>
        <v>1443.034693877551</v>
      </c>
    </row>
    <row r="1015" spans="1:4" x14ac:dyDescent="0.25">
      <c r="A1015" s="2">
        <f ca="1">IFERROR(__xludf.DUMMYFUNCTION("""COMPUTED_VALUE"""),45875.6458333333)</f>
        <v>45875.645833333299</v>
      </c>
      <c r="B1015" s="1">
        <f ca="1">IFERROR(__xludf.DUMMYFUNCTION("""COMPUTED_VALUE"""),1443.6)</f>
        <v>1443.6</v>
      </c>
      <c r="C1015" s="3">
        <f t="shared" ca="1" si="30"/>
        <v>-5.5386319579076558E-4</v>
      </c>
      <c r="D1015">
        <f t="shared" ca="1" si="31"/>
        <v>1442.8428571428572</v>
      </c>
    </row>
    <row r="1016" spans="1:4" x14ac:dyDescent="0.25">
      <c r="A1016" s="2">
        <f ca="1">IFERROR(__xludf.DUMMYFUNCTION("""COMPUTED_VALUE"""),45876.6458333333)</f>
        <v>45876.645833333299</v>
      </c>
      <c r="B1016" s="1">
        <f ca="1">IFERROR(__xludf.DUMMYFUNCTION("""COMPUTED_VALUE"""),1440.3)</f>
        <v>1440.3</v>
      </c>
      <c r="C1016" s="3">
        <f t="shared" ca="1" si="30"/>
        <v>-2.2859517871986388E-3</v>
      </c>
      <c r="D1016">
        <f t="shared" ca="1" si="31"/>
        <v>1442.5795918367348</v>
      </c>
    </row>
    <row r="1017" spans="1:4" x14ac:dyDescent="0.25">
      <c r="A1017" s="2">
        <f ca="1">IFERROR(__xludf.DUMMYFUNCTION("""COMPUTED_VALUE"""),45877.6458333333)</f>
        <v>45877.645833333299</v>
      </c>
      <c r="B1017" s="1">
        <f ca="1">IFERROR(__xludf.DUMMYFUNCTION("""COMPUTED_VALUE"""),1435.9)</f>
        <v>1435.9</v>
      </c>
      <c r="C1017" s="3">
        <f t="shared" ca="1" si="30"/>
        <v>-3.0549191140733624E-3</v>
      </c>
      <c r="D1017">
        <f t="shared" ca="1" si="31"/>
        <v>1442.4673469387758</v>
      </c>
    </row>
    <row r="1018" spans="1:4" x14ac:dyDescent="0.25">
      <c r="A1018" s="2">
        <f ca="1">IFERROR(__xludf.DUMMYFUNCTION("""COMPUTED_VALUE"""),45880.6458333333)</f>
        <v>45880.645833333299</v>
      </c>
      <c r="B1018" s="1">
        <f ca="1">IFERROR(__xludf.DUMMYFUNCTION("""COMPUTED_VALUE"""),1436.6)</f>
        <v>1436.6</v>
      </c>
      <c r="C1018" s="3">
        <f t="shared" ca="1" si="30"/>
        <v>4.874991294657135E-4</v>
      </c>
      <c r="D1018">
        <f t="shared" ca="1" si="31"/>
        <v>1442.1693877551022</v>
      </c>
    </row>
    <row r="1019" spans="1:4" x14ac:dyDescent="0.25">
      <c r="A1019" s="2">
        <f ca="1">IFERROR(__xludf.DUMMYFUNCTION("""COMPUTED_VALUE"""),45881.6458333333)</f>
        <v>45881.645833333299</v>
      </c>
      <c r="B1019" s="1">
        <f ca="1">IFERROR(__xludf.DUMMYFUNCTION("""COMPUTED_VALUE"""),1422)</f>
        <v>1422</v>
      </c>
      <c r="C1019" s="3">
        <f t="shared" ca="1" si="30"/>
        <v>-1.0162884588611937E-2</v>
      </c>
      <c r="D1019">
        <f t="shared" ca="1" si="31"/>
        <v>1442.1428571428571</v>
      </c>
    </row>
    <row r="1020" spans="1:4" x14ac:dyDescent="0.25">
      <c r="A1020" s="2">
        <f ca="1">IFERROR(__xludf.DUMMYFUNCTION("""COMPUTED_VALUE"""),45882.6458333333)</f>
        <v>45882.645833333299</v>
      </c>
      <c r="B1020" s="1">
        <f ca="1">IFERROR(__xludf.DUMMYFUNCTION("""COMPUTED_VALUE"""),1420.8)</f>
        <v>1420.8</v>
      </c>
      <c r="C1020" s="3">
        <f t="shared" ca="1" si="30"/>
        <v>-8.4388185654011639E-4</v>
      </c>
      <c r="D1020">
        <f t="shared" ca="1" si="31"/>
        <v>1441.9591836734694</v>
      </c>
    </row>
    <row r="1021" spans="1:4" x14ac:dyDescent="0.25">
      <c r="A1021" s="2">
        <f ca="1">IFERROR(__xludf.DUMMYFUNCTION("""COMPUTED_VALUE"""),45883.6458333333)</f>
        <v>45883.645833333299</v>
      </c>
      <c r="B1021" s="1">
        <f ca="1">IFERROR(__xludf.DUMMYFUNCTION("""COMPUTED_VALUE"""),1427.3)</f>
        <v>1427.3</v>
      </c>
      <c r="C1021" s="3">
        <f t="shared" ca="1" si="30"/>
        <v>4.5748873873873875E-3</v>
      </c>
      <c r="D1021">
        <f t="shared" ca="1" si="31"/>
        <v>1441.2653061224489</v>
      </c>
    </row>
    <row r="1022" spans="1:4" x14ac:dyDescent="0.25">
      <c r="A1022" s="2">
        <f ca="1">IFERROR(__xludf.DUMMYFUNCTION("""COMPUTED_VALUE"""),45887.6458333333)</f>
        <v>45887.645833333299</v>
      </c>
      <c r="B1022" s="1">
        <f ca="1">IFERROR(__xludf.DUMMYFUNCTION("""COMPUTED_VALUE"""),1434.6)</f>
        <v>1434.6</v>
      </c>
      <c r="C1022" s="3">
        <f t="shared" ca="1" si="30"/>
        <v>5.1145519512365688E-3</v>
      </c>
      <c r="D1022">
        <f t="shared" ca="1" si="31"/>
        <v>1440.6040816326531</v>
      </c>
    </row>
    <row r="1023" spans="1:4" x14ac:dyDescent="0.25">
      <c r="A1023" s="2">
        <f ca="1">IFERROR(__xludf.DUMMYFUNCTION("""COMPUTED_VALUE"""),45888.6458333333)</f>
        <v>45888.645833333299</v>
      </c>
      <c r="B1023" s="1">
        <f ca="1">IFERROR(__xludf.DUMMYFUNCTION("""COMPUTED_VALUE"""),1436.3)</f>
        <v>1436.3</v>
      </c>
      <c r="C1023" s="3">
        <f t="shared" ca="1" si="30"/>
        <v>1.1849993029416184E-3</v>
      </c>
      <c r="D1023">
        <f t="shared" ca="1" si="31"/>
        <v>1440.6000000000004</v>
      </c>
    </row>
    <row r="1024" spans="1:4" x14ac:dyDescent="0.25">
      <c r="A1024" s="2">
        <f ca="1">IFERROR(__xludf.DUMMYFUNCTION("""COMPUTED_VALUE"""),45889.6458333333)</f>
        <v>45889.645833333299</v>
      </c>
      <c r="B1024" s="1">
        <f ca="1">IFERROR(__xludf.DUMMYFUNCTION("""COMPUTED_VALUE"""),1430.6)</f>
        <v>1430.6</v>
      </c>
      <c r="C1024" s="3">
        <f t="shared" ca="1" si="30"/>
        <v>-3.9685302513402807E-3</v>
      </c>
      <c r="D1024">
        <f t="shared" ca="1" si="31"/>
        <v>1440.8734693877554</v>
      </c>
    </row>
    <row r="1025" spans="1:4" x14ac:dyDescent="0.25">
      <c r="A1025" s="2">
        <f ca="1">IFERROR(__xludf.DUMMYFUNCTION("""COMPUTED_VALUE"""),45890.6458333333)</f>
        <v>45890.645833333299</v>
      </c>
      <c r="B1025" s="1">
        <f ca="1">IFERROR(__xludf.DUMMYFUNCTION("""COMPUTED_VALUE"""),1446)</f>
        <v>1446</v>
      </c>
      <c r="C1025" s="3">
        <f t="shared" ca="1" si="30"/>
        <v>1.0764714105969587E-2</v>
      </c>
      <c r="D1025">
        <f t="shared" ca="1" si="31"/>
        <v>1440.8653061224495</v>
      </c>
    </row>
    <row r="1026" spans="1:4" x14ac:dyDescent="0.25">
      <c r="A1026" s="2">
        <f ca="1">IFERROR(__xludf.DUMMYFUNCTION("""COMPUTED_VALUE"""),45891.6458333333)</f>
        <v>45891.645833333299</v>
      </c>
      <c r="B1026" s="1">
        <f ca="1">IFERROR(__xludf.DUMMYFUNCTION("""COMPUTED_VALUE"""),1436.4)</f>
        <v>1436.4</v>
      </c>
      <c r="C1026" s="3">
        <f t="shared" ca="1" si="30"/>
        <v>-6.6390041493775307E-3</v>
      </c>
      <c r="D1026">
        <f t="shared" ca="1" si="31"/>
        <v>1441.2897959183679</v>
      </c>
    </row>
    <row r="1027" spans="1:4" x14ac:dyDescent="0.25">
      <c r="A1027" s="2">
        <f ca="1">IFERROR(__xludf.DUMMYFUNCTION("""COMPUTED_VALUE"""),45894.6458333333)</f>
        <v>45894.645833333299</v>
      </c>
      <c r="B1027" s="1">
        <f ca="1">IFERROR(__xludf.DUMMYFUNCTION("""COMPUTED_VALUE"""),1433.2)</f>
        <v>1433.2</v>
      </c>
      <c r="C1027" s="3">
        <f t="shared" ca="1" si="30"/>
        <v>-2.2277917014759435E-3</v>
      </c>
      <c r="D1027">
        <f t="shared" ca="1" si="31"/>
        <v>1441.704081632653</v>
      </c>
    </row>
    <row r="1028" spans="1:4" x14ac:dyDescent="0.25">
      <c r="A1028" s="2">
        <f ca="1">IFERROR(__xludf.DUMMYFUNCTION("""COMPUTED_VALUE"""),45895.6458333333)</f>
        <v>45895.645833333299</v>
      </c>
      <c r="B1028" s="1">
        <f ca="1">IFERROR(__xludf.DUMMYFUNCTION("""COMPUTED_VALUE"""),1416.6)</f>
        <v>1416.6</v>
      </c>
      <c r="C1028" s="3">
        <f t="shared" ref="C1028:C1091" ca="1" si="32">(B1028-B1027)/B1027</f>
        <v>-1.1582472788166437E-2</v>
      </c>
      <c r="D1028">
        <f t="shared" ca="1" si="31"/>
        <v>1441.8326530612246</v>
      </c>
    </row>
    <row r="1029" spans="1:4" x14ac:dyDescent="0.25">
      <c r="A1029" s="2">
        <f ca="1">IFERROR(__xludf.DUMMYFUNCTION("""COMPUTED_VALUE"""),45897.6458333333)</f>
        <v>45897.645833333299</v>
      </c>
      <c r="B1029" s="1">
        <f ca="1">IFERROR(__xludf.DUMMYFUNCTION("""COMPUTED_VALUE"""),1399.1)</f>
        <v>1399.1</v>
      </c>
      <c r="C1029" s="3">
        <f t="shared" ca="1" si="32"/>
        <v>-1.2353522518706764E-2</v>
      </c>
      <c r="D1029">
        <f t="shared" ca="1" si="31"/>
        <v>1441.6979591836734</v>
      </c>
    </row>
    <row r="1030" spans="1:4" x14ac:dyDescent="0.25">
      <c r="A1030" s="2">
        <f ca="1">IFERROR(__xludf.DUMMYFUNCTION("""COMPUTED_VALUE"""),45898.6458333333)</f>
        <v>45898.645833333299</v>
      </c>
      <c r="B1030" s="1">
        <f ca="1">IFERROR(__xludf.DUMMYFUNCTION("""COMPUTED_VALUE"""),1397.8)</f>
        <v>1397.8</v>
      </c>
      <c r="C1030" s="3">
        <f t="shared" ca="1" si="32"/>
        <v>-9.2916875134011476E-4</v>
      </c>
      <c r="D1030">
        <f t="shared" ca="1" si="31"/>
        <v>1441.422448979592</v>
      </c>
    </row>
    <row r="1031" spans="1:4" x14ac:dyDescent="0.25">
      <c r="A1031" s="2">
        <f ca="1">IFERROR(__xludf.DUMMYFUNCTION("""COMPUTED_VALUE"""),45901.6458333333)</f>
        <v>45901.645833333299</v>
      </c>
      <c r="B1031" s="1">
        <f ca="1">IFERROR(__xludf.DUMMYFUNCTION("""COMPUTED_VALUE"""),1411)</f>
        <v>1411</v>
      </c>
      <c r="C1031" s="3">
        <f t="shared" ca="1" si="32"/>
        <v>9.4434110745457468E-3</v>
      </c>
      <c r="D1031">
        <f t="shared" ca="1" si="31"/>
        <v>1441.1469387755108</v>
      </c>
    </row>
    <row r="1032" spans="1:4" x14ac:dyDescent="0.25">
      <c r="A1032" s="2">
        <f ca="1">IFERROR(__xludf.DUMMYFUNCTION("""COMPUTED_VALUE"""),45902.6458333333)</f>
        <v>45902.645833333299</v>
      </c>
      <c r="B1032" s="1">
        <f ca="1">IFERROR(__xludf.DUMMYFUNCTION("""COMPUTED_VALUE"""),1394.2)</f>
        <v>1394.2</v>
      </c>
      <c r="C1032" s="3">
        <f t="shared" ca="1" si="32"/>
        <v>-1.1906449326718607E-2</v>
      </c>
      <c r="D1032">
        <f t="shared" ca="1" si="31"/>
        <v>1440.8183673469391</v>
      </c>
    </row>
    <row r="1033" spans="1:4" x14ac:dyDescent="0.25">
      <c r="A1033" s="2">
        <f ca="1">IFERROR(__xludf.DUMMYFUNCTION("""COMPUTED_VALUE"""),45903.6458333333)</f>
        <v>45903.645833333299</v>
      </c>
      <c r="B1033" s="1">
        <f ca="1">IFERROR(__xludf.DUMMYFUNCTION("""COMPUTED_VALUE"""),1397)</f>
        <v>1397</v>
      </c>
      <c r="C1033" s="3">
        <f t="shared" ca="1" si="32"/>
        <v>2.0083201836178129E-3</v>
      </c>
      <c r="D1033">
        <f t="shared" ca="1" si="31"/>
        <v>1440.2897959183672</v>
      </c>
    </row>
    <row r="1034" spans="1:4" x14ac:dyDescent="0.25">
      <c r="A1034" s="2">
        <f ca="1">IFERROR(__xludf.DUMMYFUNCTION("""COMPUTED_VALUE"""),45904.6458333333)</f>
        <v>45904.645833333299</v>
      </c>
      <c r="B1034" s="1">
        <f ca="1">IFERROR(__xludf.DUMMYFUNCTION("""COMPUTED_VALUE"""),1405.5)</f>
        <v>1405.5</v>
      </c>
      <c r="C1034" s="3">
        <f t="shared" ca="1" si="32"/>
        <v>6.0844667143879743E-3</v>
      </c>
      <c r="D1034">
        <f t="shared" ca="1" si="31"/>
        <v>1439.7367346938775</v>
      </c>
    </row>
    <row r="1035" spans="1:4" x14ac:dyDescent="0.25">
      <c r="A1035" s="2">
        <f ca="1">IFERROR(__xludf.DUMMYFUNCTION("""COMPUTED_VALUE"""),45905.6458333333)</f>
        <v>45905.645833333299</v>
      </c>
      <c r="B1035" s="1">
        <f ca="1">IFERROR(__xludf.DUMMYFUNCTION("""COMPUTED_VALUE"""),1402.8)</f>
        <v>1402.8</v>
      </c>
      <c r="C1035" s="3">
        <f t="shared" ca="1" si="32"/>
        <v>-1.9210245464247923E-3</v>
      </c>
      <c r="D1035">
        <f t="shared" ca="1" si="31"/>
        <v>1439.3224489795919</v>
      </c>
    </row>
    <row r="1036" spans="1:4" x14ac:dyDescent="0.25">
      <c r="A1036" s="2">
        <f ca="1">IFERROR(__xludf.DUMMYFUNCTION("""COMPUTED_VALUE"""),45908.6458333333)</f>
        <v>45908.645833333299</v>
      </c>
      <c r="B1036" s="1">
        <f ca="1">IFERROR(__xludf.DUMMYFUNCTION("""COMPUTED_VALUE"""),1402.7)</f>
        <v>1402.7</v>
      </c>
      <c r="C1036" s="3">
        <f t="shared" ca="1" si="32"/>
        <v>-7.1285999429647175E-5</v>
      </c>
      <c r="D1036">
        <f t="shared" ca="1" si="31"/>
        <v>1438.5816326530612</v>
      </c>
    </row>
    <row r="1037" spans="1:4" x14ac:dyDescent="0.25">
      <c r="A1037" s="2">
        <f ca="1">IFERROR(__xludf.DUMMYFUNCTION("""COMPUTED_VALUE"""),45909.6458333333)</f>
        <v>45909.645833333299</v>
      </c>
      <c r="B1037" s="1">
        <f ca="1">IFERROR(__xludf.DUMMYFUNCTION("""COMPUTED_VALUE"""),1403.7)</f>
        <v>1403.7</v>
      </c>
      <c r="C1037" s="3">
        <f t="shared" ca="1" si="32"/>
        <v>7.1291081485706136E-4</v>
      </c>
      <c r="D1037">
        <f t="shared" ca="1" si="31"/>
        <v>1437.3673469387754</v>
      </c>
    </row>
    <row r="1038" spans="1:4" x14ac:dyDescent="0.25">
      <c r="A1038" s="2">
        <f ca="1">IFERROR(__xludf.DUMMYFUNCTION("""COMPUTED_VALUE"""),45910.6458333333)</f>
        <v>45910.645833333299</v>
      </c>
      <c r="B1038" s="1">
        <f ca="1">IFERROR(__xludf.DUMMYFUNCTION("""COMPUTED_VALUE"""),1403.9)</f>
        <v>1403.9</v>
      </c>
      <c r="C1038" s="3">
        <f t="shared" ca="1" si="32"/>
        <v>1.4248058702005093E-4</v>
      </c>
      <c r="D1038">
        <f t="shared" ca="1" si="31"/>
        <v>1436.5081632653059</v>
      </c>
    </row>
    <row r="1039" spans="1:4" x14ac:dyDescent="0.25">
      <c r="A1039" s="2">
        <f ca="1">IFERROR(__xludf.DUMMYFUNCTION("""COMPUTED_VALUE"""),45911.6458333333)</f>
        <v>45911.645833333299</v>
      </c>
      <c r="B1039" s="1">
        <f ca="1">IFERROR(__xludf.DUMMYFUNCTION("""COMPUTED_VALUE"""),1401.6)</f>
        <v>1401.6</v>
      </c>
      <c r="C1039" s="3">
        <f t="shared" ca="1" si="32"/>
        <v>-1.6382933257355807E-3</v>
      </c>
      <c r="D1039">
        <f t="shared" ca="1" si="31"/>
        <v>1435.9346938775507</v>
      </c>
    </row>
    <row r="1040" spans="1:4" x14ac:dyDescent="0.25">
      <c r="A1040" s="2">
        <f ca="1">IFERROR(__xludf.DUMMYFUNCTION("""COMPUTED_VALUE"""),45912.6458333333)</f>
        <v>45912.645833333299</v>
      </c>
      <c r="B1040" s="1">
        <f ca="1">IFERROR(__xludf.DUMMYFUNCTION("""COMPUTED_VALUE"""),1417.7)</f>
        <v>1417.7</v>
      </c>
      <c r="C1040" s="3">
        <f t="shared" ca="1" si="32"/>
        <v>1.1486872146118819E-2</v>
      </c>
      <c r="D1040">
        <f t="shared" ca="1" si="31"/>
        <v>1435.4</v>
      </c>
    </row>
    <row r="1041" spans="1:4" x14ac:dyDescent="0.25">
      <c r="A1041" s="2">
        <f ca="1">IFERROR(__xludf.DUMMYFUNCTION("""COMPUTED_VALUE"""),45915.6458333333)</f>
        <v>45915.645833333299</v>
      </c>
      <c r="B1041" s="1">
        <f ca="1">IFERROR(__xludf.DUMMYFUNCTION("""COMPUTED_VALUE"""),1419.4)</f>
        <v>1419.4</v>
      </c>
      <c r="C1041" s="3">
        <f t="shared" ca="1" si="32"/>
        <v>1.1991253438668585E-3</v>
      </c>
      <c r="D1041">
        <f t="shared" ca="1" si="31"/>
        <v>1435.2326530612245</v>
      </c>
    </row>
    <row r="1042" spans="1:4" x14ac:dyDescent="0.25">
      <c r="A1042" s="2">
        <f ca="1">IFERROR(__xludf.DUMMYFUNCTION("""COMPUTED_VALUE"""),45916.6458333333)</f>
        <v>45916.645833333299</v>
      </c>
      <c r="B1042" s="1">
        <f ca="1">IFERROR(__xludf.DUMMYFUNCTION("""COMPUTED_VALUE"""),1421.6)</f>
        <v>1421.6</v>
      </c>
      <c r="C1042" s="3">
        <f t="shared" ca="1" si="32"/>
        <v>1.5499506833872186E-3</v>
      </c>
      <c r="D1042">
        <f t="shared" ca="1" si="31"/>
        <v>1434.7551020408164</v>
      </c>
    </row>
    <row r="1043" spans="1:4" x14ac:dyDescent="0.25">
      <c r="A1043" s="2">
        <f ca="1">IFERROR(__xludf.DUMMYFUNCTION("""COMPUTED_VALUE"""),45917.6458333333)</f>
        <v>45917.645833333299</v>
      </c>
      <c r="B1043" s="1">
        <f ca="1">IFERROR(__xludf.DUMMYFUNCTION("""COMPUTED_VALUE"""),1419.2)</f>
        <v>1419.2</v>
      </c>
      <c r="C1043" s="3">
        <f t="shared" ca="1" si="32"/>
        <v>-1.6882386043893245E-3</v>
      </c>
      <c r="D1043">
        <f t="shared" ca="1" si="31"/>
        <v>1434.4673469387758</v>
      </c>
    </row>
    <row r="1044" spans="1:4" x14ac:dyDescent="0.25">
      <c r="A1044" s="2">
        <f ca="1">IFERROR(__xludf.DUMMYFUNCTION("""COMPUTED_VALUE"""),45918.6458333333)</f>
        <v>45918.645833333299</v>
      </c>
      <c r="B1044" s="1">
        <f ca="1">IFERROR(__xludf.DUMMYFUNCTION("""COMPUTED_VALUE"""),1421.7)</f>
        <v>1421.7</v>
      </c>
      <c r="C1044" s="3">
        <f t="shared" ca="1" si="32"/>
        <v>1.7615558060879368E-3</v>
      </c>
      <c r="D1044">
        <f t="shared" ca="1" si="31"/>
        <v>1434.0020408163264</v>
      </c>
    </row>
    <row r="1045" spans="1:4" x14ac:dyDescent="0.25">
      <c r="A1045" s="2">
        <f ca="1">IFERROR(__xludf.DUMMYFUNCTION("""COMPUTED_VALUE"""),45919.6458333333)</f>
        <v>45919.645833333299</v>
      </c>
      <c r="B1045" s="1">
        <f ca="1">IFERROR(__xludf.DUMMYFUNCTION("""COMPUTED_VALUE"""),1402.2)</f>
        <v>1402.2</v>
      </c>
      <c r="C1045" s="3">
        <f t="shared" ca="1" si="32"/>
        <v>-1.3715973834142223E-2</v>
      </c>
      <c r="D1045">
        <f t="shared" ca="1" si="31"/>
        <v>1433.7938775510204</v>
      </c>
    </row>
    <row r="1046" spans="1:4" x14ac:dyDescent="0.25">
      <c r="A1046" s="2">
        <f ca="1">IFERROR(__xludf.DUMMYFUNCTION("""COMPUTED_VALUE"""),45922.6458333333)</f>
        <v>45922.645833333299</v>
      </c>
      <c r="B1046" s="1">
        <f ca="1">IFERROR(__xludf.DUMMYFUNCTION("""COMPUTED_VALUE"""),1401.5)</f>
        <v>1401.5</v>
      </c>
      <c r="C1046" s="3">
        <f t="shared" ca="1" si="32"/>
        <v>-4.9921551847100659E-4</v>
      </c>
      <c r="D1046">
        <f t="shared" ca="1" si="31"/>
        <v>1433.3469387755101</v>
      </c>
    </row>
    <row r="1047" spans="1:4" x14ac:dyDescent="0.25">
      <c r="A1047" s="2">
        <f ca="1">IFERROR(__xludf.DUMMYFUNCTION("""COMPUTED_VALUE"""),45923.6458333333)</f>
        <v>45923.645833333299</v>
      </c>
      <c r="B1047" s="1">
        <f ca="1">IFERROR(__xludf.DUMMYFUNCTION("""COMPUTED_VALUE"""),1394.3)</f>
        <v>1394.3</v>
      </c>
      <c r="C1047" s="3">
        <f t="shared" ca="1" si="32"/>
        <v>-5.1373528362469107E-3</v>
      </c>
      <c r="D1047">
        <f t="shared" ca="1" si="31"/>
        <v>1432.9306122448977</v>
      </c>
    </row>
    <row r="1048" spans="1:4" x14ac:dyDescent="0.25">
      <c r="A1048" s="2">
        <f ca="1">IFERROR(__xludf.DUMMYFUNCTION("""COMPUTED_VALUE"""),45924.6458333333)</f>
        <v>45924.645833333299</v>
      </c>
      <c r="B1048" s="1">
        <f ca="1">IFERROR(__xludf.DUMMYFUNCTION("""COMPUTED_VALUE"""),1382.7)</f>
        <v>1382.7</v>
      </c>
      <c r="C1048" s="3">
        <f t="shared" ca="1" si="32"/>
        <v>-8.3195868894785259E-3</v>
      </c>
      <c r="D1048">
        <f t="shared" ca="1" si="31"/>
        <v>1432.3448979591835</v>
      </c>
    </row>
    <row r="1049" spans="1:4" x14ac:dyDescent="0.25">
      <c r="A1049" s="2">
        <f ca="1">IFERROR(__xludf.DUMMYFUNCTION("""COMPUTED_VALUE"""),45925.6458333333)</f>
        <v>45925.645833333299</v>
      </c>
      <c r="B1049" s="1">
        <f ca="1">IFERROR(__xludf.DUMMYFUNCTION("""COMPUTED_VALUE"""),1375.8)</f>
        <v>1375.8</v>
      </c>
      <c r="C1049" s="3">
        <f t="shared" ca="1" si="32"/>
        <v>-4.9902364938165114E-3</v>
      </c>
      <c r="D1049">
        <f t="shared" ca="1" si="31"/>
        <v>1431.3632653061222</v>
      </c>
    </row>
    <row r="1050" spans="1:4" x14ac:dyDescent="0.25">
      <c r="A1050" s="2">
        <f ca="1">IFERROR(__xludf.DUMMYFUNCTION("""COMPUTED_VALUE"""),45926.6458333333)</f>
        <v>45926.645833333299</v>
      </c>
      <c r="B1050" s="1">
        <f ca="1">IFERROR(__xludf.DUMMYFUNCTION("""COMPUTED_VALUE"""),1359.6)</f>
        <v>1359.6</v>
      </c>
      <c r="C1050" s="3">
        <f t="shared" ca="1" si="32"/>
        <v>-1.1774967291757556E-2</v>
      </c>
      <c r="D1050">
        <f t="shared" ca="1" si="31"/>
        <v>1430.3306122448976</v>
      </c>
    </row>
    <row r="1051" spans="1:4" x14ac:dyDescent="0.25">
      <c r="A1051" s="2">
        <f ca="1">IFERROR(__xludf.DUMMYFUNCTION("""COMPUTED_VALUE"""),45929.6458333333)</f>
        <v>45929.645833333299</v>
      </c>
      <c r="B1051" s="1">
        <f ca="1">IFERROR(__xludf.DUMMYFUNCTION("""COMPUTED_VALUE"""),1348.1)</f>
        <v>1348.1</v>
      </c>
      <c r="C1051" s="3">
        <f t="shared" ca="1" si="32"/>
        <v>-8.4583701088555459E-3</v>
      </c>
      <c r="D1051">
        <f t="shared" ca="1" si="31"/>
        <v>1429.124489795918</v>
      </c>
    </row>
    <row r="1052" spans="1:4" x14ac:dyDescent="0.25">
      <c r="A1052" s="2">
        <f ca="1">IFERROR(__xludf.DUMMYFUNCTION("""COMPUTED_VALUE"""),45930.6458333333)</f>
        <v>45930.645833333299</v>
      </c>
      <c r="B1052" s="1">
        <f ca="1">IFERROR(__xludf.DUMMYFUNCTION("""COMPUTED_VALUE"""),1348)</f>
        <v>1348</v>
      </c>
      <c r="C1052" s="3">
        <f t="shared" ca="1" si="32"/>
        <v>-7.4178473406949825E-5</v>
      </c>
      <c r="D1052">
        <f t="shared" ca="1" si="31"/>
        <v>1427.538775510204</v>
      </c>
    </row>
    <row r="1053" spans="1:4" x14ac:dyDescent="0.25">
      <c r="A1053" s="2">
        <f ca="1">IFERROR(__xludf.DUMMYFUNCTION("""COMPUTED_VALUE"""),45931.6458333333)</f>
        <v>45931.645833333299</v>
      </c>
      <c r="B1053" s="1">
        <f ca="1">IFERROR(__xludf.DUMMYFUNCTION("""COMPUTED_VALUE"""),1372)</f>
        <v>1372</v>
      </c>
      <c r="C1053" s="3">
        <f t="shared" ca="1" si="32"/>
        <v>1.7804154302670624E-2</v>
      </c>
      <c r="D1053">
        <f t="shared" ca="1" si="31"/>
        <v>1425.1346938775509</v>
      </c>
    </row>
    <row r="1054" spans="1:4" x14ac:dyDescent="0.25">
      <c r="A1054" s="2">
        <f ca="1">IFERROR(__xludf.DUMMYFUNCTION("""COMPUTED_VALUE"""),45933.6458333333)</f>
        <v>45933.645833333299</v>
      </c>
      <c r="B1054" s="1">
        <f ca="1">IFERROR(__xludf.DUMMYFUNCTION("""COMPUTED_VALUE"""),1365.2)</f>
        <v>1365.2</v>
      </c>
      <c r="C1054" s="3">
        <f t="shared" ca="1" si="32"/>
        <v>-4.9562682215743108E-3</v>
      </c>
      <c r="D1054">
        <f t="shared" ca="1" si="31"/>
        <v>1423.0612244897957</v>
      </c>
    </row>
    <row r="1055" spans="1:4" x14ac:dyDescent="0.25">
      <c r="A1055" s="2">
        <f ca="1">IFERROR(__xludf.DUMMYFUNCTION("""COMPUTED_VALUE"""),45936.6458333333)</f>
        <v>45936.645833333299</v>
      </c>
      <c r="B1055" s="1">
        <f ca="1">IFERROR(__xludf.DUMMYFUNCTION("""COMPUTED_VALUE"""),1363.4)</f>
        <v>1363.4</v>
      </c>
      <c r="C1055" s="3">
        <f t="shared" ca="1" si="32"/>
        <v>-1.3184881336067641E-3</v>
      </c>
      <c r="D1055">
        <f t="shared" ca="1" si="31"/>
        <v>1420.5428571428567</v>
      </c>
    </row>
    <row r="1056" spans="1:4" x14ac:dyDescent="0.25">
      <c r="A1056" s="2">
        <f ca="1">IFERROR(__xludf.DUMMYFUNCTION("""COMPUTED_VALUE"""),45937.6458333333)</f>
        <v>45937.645833333299</v>
      </c>
      <c r="B1056" s="1">
        <f ca="1">IFERROR(__xludf.DUMMYFUNCTION("""COMPUTED_VALUE"""),1375.9)</f>
        <v>1375.9</v>
      </c>
      <c r="C1056" s="3">
        <f t="shared" ca="1" si="32"/>
        <v>9.1682558310107083E-3</v>
      </c>
      <c r="D1056">
        <f t="shared" ca="1" si="31"/>
        <v>1418.0938775510197</v>
      </c>
    </row>
    <row r="1057" spans="1:4" x14ac:dyDescent="0.25">
      <c r="A1057" s="2">
        <f ca="1">IFERROR(__xludf.DUMMYFUNCTION("""COMPUTED_VALUE"""),45938.6458333333)</f>
        <v>45938.645833333299</v>
      </c>
      <c r="B1057" s="1">
        <f ca="1">IFERROR(__xludf.DUMMYFUNCTION("""COMPUTED_VALUE"""),1370.3)</f>
        <v>1370.3</v>
      </c>
      <c r="C1057" s="3">
        <f t="shared" ca="1" si="32"/>
        <v>-4.070063231339586E-3</v>
      </c>
      <c r="D1057">
        <f t="shared" ca="1" si="31"/>
        <v>1416.0285714285708</v>
      </c>
    </row>
    <row r="1058" spans="1:4" x14ac:dyDescent="0.25">
      <c r="A1058" s="2">
        <f ca="1">IFERROR(__xludf.DUMMYFUNCTION("""COMPUTED_VALUE"""),45939.6458333333)</f>
        <v>45939.645833333299</v>
      </c>
      <c r="B1058" s="1">
        <f ca="1">IFERROR(__xludf.DUMMYFUNCTION("""COMPUTED_VALUE"""),1376.2)</f>
        <v>1376.2</v>
      </c>
      <c r="C1058" s="3">
        <f t="shared" ca="1" si="32"/>
        <v>4.3056265051449249E-3</v>
      </c>
      <c r="D1058">
        <f t="shared" ca="1" si="31"/>
        <v>1413.6183673469382</v>
      </c>
    </row>
    <row r="1059" spans="1:4" x14ac:dyDescent="0.25">
      <c r="A1059" s="2">
        <f ca="1">IFERROR(__xludf.DUMMYFUNCTION("""COMPUTED_VALUE"""),45940.6458333333)</f>
        <v>45940.645833333299</v>
      </c>
      <c r="B1059" s="1">
        <f ca="1">IFERROR(__xludf.DUMMYFUNCTION("""COMPUTED_VALUE"""),1380.3)</f>
        <v>1380.3</v>
      </c>
      <c r="C1059" s="3">
        <f t="shared" ca="1" si="32"/>
        <v>2.9792181368986405E-3</v>
      </c>
      <c r="D1059">
        <f t="shared" ca="1" si="31"/>
        <v>1411.3734693877545</v>
      </c>
    </row>
    <row r="1060" spans="1:4" x14ac:dyDescent="0.25">
      <c r="A1060" s="2">
        <f ca="1">IFERROR(__xludf.DUMMYFUNCTION("""COMPUTED_VALUE"""),45943.6458333333)</f>
        <v>45943.645833333299</v>
      </c>
      <c r="B1060" s="1">
        <f ca="1">IFERROR(__xludf.DUMMYFUNCTION("""COMPUTED_VALUE"""),1379.4)</f>
        <v>1379.4</v>
      </c>
      <c r="C1060" s="3">
        <f t="shared" ca="1" si="32"/>
        <v>-6.520321669201359E-4</v>
      </c>
      <c r="D1060">
        <f t="shared" ca="1" si="31"/>
        <v>1409.289795918367</v>
      </c>
    </row>
    <row r="1061" spans="1:4" x14ac:dyDescent="0.25">
      <c r="A1061" s="2">
        <f ca="1">IFERROR(__xludf.DUMMYFUNCTION("""COMPUTED_VALUE"""),45944.6458333333)</f>
        <v>45944.645833333299</v>
      </c>
      <c r="B1061" s="1">
        <f ca="1">IFERROR(__xludf.DUMMYFUNCTION("""COMPUTED_VALUE"""),1384.1)</f>
        <v>1384.1</v>
      </c>
      <c r="C1061" s="3">
        <f t="shared" ca="1" si="32"/>
        <v>3.4072785268956197E-3</v>
      </c>
      <c r="D1061">
        <f t="shared" ca="1" si="31"/>
        <v>1407.2081632653058</v>
      </c>
    </row>
    <row r="1062" spans="1:4" x14ac:dyDescent="0.25">
      <c r="A1062" s="2">
        <f ca="1">IFERROR(__xludf.DUMMYFUNCTION("""COMPUTED_VALUE"""),45945.6458333333)</f>
        <v>45945.645833333299</v>
      </c>
      <c r="B1062" s="1">
        <f ca="1">IFERROR(__xludf.DUMMYFUNCTION("""COMPUTED_VALUE"""),1398.4)</f>
        <v>1398.4</v>
      </c>
      <c r="C1062" s="3">
        <f t="shared" ca="1" si="32"/>
        <v>1.0331623437613022E-2</v>
      </c>
      <c r="D1062">
        <f t="shared" ca="1" si="31"/>
        <v>1405.4224489795915</v>
      </c>
    </row>
    <row r="1063" spans="1:4" x14ac:dyDescent="0.25">
      <c r="A1063" s="2">
        <f ca="1">IFERROR(__xludf.DUMMYFUNCTION("""COMPUTED_VALUE"""),45946.6458333333)</f>
        <v>45946.645833333299</v>
      </c>
      <c r="B1063" s="1">
        <f ca="1">IFERROR(__xludf.DUMMYFUNCTION("""COMPUTED_VALUE"""),1417.3)</f>
        <v>1417.3</v>
      </c>
      <c r="C1063" s="3">
        <f t="shared" ca="1" si="32"/>
        <v>1.3515446224256194E-2</v>
      </c>
      <c r="D1063">
        <f t="shared" ca="1" si="31"/>
        <v>1404.1</v>
      </c>
    </row>
    <row r="1064" spans="1:4" x14ac:dyDescent="0.25">
      <c r="A1064" s="2">
        <f ca="1">IFERROR(__xludf.DUMMYFUNCTION("""COMPUTED_VALUE"""),45947.6458333333)</f>
        <v>45947.645833333299</v>
      </c>
      <c r="B1064" s="1">
        <f ca="1">IFERROR(__xludf.DUMMYFUNCTION("""COMPUTED_VALUE"""),1436.6)</f>
        <v>1436.6</v>
      </c>
      <c r="C1064" s="3">
        <f t="shared" ca="1" si="32"/>
        <v>1.3617441614337087E-2</v>
      </c>
      <c r="D1064">
        <f t="shared" ca="1" si="31"/>
        <v>1403.5469387755099</v>
      </c>
    </row>
    <row r="1065" spans="1:4" x14ac:dyDescent="0.25">
      <c r="A1065" s="2">
        <f ca="1">IFERROR(__xludf.DUMMYFUNCTION("""COMPUTED_VALUE"""),45950.6458333333)</f>
        <v>45950.645833333299</v>
      </c>
      <c r="B1065" s="1">
        <f ca="1">IFERROR(__xludf.DUMMYFUNCTION("""COMPUTED_VALUE"""),1390.3)</f>
        <v>1390.3</v>
      </c>
      <c r="C1065" s="3">
        <f t="shared" ca="1" si="32"/>
        <v>-3.2228873729639396E-2</v>
      </c>
      <c r="D1065">
        <f t="shared" ca="1" si="31"/>
        <v>1403.4040816326531</v>
      </c>
    </row>
    <row r="1066" spans="1:4" x14ac:dyDescent="0.25">
      <c r="A1066" s="2">
        <f ca="1">IFERROR(__xludf.DUMMYFUNCTION("""COMPUTED_VALUE"""),45951.6458333333)</f>
        <v>45951.645833333299</v>
      </c>
      <c r="B1066" s="1">
        <f ca="1">IFERROR(__xludf.DUMMYFUNCTION("""COMPUTED_VALUE"""),1382)</f>
        <v>1382</v>
      </c>
      <c r="C1066" s="3">
        <f t="shared" ca="1" si="32"/>
        <v>-5.9699345465007228E-3</v>
      </c>
      <c r="D1066">
        <f t="shared" ca="1" si="31"/>
        <v>1402.3836734693878</v>
      </c>
    </row>
    <row r="1067" spans="1:4" x14ac:dyDescent="0.25">
      <c r="A1067" s="2">
        <f ca="1">IFERROR(__xludf.DUMMYFUNCTION("""COMPUTED_VALUE"""),45953.6458333333)</f>
        <v>45953.645833333299</v>
      </c>
      <c r="B1067" s="1">
        <f ca="1">IFERROR(__xludf.DUMMYFUNCTION("""COMPUTED_VALUE"""),1363.7)</f>
        <v>1363.7</v>
      </c>
      <c r="C1067" s="3">
        <f t="shared" ca="1" si="32"/>
        <v>-1.3241678726483325E-2</v>
      </c>
      <c r="D1067">
        <f t="shared" ca="1" si="31"/>
        <v>1401.2836734693878</v>
      </c>
    </row>
    <row r="1068" spans="1:4" x14ac:dyDescent="0.25">
      <c r="A1068" s="2">
        <f ca="1">IFERROR(__xludf.DUMMYFUNCTION("""COMPUTED_VALUE"""),45954.6458333333)</f>
        <v>45954.645833333299</v>
      </c>
      <c r="B1068" s="1">
        <f ca="1">IFERROR(__xludf.DUMMYFUNCTION("""COMPUTED_VALUE"""),1377.7)</f>
        <v>1377.7</v>
      </c>
      <c r="C1068" s="3">
        <f t="shared" ca="1" si="32"/>
        <v>1.0266187577913031E-2</v>
      </c>
      <c r="D1068">
        <f t="shared" ca="1" si="31"/>
        <v>1399.795918367347</v>
      </c>
    </row>
    <row r="1069" spans="1:4" x14ac:dyDescent="0.25">
      <c r="A1069" s="2">
        <f ca="1">IFERROR(__xludf.DUMMYFUNCTION("""COMPUTED_VALUE"""),45957.6458333333)</f>
        <v>45957.645833333299</v>
      </c>
      <c r="B1069" s="1">
        <f ca="1">IFERROR(__xludf.DUMMYFUNCTION("""COMPUTED_VALUE"""),1377.6)</f>
        <v>1377.6</v>
      </c>
      <c r="C1069" s="3">
        <f t="shared" ca="1" si="32"/>
        <v>-7.25847426871862E-5</v>
      </c>
      <c r="D1069">
        <f t="shared" ca="1" si="31"/>
        <v>1398.8918367346939</v>
      </c>
    </row>
    <row r="1070" spans="1:4" x14ac:dyDescent="0.25">
      <c r="A1070" s="2">
        <f ca="1">IFERROR(__xludf.DUMMYFUNCTION("""COMPUTED_VALUE"""),45958.6458333333)</f>
        <v>45958.645833333299</v>
      </c>
      <c r="B1070" s="1">
        <f ca="1">IFERROR(__xludf.DUMMYFUNCTION("""COMPUTED_VALUE"""),1363.1)</f>
        <v>1363.1</v>
      </c>
      <c r="C1070" s="3">
        <f t="shared" ca="1" si="32"/>
        <v>-1.052555168408827E-2</v>
      </c>
      <c r="D1070">
        <f t="shared" ca="1" si="31"/>
        <v>1398.010204081633</v>
      </c>
    </row>
    <row r="1071" spans="1:4" x14ac:dyDescent="0.25">
      <c r="A1071" s="2">
        <f ca="1">IFERROR(__xludf.DUMMYFUNCTION("""COMPUTED_VALUE"""),45959.6458333333)</f>
        <v>45959.645833333299</v>
      </c>
      <c r="B1071" s="1">
        <f ca="1">IFERROR(__xludf.DUMMYFUNCTION("""COMPUTED_VALUE"""),1370.4)</f>
        <v>1370.4</v>
      </c>
      <c r="C1071" s="3">
        <f t="shared" ca="1" si="32"/>
        <v>5.3554398063239547E-3</v>
      </c>
      <c r="D1071">
        <f t="shared" ca="1" si="31"/>
        <v>1396.7000000000003</v>
      </c>
    </row>
    <row r="1072" spans="1:4" x14ac:dyDescent="0.25">
      <c r="A1072" s="2">
        <f ca="1">IFERROR(__xludf.DUMMYFUNCTION("""COMPUTED_VALUE"""),45960.6458333333)</f>
        <v>45960.645833333299</v>
      </c>
      <c r="B1072" s="1">
        <f ca="1">IFERROR(__xludf.DUMMYFUNCTION("""COMPUTED_VALUE"""),1362.4)</f>
        <v>1362.4</v>
      </c>
      <c r="C1072" s="3">
        <f t="shared" ca="1" si="32"/>
        <v>-5.837711617046118E-3</v>
      </c>
      <c r="D1072">
        <f t="shared" ca="1" si="31"/>
        <v>1395.3897959183676</v>
      </c>
    </row>
    <row r="1073" spans="1:4" x14ac:dyDescent="0.25">
      <c r="A1073" s="2">
        <f ca="1">IFERROR(__xludf.DUMMYFUNCTION("""COMPUTED_VALUE"""),45961.6458333333)</f>
        <v>45961.645833333299</v>
      </c>
      <c r="B1073" s="1">
        <f ca="1">IFERROR(__xludf.DUMMYFUNCTION("""COMPUTED_VALUE"""),1345.3)</f>
        <v>1345.3</v>
      </c>
      <c r="C1073" s="3">
        <f t="shared" ca="1" si="32"/>
        <v>-1.2551379917792231E-2</v>
      </c>
      <c r="D1073">
        <f t="shared" ca="1" si="31"/>
        <v>1393.8816326530612</v>
      </c>
    </row>
    <row r="1074" spans="1:4" x14ac:dyDescent="0.25">
      <c r="A1074" s="2">
        <f ca="1">IFERROR(__xludf.DUMMYFUNCTION("""COMPUTED_VALUE"""),45964.6458333333)</f>
        <v>45964.645833333299</v>
      </c>
      <c r="B1074" s="1">
        <f ca="1">IFERROR(__xludf.DUMMYFUNCTION("""COMPUTED_VALUE"""),1346.4)</f>
        <v>1346.4</v>
      </c>
      <c r="C1074" s="3">
        <f t="shared" ca="1" si="32"/>
        <v>8.1766148814400982E-4</v>
      </c>
      <c r="D1074">
        <f t="shared" ca="1" si="31"/>
        <v>1392.1408163265307</v>
      </c>
    </row>
    <row r="1075" spans="1:4" x14ac:dyDescent="0.25">
      <c r="A1075" s="2">
        <f ca="1">IFERROR(__xludf.DUMMYFUNCTION("""COMPUTED_VALUE"""),45965.6458333333)</f>
        <v>45965.645833333299</v>
      </c>
      <c r="B1075" s="1">
        <f ca="1">IFERROR(__xludf.DUMMYFUNCTION("""COMPUTED_VALUE"""),1336.9)</f>
        <v>1336.9</v>
      </c>
      <c r="C1075" s="3">
        <f t="shared" ca="1" si="32"/>
        <v>-7.055852644087938E-3</v>
      </c>
      <c r="D1075">
        <f t="shared" ca="1" si="31"/>
        <v>1390.1081632653061</v>
      </c>
    </row>
    <row r="1076" spans="1:4" x14ac:dyDescent="0.25">
      <c r="A1076" s="2">
        <f ca="1">IFERROR(__xludf.DUMMYFUNCTION("""COMPUTED_VALUE"""),45967.6458333333)</f>
        <v>45967.645833333299</v>
      </c>
      <c r="B1076" s="1">
        <f ca="1">IFERROR(__xludf.DUMMYFUNCTION("""COMPUTED_VALUE"""),1320.4)</f>
        <v>1320.4</v>
      </c>
      <c r="C1076" s="3">
        <f t="shared" ca="1" si="32"/>
        <v>-1.2341985189617771E-2</v>
      </c>
      <c r="D1076">
        <f t="shared" ref="D1076:D1139" ca="1" si="33">AVERAGE(B1027:B1075)</f>
        <v>1388.0775510204082</v>
      </c>
    </row>
    <row r="1077" spans="1:4" x14ac:dyDescent="0.25">
      <c r="A1077" s="2">
        <f ca="1">IFERROR(__xludf.DUMMYFUNCTION("""COMPUTED_VALUE"""),45968.6458333333)</f>
        <v>45968.645833333299</v>
      </c>
      <c r="B1077" s="1">
        <f ca="1">IFERROR(__xludf.DUMMYFUNCTION("""COMPUTED_VALUE"""),1343)</f>
        <v>1343</v>
      </c>
      <c r="C1077" s="3">
        <f t="shared" ca="1" si="32"/>
        <v>1.7116025446834222E-2</v>
      </c>
      <c r="D1077">
        <f t="shared" ca="1" si="33"/>
        <v>1385.7755102040817</v>
      </c>
    </row>
    <row r="1078" spans="1:4" x14ac:dyDescent="0.25">
      <c r="A1078" s="2">
        <f ca="1">IFERROR(__xludf.DUMMYFUNCTION("""COMPUTED_VALUE"""),45971.6458333333)</f>
        <v>45971.645833333299</v>
      </c>
      <c r="B1078" s="1">
        <f ca="1">IFERROR(__xludf.DUMMYFUNCTION("""COMPUTED_VALUE"""),1348)</f>
        <v>1348</v>
      </c>
      <c r="C1078" s="3">
        <f t="shared" ca="1" si="32"/>
        <v>3.7230081906180195E-3</v>
      </c>
      <c r="D1078">
        <f t="shared" ca="1" si="33"/>
        <v>1384.2734693877553</v>
      </c>
    </row>
    <row r="1079" spans="1:4" x14ac:dyDescent="0.25">
      <c r="A1079" s="2">
        <f ca="1">IFERROR(__xludf.DUMMYFUNCTION("""COMPUTED_VALUE"""),45972.6458333333)</f>
        <v>45972.645833333299</v>
      </c>
      <c r="B1079" s="1">
        <f ca="1">IFERROR(__xludf.DUMMYFUNCTION("""COMPUTED_VALUE"""),1358.3)</f>
        <v>1358.3</v>
      </c>
      <c r="C1079" s="3">
        <f t="shared" ca="1" si="32"/>
        <v>7.6409495548961084E-3</v>
      </c>
      <c r="D1079">
        <f t="shared" ca="1" si="33"/>
        <v>1383.2306122448983</v>
      </c>
    </row>
    <row r="1080" spans="1:4" x14ac:dyDescent="0.25">
      <c r="A1080" s="2">
        <f ca="1">IFERROR(__xludf.DUMMYFUNCTION("""COMPUTED_VALUE"""),45973.6458333333)</f>
        <v>45973.645833333299</v>
      </c>
      <c r="B1080" s="1">
        <f ca="1">IFERROR(__xludf.DUMMYFUNCTION("""COMPUTED_VALUE"""),1358.9)</f>
        <v>1358.9</v>
      </c>
      <c r="C1080" s="3">
        <f t="shared" ca="1" si="32"/>
        <v>4.4172863137755756E-4</v>
      </c>
      <c r="D1080">
        <f t="shared" ca="1" si="33"/>
        <v>1382.4244897959188</v>
      </c>
    </row>
    <row r="1081" spans="1:4" x14ac:dyDescent="0.25">
      <c r="A1081" s="2">
        <f ca="1">IFERROR(__xludf.DUMMYFUNCTION("""COMPUTED_VALUE"""),45974.6458333333)</f>
        <v>45974.645833333299</v>
      </c>
      <c r="B1081" s="1">
        <f ca="1">IFERROR(__xludf.DUMMYFUNCTION("""COMPUTED_VALUE"""),1385.9)</f>
        <v>1385.9</v>
      </c>
      <c r="C1081" s="3">
        <f t="shared" ca="1" si="32"/>
        <v>1.9869011700640222E-2</v>
      </c>
      <c r="D1081">
        <f t="shared" ca="1" si="33"/>
        <v>1381.3612244897959</v>
      </c>
    </row>
    <row r="1082" spans="1:4" x14ac:dyDescent="0.25">
      <c r="A1082" s="2">
        <f ca="1">IFERROR(__xludf.DUMMYFUNCTION("""COMPUTED_VALUE"""),45975.6458333333)</f>
        <v>45975.645833333299</v>
      </c>
      <c r="B1082" s="1">
        <f ca="1">IFERROR(__xludf.DUMMYFUNCTION("""COMPUTED_VALUE"""),1373)</f>
        <v>1373</v>
      </c>
      <c r="C1082" s="3">
        <f t="shared" ca="1" si="32"/>
        <v>-9.3080308824591163E-3</v>
      </c>
      <c r="D1082">
        <f t="shared" ca="1" si="33"/>
        <v>1381.1918367346941</v>
      </c>
    </row>
    <row r="1083" spans="1:4" x14ac:dyDescent="0.25">
      <c r="A1083" s="2">
        <f ca="1">IFERROR(__xludf.DUMMYFUNCTION("""COMPUTED_VALUE"""),45978.6458333333)</f>
        <v>45978.645833333299</v>
      </c>
      <c r="B1083" s="1">
        <f ca="1">IFERROR(__xludf.DUMMYFUNCTION("""COMPUTED_VALUE"""),1379)</f>
        <v>1379</v>
      </c>
      <c r="C1083" s="3">
        <f t="shared" ca="1" si="32"/>
        <v>4.3699927166788053E-3</v>
      </c>
      <c r="D1083">
        <f t="shared" ca="1" si="33"/>
        <v>1380.7020408163266</v>
      </c>
    </row>
    <row r="1084" spans="1:4" x14ac:dyDescent="0.25">
      <c r="A1084" s="2">
        <f ca="1">IFERROR(__xludf.DUMMYFUNCTION("""COMPUTED_VALUE"""),45979.6458333333)</f>
        <v>45979.645833333299</v>
      </c>
      <c r="B1084" s="1">
        <f ca="1">IFERROR(__xludf.DUMMYFUNCTION("""COMPUTED_VALUE"""),1373.4)</f>
        <v>1373.4</v>
      </c>
      <c r="C1084" s="3">
        <f t="shared" ca="1" si="32"/>
        <v>-4.0609137055836906E-3</v>
      </c>
      <c r="D1084">
        <f t="shared" ca="1" si="33"/>
        <v>1380.1612244897965</v>
      </c>
    </row>
    <row r="1085" spans="1:4" x14ac:dyDescent="0.25">
      <c r="A1085" s="2">
        <f ca="1">IFERROR(__xludf.DUMMYFUNCTION("""COMPUTED_VALUE"""),45980.6458333333)</f>
        <v>45980.645833333299</v>
      </c>
      <c r="B1085" s="1">
        <f ca="1">IFERROR(__xludf.DUMMYFUNCTION("""COMPUTED_VALUE"""),1383.1)</f>
        <v>1383.1</v>
      </c>
      <c r="C1085" s="3">
        <f t="shared" ca="1" si="32"/>
        <v>7.0627639434977553E-3</v>
      </c>
      <c r="D1085">
        <f t="shared" ca="1" si="33"/>
        <v>1379.5612244897961</v>
      </c>
    </row>
    <row r="1086" spans="1:4" x14ac:dyDescent="0.25">
      <c r="A1086" s="2">
        <f ca="1">IFERROR(__xludf.DUMMYFUNCTION("""COMPUTED_VALUE"""),45981.6458333333)</f>
        <v>45981.645833333299</v>
      </c>
      <c r="B1086" s="1">
        <f ca="1">IFERROR(__xludf.DUMMYFUNCTION("""COMPUTED_VALUE"""),1383)</f>
        <v>1383</v>
      </c>
      <c r="C1086" s="3">
        <f t="shared" ca="1" si="32"/>
        <v>-7.2301352035217313E-5</v>
      </c>
      <c r="D1086">
        <f t="shared" ca="1" si="33"/>
        <v>1379.1612244897965</v>
      </c>
    </row>
    <row r="1087" spans="1:4" x14ac:dyDescent="0.25">
      <c r="A1087" s="2">
        <f ca="1">IFERROR(__xludf.DUMMYFUNCTION("""COMPUTED_VALUE"""),45982.6458333333)</f>
        <v>45982.645833333299</v>
      </c>
      <c r="B1087" s="1">
        <f ca="1">IFERROR(__xludf.DUMMYFUNCTION("""COMPUTED_VALUE"""),1369.5)</f>
        <v>1369.5</v>
      </c>
      <c r="C1087" s="3">
        <f t="shared" ca="1" si="32"/>
        <v>-9.7613882863340565E-3</v>
      </c>
      <c r="D1087">
        <f t="shared" ca="1" si="33"/>
        <v>1378.7387755102045</v>
      </c>
    </row>
    <row r="1088" spans="1:4" x14ac:dyDescent="0.25">
      <c r="A1088" s="2">
        <f ca="1">IFERROR(__xludf.DUMMYFUNCTION("""COMPUTED_VALUE"""),45985.6458333333)</f>
        <v>45985.645833333299</v>
      </c>
      <c r="B1088" s="1">
        <f ca="1">IFERROR(__xludf.DUMMYFUNCTION("""COMPUTED_VALUE"""),1368.4)</f>
        <v>1368.4</v>
      </c>
      <c r="C1088" s="3">
        <f t="shared" ca="1" si="32"/>
        <v>-8.0321285140555606E-4</v>
      </c>
      <c r="D1088">
        <f t="shared" ca="1" si="33"/>
        <v>1378.0367346938779</v>
      </c>
    </row>
    <row r="1089" spans="1:4" x14ac:dyDescent="0.25">
      <c r="A1089" s="2">
        <f ca="1">IFERROR(__xludf.DUMMYFUNCTION("""COMPUTED_VALUE"""),45986.6458333333)</f>
        <v>45986.645833333299</v>
      </c>
      <c r="B1089" s="1">
        <f ca="1">IFERROR(__xludf.DUMMYFUNCTION("""COMPUTED_VALUE"""),1357.8)</f>
        <v>1357.8</v>
      </c>
      <c r="C1089" s="3">
        <f t="shared" ca="1" si="32"/>
        <v>-7.7462730195850156E-3</v>
      </c>
      <c r="D1089">
        <f t="shared" ca="1" si="33"/>
        <v>1377.3591836734695</v>
      </c>
    </row>
    <row r="1090" spans="1:4" x14ac:dyDescent="0.25">
      <c r="A1090" s="2">
        <f ca="1">IFERROR(__xludf.DUMMYFUNCTION("""COMPUTED_VALUE"""),45987.6458333333)</f>
        <v>45987.645833333299</v>
      </c>
      <c r="B1090" s="1">
        <f ca="1">IFERROR(__xludf.DUMMYFUNCTION("""COMPUTED_VALUE"""),1375)</f>
        <v>1375</v>
      </c>
      <c r="C1090" s="3">
        <f t="shared" ca="1" si="32"/>
        <v>1.2667550449256184E-2</v>
      </c>
      <c r="D1090">
        <f t="shared" ca="1" si="33"/>
        <v>1376.1367346938778</v>
      </c>
    </row>
    <row r="1091" spans="1:4" x14ac:dyDescent="0.25">
      <c r="A1091" s="2">
        <f ca="1">IFERROR(__xludf.DUMMYFUNCTION("""COMPUTED_VALUE"""),45988.6458333333)</f>
        <v>45988.645833333299</v>
      </c>
      <c r="B1091" s="1">
        <f ca="1">IFERROR(__xludf.DUMMYFUNCTION("""COMPUTED_VALUE"""),1392.2)</f>
        <v>1392.2</v>
      </c>
      <c r="C1091" s="3">
        <f t="shared" ca="1" si="32"/>
        <v>1.2509090909090942E-2</v>
      </c>
      <c r="D1091">
        <f t="shared" ca="1" si="33"/>
        <v>1375.2306122448983</v>
      </c>
    </row>
    <row r="1092" spans="1:4" x14ac:dyDescent="0.25">
      <c r="A1092" s="2">
        <f ca="1">IFERROR(__xludf.DUMMYFUNCTION("""COMPUTED_VALUE"""),45989.6458333333)</f>
        <v>45989.645833333299</v>
      </c>
      <c r="B1092" s="1">
        <f ca="1">IFERROR(__xludf.DUMMYFUNCTION("""COMPUTED_VALUE"""),1388.8)</f>
        <v>1388.8</v>
      </c>
      <c r="C1092" s="3">
        <f t="shared" ref="C1092:C1155" ca="1" si="34">(B1092-B1091)/B1091</f>
        <v>-2.4421778480104087E-3</v>
      </c>
      <c r="D1092">
        <f t="shared" ca="1" si="33"/>
        <v>1374.6306122448982</v>
      </c>
    </row>
    <row r="1093" spans="1:4" x14ac:dyDescent="0.25">
      <c r="A1093" s="2">
        <f ca="1">IFERROR(__xludf.DUMMYFUNCTION("""COMPUTED_VALUE"""),45992.6458333333)</f>
        <v>45992.645833333299</v>
      </c>
      <c r="B1093" s="1">
        <f ca="1">IFERROR(__xludf.DUMMYFUNCTION("""COMPUTED_VALUE"""),1390.1)</f>
        <v>1390.1</v>
      </c>
      <c r="C1093" s="3">
        <f t="shared" ca="1" si="34"/>
        <v>9.3605990783406871E-4</v>
      </c>
      <c r="D1093">
        <f t="shared" ca="1" si="33"/>
        <v>1374.010204081633</v>
      </c>
    </row>
    <row r="1094" spans="1:4" x14ac:dyDescent="0.25">
      <c r="A1094" s="2">
        <f ca="1">IFERROR(__xludf.DUMMYFUNCTION("""COMPUTED_VALUE"""),45993.6458333333)</f>
        <v>45993.645833333299</v>
      </c>
      <c r="B1094" s="1">
        <f ca="1">IFERROR(__xludf.DUMMYFUNCTION("""COMPUTED_VALUE"""),1373)</f>
        <v>1373</v>
      </c>
      <c r="C1094" s="3">
        <f t="shared" ca="1" si="34"/>
        <v>-1.2301273289691324E-2</v>
      </c>
      <c r="D1094">
        <f t="shared" ca="1" si="33"/>
        <v>1373.3653061224495</v>
      </c>
    </row>
    <row r="1095" spans="1:4" x14ac:dyDescent="0.25">
      <c r="A1095" s="2">
        <f ca="1">IFERROR(__xludf.DUMMYFUNCTION("""COMPUTED_VALUE"""),45994.6458333333)</f>
        <v>45994.645833333299</v>
      </c>
      <c r="B1095" s="1">
        <f ca="1">IFERROR(__xludf.DUMMYFUNCTION("""COMPUTED_VALUE"""),1391.5)</f>
        <v>1391.5</v>
      </c>
      <c r="C1095" s="3">
        <f t="shared" ca="1" si="34"/>
        <v>1.3474144209759651E-2</v>
      </c>
      <c r="D1095">
        <f t="shared" ca="1" si="33"/>
        <v>1372.7693877551026</v>
      </c>
    </row>
    <row r="1096" spans="1:4" x14ac:dyDescent="0.25">
      <c r="A1096" s="2">
        <f ca="1">IFERROR(__xludf.DUMMYFUNCTION("""COMPUTED_VALUE"""),45995.6458333333)</f>
        <v>45995.645833333299</v>
      </c>
      <c r="B1096" s="1">
        <f ca="1">IFERROR(__xludf.DUMMYFUNCTION("""COMPUTED_VALUE"""),1386.7)</f>
        <v>1386.7</v>
      </c>
      <c r="C1096" s="3">
        <f t="shared" ca="1" si="34"/>
        <v>-3.4495149119654722E-3</v>
      </c>
      <c r="D1096">
        <f t="shared" ca="1" si="33"/>
        <v>1372.5653061224493</v>
      </c>
    </row>
    <row r="1097" spans="1:4" x14ac:dyDescent="0.25">
      <c r="A1097" s="2">
        <f ca="1">IFERROR(__xludf.DUMMYFUNCTION("""COMPUTED_VALUE"""),45996.6458333333)</f>
        <v>45996.645833333299</v>
      </c>
      <c r="B1097" s="1">
        <f ca="1">IFERROR(__xludf.DUMMYFUNCTION("""COMPUTED_VALUE"""),1392.5)</f>
        <v>1392.5</v>
      </c>
      <c r="C1097" s="3">
        <f t="shared" ca="1" si="34"/>
        <v>4.18259176462101E-3</v>
      </c>
      <c r="D1097">
        <f t="shared" ca="1" si="33"/>
        <v>1372.4102040816331</v>
      </c>
    </row>
    <row r="1098" spans="1:4" x14ac:dyDescent="0.25">
      <c r="A1098" s="2">
        <f ca="1">IFERROR(__xludf.DUMMYFUNCTION("""COMPUTED_VALUE"""),45999.6458333333)</f>
        <v>45999.645833333299</v>
      </c>
      <c r="B1098" s="1">
        <f ca="1">IFERROR(__xludf.DUMMYFUNCTION("""COMPUTED_VALUE"""),1389.6)</f>
        <v>1389.6</v>
      </c>
      <c r="C1098" s="3">
        <f t="shared" ca="1" si="34"/>
        <v>-2.0825852782765464E-3</v>
      </c>
      <c r="D1098">
        <f t="shared" ca="1" si="33"/>
        <v>1372.6102040816329</v>
      </c>
    </row>
    <row r="1099" spans="1:4" x14ac:dyDescent="0.25">
      <c r="A1099" s="2">
        <f ca="1">IFERROR(__xludf.DUMMYFUNCTION("""COMPUTED_VALUE"""),46000.6458333333)</f>
        <v>46000.645833333299</v>
      </c>
      <c r="B1099" s="1">
        <f ca="1">IFERROR(__xludf.DUMMYFUNCTION("""COMPUTED_VALUE"""),1375.2)</f>
        <v>1375.2</v>
      </c>
      <c r="C1099" s="3">
        <f t="shared" ca="1" si="34"/>
        <v>-1.0362694300518038E-2</v>
      </c>
      <c r="D1099">
        <f t="shared" ca="1" si="33"/>
        <v>1372.8918367346942</v>
      </c>
    </row>
    <row r="1100" spans="1:4" x14ac:dyDescent="0.25">
      <c r="A1100" s="2">
        <f ca="1">IFERROR(__xludf.DUMMYFUNCTION("""COMPUTED_VALUE"""),46001.6458333333)</f>
        <v>46001.645833333299</v>
      </c>
      <c r="B1100" s="1">
        <f ca="1">IFERROR(__xludf.DUMMYFUNCTION("""COMPUTED_VALUE"""),1363.6)</f>
        <v>1363.6</v>
      </c>
      <c r="C1100" s="3">
        <f t="shared" ca="1" si="34"/>
        <v>-8.4351367073881144E-3</v>
      </c>
      <c r="D1100">
        <f t="shared" ca="1" si="33"/>
        <v>1373.2102040816328</v>
      </c>
    </row>
    <row r="1101" spans="1:4" x14ac:dyDescent="0.25">
      <c r="A1101" s="2">
        <f ca="1">IFERROR(__xludf.DUMMYFUNCTION("""COMPUTED_VALUE"""),46002.6458333333)</f>
        <v>46002.645833333299</v>
      </c>
      <c r="B1101" s="1">
        <f ca="1">IFERROR(__xludf.DUMMYFUNCTION("""COMPUTED_VALUE"""),1360)</f>
        <v>1360</v>
      </c>
      <c r="C1101" s="3">
        <f t="shared" ca="1" si="34"/>
        <v>-2.640070401877317E-3</v>
      </c>
      <c r="D1101">
        <f t="shared" ca="1" si="33"/>
        <v>1373.5265306122453</v>
      </c>
    </row>
    <row r="1102" spans="1:4" x14ac:dyDescent="0.25">
      <c r="A1102" s="2">
        <f ca="1">IFERROR(__xludf.DUMMYFUNCTION("""COMPUTED_VALUE"""),46003.6458333333)</f>
        <v>46003.645833333299</v>
      </c>
      <c r="B1102" s="1">
        <f ca="1">IFERROR(__xludf.DUMMYFUNCTION("""COMPUTED_VALUE"""),1366)</f>
        <v>1366</v>
      </c>
      <c r="C1102" s="3">
        <f t="shared" ca="1" si="34"/>
        <v>4.4117647058823529E-3</v>
      </c>
      <c r="D1102">
        <f t="shared" ca="1" si="33"/>
        <v>1373.7714285714287</v>
      </c>
    </row>
    <row r="1103" spans="1:4" x14ac:dyDescent="0.25">
      <c r="A1103" s="2">
        <f ca="1">IFERROR(__xludf.DUMMYFUNCTION("""COMPUTED_VALUE"""),46006.6458333333)</f>
        <v>46006.645833333299</v>
      </c>
      <c r="B1103" s="1">
        <f ca="1">IFERROR(__xludf.DUMMYFUNCTION("""COMPUTED_VALUE"""),1365.2)</f>
        <v>1365.2</v>
      </c>
      <c r="C1103" s="3">
        <f t="shared" ca="1" si="34"/>
        <v>-5.8565153733525221E-4</v>
      </c>
      <c r="D1103">
        <f t="shared" ca="1" si="33"/>
        <v>1373.6489795918369</v>
      </c>
    </row>
    <row r="1104" spans="1:4" x14ac:dyDescent="0.25">
      <c r="A1104" s="2">
        <f ca="1">IFERROR(__xludf.DUMMYFUNCTION("""COMPUTED_VALUE"""),46007.6458333333)</f>
        <v>46007.645833333299</v>
      </c>
      <c r="B1104" s="1">
        <f ca="1">IFERROR(__xludf.DUMMYFUNCTION("""COMPUTED_VALUE"""),1366)</f>
        <v>1366</v>
      </c>
      <c r="C1104" s="3">
        <f t="shared" ca="1" si="34"/>
        <v>5.8599472604743219E-4</v>
      </c>
      <c r="D1104">
        <f t="shared" ca="1" si="33"/>
        <v>1373.6489795918369</v>
      </c>
    </row>
    <row r="1105" spans="1:4" x14ac:dyDescent="0.25">
      <c r="A1105" s="2">
        <f ca="1">IFERROR(__xludf.DUMMYFUNCTION("""COMPUTED_VALUE"""),46008.6458333333)</f>
        <v>46008.645833333299</v>
      </c>
      <c r="B1105" s="1">
        <f ca="1">IFERROR(__xludf.DUMMYFUNCTION("""COMPUTED_VALUE"""),1352.4)</f>
        <v>1352.4</v>
      </c>
      <c r="C1105" s="3">
        <f t="shared" ca="1" si="34"/>
        <v>-9.9560761346997873E-3</v>
      </c>
      <c r="D1105">
        <f t="shared" ca="1" si="33"/>
        <v>1373.7020408163266</v>
      </c>
    </row>
    <row r="1106" spans="1:4" x14ac:dyDescent="0.25">
      <c r="A1106" s="2">
        <f ca="1">IFERROR(__xludf.DUMMYFUNCTION("""COMPUTED_VALUE"""),46009.6458333333)</f>
        <v>46009.645833333299</v>
      </c>
      <c r="B1106" s="1">
        <f ca="1">IFERROR(__xludf.DUMMYFUNCTION("""COMPUTED_VALUE"""),1356.8)</f>
        <v>1356.8</v>
      </c>
      <c r="C1106" s="3">
        <f t="shared" ca="1" si="34"/>
        <v>3.2534753031646432E-3</v>
      </c>
      <c r="D1106">
        <f t="shared" ca="1" si="33"/>
        <v>1373.2224489795917</v>
      </c>
    </row>
    <row r="1107" spans="1:4" x14ac:dyDescent="0.25">
      <c r="A1107" s="2">
        <f ca="1">IFERROR(__xludf.DUMMYFUNCTION("""COMPUTED_VALUE"""),46010.6458333333)</f>
        <v>46010.645833333299</v>
      </c>
      <c r="B1107" s="1">
        <f ca="1">IFERROR(__xludf.DUMMYFUNCTION("""COMPUTED_VALUE"""),1354.1)</f>
        <v>1354.1</v>
      </c>
      <c r="C1107" s="3">
        <f t="shared" ca="1" si="34"/>
        <v>-1.989976415094373E-3</v>
      </c>
      <c r="D1107">
        <f t="shared" ca="1" si="33"/>
        <v>1372.94693877551</v>
      </c>
    </row>
    <row r="1108" spans="1:4" x14ac:dyDescent="0.25">
      <c r="A1108" s="2">
        <f ca="1">IFERROR(__xludf.DUMMYFUNCTION("""COMPUTED_VALUE"""),46013.6458333333)</f>
        <v>46013.645833333299</v>
      </c>
      <c r="B1108" s="1">
        <f ca="1">IFERROR(__xludf.DUMMYFUNCTION("""COMPUTED_VALUE"""),1368.5)</f>
        <v>1368.5</v>
      </c>
      <c r="C1108" s="3">
        <f t="shared" ca="1" si="34"/>
        <v>1.0634369692046446E-2</v>
      </c>
      <c r="D1108">
        <f t="shared" ca="1" si="33"/>
        <v>1372.495918367347</v>
      </c>
    </row>
    <row r="1109" spans="1:4" x14ac:dyDescent="0.25">
      <c r="A1109" s="2">
        <f ca="1">IFERROR(__xludf.DUMMYFUNCTION("""COMPUTED_VALUE"""),46014.6458333333)</f>
        <v>46014.645833333299</v>
      </c>
      <c r="B1109" s="1">
        <f ca="1">IFERROR(__xludf.DUMMYFUNCTION("""COMPUTED_VALUE"""),1363)</f>
        <v>1363</v>
      </c>
      <c r="C1109" s="3">
        <f t="shared" ca="1" si="34"/>
        <v>-4.0189989039093902E-3</v>
      </c>
      <c r="D1109">
        <f t="shared" ca="1" si="33"/>
        <v>1372.2551020408164</v>
      </c>
    </row>
    <row r="1110" spans="1:4" x14ac:dyDescent="0.25">
      <c r="A1110" s="2">
        <f ca="1">IFERROR(__xludf.DUMMYFUNCTION("""COMPUTED_VALUE"""),46015.6458333333)</f>
        <v>46015.645833333299</v>
      </c>
      <c r="B1110" s="1">
        <f ca="1">IFERROR(__xludf.DUMMYFUNCTION("""COMPUTED_VALUE"""),1359.8)</f>
        <v>1359.8</v>
      </c>
      <c r="C1110" s="3">
        <f t="shared" ca="1" si="34"/>
        <v>-2.3477622890682652E-3</v>
      </c>
      <c r="D1110">
        <f t="shared" ca="1" si="33"/>
        <v>1371.9204081632654</v>
      </c>
    </row>
    <row r="1111" spans="1:4" x14ac:dyDescent="0.25">
      <c r="A1111" s="2">
        <f ca="1">IFERROR(__xludf.DUMMYFUNCTION("""COMPUTED_VALUE"""),46017.6458333333)</f>
        <v>46017.645833333299</v>
      </c>
      <c r="B1111" s="1">
        <f ca="1">IFERROR(__xludf.DUMMYFUNCTION("""COMPUTED_VALUE"""),1350.4)</f>
        <v>1350.4</v>
      </c>
      <c r="C1111" s="3">
        <f t="shared" ca="1" si="34"/>
        <v>-6.9127812913662772E-3</v>
      </c>
      <c r="D1111">
        <f t="shared" ca="1" si="33"/>
        <v>1371.4244897959184</v>
      </c>
    </row>
    <row r="1112" spans="1:4" x14ac:dyDescent="0.25">
      <c r="A1112" s="2">
        <f ca="1">IFERROR(__xludf.DUMMYFUNCTION("""COMPUTED_VALUE"""),46020.6458333333)</f>
        <v>46020.645833333299</v>
      </c>
      <c r="B1112" s="1">
        <f ca="1">IFERROR(__xludf.DUMMYFUNCTION("""COMPUTED_VALUE"""),1343.3)</f>
        <v>1343.3</v>
      </c>
      <c r="C1112" s="3">
        <f t="shared" ca="1" si="34"/>
        <v>-5.2577014218010481E-3</v>
      </c>
      <c r="D1112">
        <f t="shared" ca="1" si="33"/>
        <v>1370.4448979591834</v>
      </c>
    </row>
    <row r="1113" spans="1:4" x14ac:dyDescent="0.25">
      <c r="A1113" s="2">
        <f ca="1">IFERROR(__xludf.DUMMYFUNCTION("""COMPUTED_VALUE"""),46021.6458333333)</f>
        <v>46021.645833333299</v>
      </c>
      <c r="B1113" s="1">
        <f ca="1">IFERROR(__xludf.DUMMYFUNCTION("""COMPUTED_VALUE"""),1342.5)</f>
        <v>1342.5</v>
      </c>
      <c r="C1113" s="3">
        <f t="shared" ca="1" si="34"/>
        <v>-5.9554827663214069E-4</v>
      </c>
      <c r="D1113">
        <f t="shared" ca="1" si="33"/>
        <v>1368.9346938775511</v>
      </c>
    </row>
    <row r="1114" spans="1:4" x14ac:dyDescent="0.25">
      <c r="A1114" s="2">
        <f ca="1">IFERROR(__xludf.DUMMYFUNCTION("""COMPUTED_VALUE"""),46022.6458333333)</f>
        <v>46022.645833333299</v>
      </c>
      <c r="B1114" s="1">
        <f ca="1">IFERROR(__xludf.DUMMYFUNCTION("""COMPUTED_VALUE"""),1342.9)</f>
        <v>1342.9</v>
      </c>
      <c r="C1114" s="3">
        <f t="shared" ca="1" si="34"/>
        <v>2.9795158286785172E-4</v>
      </c>
      <c r="D1114">
        <f t="shared" ca="1" si="33"/>
        <v>1367.0142857142857</v>
      </c>
    </row>
    <row r="1115" spans="1:4" x14ac:dyDescent="0.25">
      <c r="A1115" s="2">
        <f ca="1">IFERROR(__xludf.DUMMYFUNCTION("""COMPUTED_VALUE"""),46023.6458333333)</f>
        <v>46023.645833333299</v>
      </c>
      <c r="B1115" s="1">
        <f ca="1">IFERROR(__xludf.DUMMYFUNCTION("""COMPUTED_VALUE"""),1338)</f>
        <v>1338</v>
      </c>
      <c r="C1115" s="3">
        <f t="shared" ca="1" si="34"/>
        <v>-3.6488197185196893E-3</v>
      </c>
      <c r="D1115">
        <f t="shared" ca="1" si="33"/>
        <v>1366.0469387755099</v>
      </c>
    </row>
    <row r="1116" spans="1:4" x14ac:dyDescent="0.25">
      <c r="A1116" s="2">
        <f ca="1">IFERROR(__xludf.DUMMYFUNCTION("""COMPUTED_VALUE"""),46024.6458333333)</f>
        <v>46024.645833333299</v>
      </c>
      <c r="B1116" s="1">
        <f ca="1">IFERROR(__xludf.DUMMYFUNCTION("""COMPUTED_VALUE"""),1355.4)</f>
        <v>1355.4</v>
      </c>
      <c r="C1116" s="3">
        <f t="shared" ca="1" si="34"/>
        <v>1.3004484304932803E-2</v>
      </c>
      <c r="D1116">
        <f t="shared" ca="1" si="33"/>
        <v>1365.1489795918369</v>
      </c>
    </row>
    <row r="1117" spans="1:4" x14ac:dyDescent="0.25">
      <c r="A1117" s="2">
        <f ca="1">IFERROR(__xludf.DUMMYFUNCTION("""COMPUTED_VALUE"""),46027.6458333333)</f>
        <v>46027.645833333299</v>
      </c>
      <c r="B1117" s="1">
        <f ca="1">IFERROR(__xludf.DUMMYFUNCTION("""COMPUTED_VALUE"""),1371.5)</f>
        <v>1371.5</v>
      </c>
      <c r="C1117" s="3">
        <f t="shared" ca="1" si="34"/>
        <v>1.1878412276818583E-2</v>
      </c>
      <c r="D1117">
        <f t="shared" ca="1" si="33"/>
        <v>1364.9795918367347</v>
      </c>
    </row>
    <row r="1118" spans="1:4" x14ac:dyDescent="0.25">
      <c r="A1118" s="2">
        <f ca="1">IFERROR(__xludf.DUMMYFUNCTION("""COMPUTED_VALUE"""),46028.6458333333)</f>
        <v>46028.645833333299</v>
      </c>
      <c r="B1118" s="1">
        <f ca="1">IFERROR(__xludf.DUMMYFUNCTION("""COMPUTED_VALUE"""),1411.2)</f>
        <v>1411.2</v>
      </c>
      <c r="C1118" s="3">
        <f t="shared" ca="1" si="34"/>
        <v>2.8946409041195803E-2</v>
      </c>
      <c r="D1118">
        <f t="shared" ca="1" si="33"/>
        <v>1364.8530612244899</v>
      </c>
    </row>
    <row r="1119" spans="1:4" x14ac:dyDescent="0.25">
      <c r="A1119" s="2">
        <f ca="1">IFERROR(__xludf.DUMMYFUNCTION("""COMPUTED_VALUE"""),46029.6458333333)</f>
        <v>46029.645833333299</v>
      </c>
      <c r="B1119" s="1">
        <f ca="1">IFERROR(__xludf.DUMMYFUNCTION("""COMPUTED_VALUE"""),1427.7)</f>
        <v>1427.7</v>
      </c>
      <c r="C1119" s="3">
        <f t="shared" ca="1" si="34"/>
        <v>1.1692176870748298E-2</v>
      </c>
      <c r="D1119">
        <f t="shared" ca="1" si="33"/>
        <v>1365.5387755102042</v>
      </c>
    </row>
    <row r="1120" spans="1:4" x14ac:dyDescent="0.25">
      <c r="A1120" s="2">
        <f ca="1">IFERROR(__xludf.DUMMYFUNCTION("""COMPUTED_VALUE"""),46030.6458333333)</f>
        <v>46030.645833333299</v>
      </c>
      <c r="B1120" s="1">
        <f ca="1">IFERROR(__xludf.DUMMYFUNCTION("""COMPUTED_VALUE"""),1435)</f>
        <v>1435</v>
      </c>
      <c r="C1120" s="3">
        <f t="shared" ca="1" si="34"/>
        <v>5.1131190025915487E-3</v>
      </c>
      <c r="D1120">
        <f t="shared" ca="1" si="33"/>
        <v>1366.8571428571429</v>
      </c>
    </row>
    <row r="1121" spans="1:4" x14ac:dyDescent="0.25">
      <c r="A1121" s="2">
        <f ca="1">IFERROR(__xludf.DUMMYFUNCTION("""COMPUTED_VALUE"""),46031.6458333333)</f>
        <v>46031.645833333299</v>
      </c>
      <c r="B1121" s="1">
        <f ca="1">IFERROR(__xludf.DUMMYFUNCTION("""COMPUTED_VALUE"""),1404.3)</f>
        <v>1404.3</v>
      </c>
      <c r="C1121" s="3">
        <f t="shared" ca="1" si="34"/>
        <v>-2.1393728222996549E-2</v>
      </c>
      <c r="D1121">
        <f t="shared" ca="1" si="33"/>
        <v>1368.1755102040815</v>
      </c>
    </row>
    <row r="1122" spans="1:4" x14ac:dyDescent="0.25">
      <c r="A1122" s="2">
        <f ca="1">IFERROR(__xludf.DUMMYFUNCTION("""COMPUTED_VALUE"""),46034.6458333333)</f>
        <v>46034.645833333299</v>
      </c>
      <c r="B1122" s="1">
        <f ca="1">IFERROR(__xludf.DUMMYFUNCTION("""COMPUTED_VALUE"""),1413.1)</f>
        <v>1413.1</v>
      </c>
      <c r="C1122" s="3">
        <f t="shared" ca="1" si="34"/>
        <v>6.2664672790713914E-3</v>
      </c>
      <c r="D1122">
        <f t="shared" ca="1" si="33"/>
        <v>1369.0306122448981</v>
      </c>
    </row>
    <row r="1123" spans="1:4" x14ac:dyDescent="0.25">
      <c r="A1123" s="2">
        <f ca="1">IFERROR(__xludf.DUMMYFUNCTION("""COMPUTED_VALUE"""),46035.6458333333)</f>
        <v>46035.645833333299</v>
      </c>
      <c r="B1123" s="1">
        <f ca="1">IFERROR(__xludf.DUMMYFUNCTION("""COMPUTED_VALUE"""),1437)</f>
        <v>1437</v>
      </c>
      <c r="C1123" s="3">
        <f t="shared" ca="1" si="34"/>
        <v>1.6913169627061138E-2</v>
      </c>
      <c r="D1123">
        <f t="shared" ca="1" si="33"/>
        <v>1370.4142857142858</v>
      </c>
    </row>
    <row r="1124" spans="1:4" x14ac:dyDescent="0.25">
      <c r="A1124" s="2">
        <f ca="1">IFERROR(__xludf.DUMMYFUNCTION("""COMPUTED_VALUE"""),46036.6458333333)</f>
        <v>46036.645833333299</v>
      </c>
      <c r="B1124" s="1">
        <f ca="1">IFERROR(__xludf.DUMMYFUNCTION("""COMPUTED_VALUE"""),1418.4)</f>
        <v>1418.4</v>
      </c>
      <c r="C1124" s="3">
        <f t="shared" ca="1" si="34"/>
        <v>-1.2943632567849623E-2</v>
      </c>
      <c r="D1124">
        <f t="shared" ca="1" si="33"/>
        <v>1372.2632653061225</v>
      </c>
    </row>
    <row r="1125" spans="1:4" x14ac:dyDescent="0.25">
      <c r="A1125" s="2">
        <f ca="1">IFERROR(__xludf.DUMMYFUNCTION("""COMPUTED_VALUE"""),46038.6458333333)</f>
        <v>46038.645833333299</v>
      </c>
      <c r="B1125" s="1">
        <f ca="1">IFERROR(__xludf.DUMMYFUNCTION("""COMPUTED_VALUE"""),1410.8)</f>
        <v>1410.8</v>
      </c>
      <c r="C1125" s="3">
        <f t="shared" ca="1" si="34"/>
        <v>-5.3581500282008851E-3</v>
      </c>
      <c r="D1125">
        <f t="shared" ca="1" si="33"/>
        <v>1373.9265306122447</v>
      </c>
    </row>
    <row r="1126" spans="1:4" x14ac:dyDescent="0.25">
      <c r="A1126" s="2">
        <f ca="1">IFERROR(__xludf.DUMMYFUNCTION("""COMPUTED_VALUE"""),46041.6458333333)</f>
        <v>46041.645833333299</v>
      </c>
      <c r="B1126" s="1">
        <f ca="1">IFERROR(__xludf.DUMMYFUNCTION("""COMPUTED_VALUE"""),1380.6)</f>
        <v>1380.6</v>
      </c>
      <c r="C1126" s="3">
        <f t="shared" ca="1" si="34"/>
        <v>-2.1406294301105789E-2</v>
      </c>
      <c r="D1126">
        <f t="shared" ca="1" si="33"/>
        <v>1375.7714285714287</v>
      </c>
    </row>
    <row r="1127" spans="1:4" x14ac:dyDescent="0.25">
      <c r="A1127" s="2">
        <f ca="1">IFERROR(__xludf.DUMMYFUNCTION("""COMPUTED_VALUE"""),46042.6458333333)</f>
        <v>46042.645833333299</v>
      </c>
      <c r="B1127" s="1">
        <f ca="1">IFERROR(__xludf.DUMMYFUNCTION("""COMPUTED_VALUE"""),1375.8)</f>
        <v>1375.8</v>
      </c>
      <c r="C1127" s="3">
        <f t="shared" ca="1" si="34"/>
        <v>-3.4767492394610711E-3</v>
      </c>
      <c r="D1127">
        <f t="shared" ca="1" si="33"/>
        <v>1376.5387755102042</v>
      </c>
    </row>
    <row r="1128" spans="1:4" x14ac:dyDescent="0.25">
      <c r="A1128" s="2">
        <f ca="1">IFERROR(__xludf.DUMMYFUNCTION("""COMPUTED_VALUE"""),46043.6458333333)</f>
        <v>46043.645833333299</v>
      </c>
      <c r="B1128" s="1">
        <f ca="1">IFERROR(__xludf.DUMMYFUNCTION("""COMPUTED_VALUE"""),1349)</f>
        <v>1349</v>
      </c>
      <c r="C1128" s="3">
        <f t="shared" ca="1" si="34"/>
        <v>-1.9479575519697596E-2</v>
      </c>
      <c r="D1128">
        <f t="shared" ca="1" si="33"/>
        <v>1377.1061224489799</v>
      </c>
    </row>
    <row r="1129" spans="1:4" x14ac:dyDescent="0.25">
      <c r="A1129" s="2">
        <f ca="1">IFERROR(__xludf.DUMMYFUNCTION("""COMPUTED_VALUE"""),46044.6458333333)</f>
        <v>46044.645833333299</v>
      </c>
      <c r="B1129" s="1">
        <f ca="1">IFERROR(__xludf.DUMMYFUNCTION("""COMPUTED_VALUE"""),1345.5)</f>
        <v>1345.5</v>
      </c>
      <c r="C1129" s="3">
        <f t="shared" ca="1" si="34"/>
        <v>-2.5945144551519643E-3</v>
      </c>
      <c r="D1129">
        <f t="shared" ca="1" si="33"/>
        <v>1376.9163265306124</v>
      </c>
    </row>
    <row r="1130" spans="1:4" x14ac:dyDescent="0.25">
      <c r="A1130" s="2">
        <f ca="1">IFERROR(__xludf.DUMMYFUNCTION("""COMPUTED_VALUE"""),46045.6458333333)</f>
        <v>46045.645833333299</v>
      </c>
      <c r="B1130" s="1">
        <f ca="1">IFERROR(__xludf.DUMMYFUNCTION("""COMPUTED_VALUE"""),1343.4)</f>
        <v>1343.4</v>
      </c>
      <c r="C1130" s="3">
        <f t="shared" ca="1" si="34"/>
        <v>-1.5607580824971454E-3</v>
      </c>
      <c r="D1130">
        <f t="shared" ca="1" si="33"/>
        <v>1376.6428571428573</v>
      </c>
    </row>
    <row r="1131" spans="1:4" x14ac:dyDescent="0.25">
      <c r="A1131" s="2">
        <f ca="1">IFERROR(__xludf.DUMMYFUNCTION("""COMPUTED_VALUE"""),46049.6458333333)</f>
        <v>46049.645833333299</v>
      </c>
      <c r="B1131" s="1">
        <f ca="1">IFERROR(__xludf.DUMMYFUNCTION("""COMPUTED_VALUE"""),1361.4)</f>
        <v>1361.4</v>
      </c>
      <c r="C1131" s="3">
        <f t="shared" ca="1" si="34"/>
        <v>1.3398838767306832E-2</v>
      </c>
      <c r="D1131">
        <f t="shared" ca="1" si="33"/>
        <v>1375.7755102040817</v>
      </c>
    </row>
    <row r="1132" spans="1:4" x14ac:dyDescent="0.25">
      <c r="A1132" s="2">
        <f ca="1">IFERROR(__xludf.DUMMYFUNCTION("""COMPUTED_VALUE"""),46050.6458333333)</f>
        <v>46050.645833333299</v>
      </c>
      <c r="B1132" s="1">
        <f ca="1">IFERROR(__xludf.DUMMYFUNCTION("""COMPUTED_VALUE"""),1367.7)</f>
        <v>1367.7</v>
      </c>
      <c r="C1132" s="3">
        <f t="shared" ca="1" si="34"/>
        <v>4.6275892463640035E-3</v>
      </c>
      <c r="D1132">
        <f t="shared" ca="1" si="33"/>
        <v>1375.5387755102042</v>
      </c>
    </row>
    <row r="1133" spans="1:4" x14ac:dyDescent="0.25">
      <c r="A1133" s="2">
        <f ca="1">IFERROR(__xludf.DUMMYFUNCTION("""COMPUTED_VALUE"""),46051.6458333333)</f>
        <v>46051.645833333299</v>
      </c>
      <c r="B1133" s="1">
        <f ca="1">IFERROR(__xludf.DUMMYFUNCTION("""COMPUTED_VALUE"""),1383.6)</f>
        <v>1383.6</v>
      </c>
      <c r="C1133" s="3">
        <f t="shared" ca="1" si="34"/>
        <v>1.1625356437815211E-2</v>
      </c>
      <c r="D1133">
        <f t="shared" ca="1" si="33"/>
        <v>1375.3081632653063</v>
      </c>
    </row>
    <row r="1134" spans="1:4" x14ac:dyDescent="0.25">
      <c r="A1134" s="2">
        <f ca="1">IFERROR(__xludf.DUMMYFUNCTION("""COMPUTED_VALUE"""),46052.6458333333)</f>
        <v>46052.645833333299</v>
      </c>
      <c r="B1134" s="1">
        <f ca="1">IFERROR(__xludf.DUMMYFUNCTION("""COMPUTED_VALUE"""),1355)</f>
        <v>1355</v>
      </c>
      <c r="C1134" s="3">
        <f t="shared" ca="1" si="34"/>
        <v>-2.067071407921358E-2</v>
      </c>
      <c r="D1134">
        <f t="shared" ca="1" si="33"/>
        <v>1375.5163265306126</v>
      </c>
    </row>
    <row r="1135" spans="1:4" x14ac:dyDescent="0.25">
      <c r="A1135" s="2">
        <f ca="1">IFERROR(__xludf.DUMMYFUNCTION("""COMPUTED_VALUE"""),46055.6458333333)</f>
        <v>46055.645833333299</v>
      </c>
      <c r="B1135" s="1">
        <f ca="1">IFERROR(__xludf.DUMMYFUNCTION("""COMPUTED_VALUE"""),1352.8)</f>
        <v>1352.8</v>
      </c>
      <c r="C1135" s="3">
        <f t="shared" ca="1" si="34"/>
        <v>-1.6236162361623952E-3</v>
      </c>
      <c r="D1135">
        <f t="shared" ca="1" si="33"/>
        <v>1374.9428571428573</v>
      </c>
    </row>
    <row r="1136" spans="1:4" x14ac:dyDescent="0.25">
      <c r="A1136" s="2">
        <f ca="1">IFERROR(__xludf.DUMMYFUNCTION("""COMPUTED_VALUE"""),46056.6458333333)</f>
        <v>46056.645833333299</v>
      </c>
      <c r="B1136" s="1">
        <f ca="1">IFERROR(__xludf.DUMMYFUNCTION("""COMPUTED_VALUE"""),1389.7)</f>
        <v>1389.7</v>
      </c>
      <c r="C1136" s="3">
        <f t="shared" ca="1" si="34"/>
        <v>2.7276759314015443E-2</v>
      </c>
      <c r="D1136">
        <f t="shared" ca="1" si="33"/>
        <v>1374.3265306122453</v>
      </c>
    </row>
    <row r="1137" spans="1:4" x14ac:dyDescent="0.25">
      <c r="A1137" s="2">
        <f ca="1">IFERROR(__xludf.DUMMYFUNCTION("""COMPUTED_VALUE"""),46057.6458333333)</f>
        <v>46057.645833333299</v>
      </c>
      <c r="B1137" s="1">
        <f ca="1">IFERROR(__xludf.DUMMYFUNCTION("""COMPUTED_VALUE"""),1408.4)</f>
        <v>1408.4</v>
      </c>
      <c r="C1137" s="3">
        <f t="shared" ca="1" si="34"/>
        <v>1.3456141613297867E-2</v>
      </c>
      <c r="D1137">
        <f t="shared" ca="1" si="33"/>
        <v>1374.7387755102041</v>
      </c>
    </row>
    <row r="1138" spans="1:4" x14ac:dyDescent="0.25">
      <c r="A1138" s="2">
        <f ca="1">IFERROR(__xludf.DUMMYFUNCTION("""COMPUTED_VALUE"""),46058.6458333333)</f>
        <v>46058.645833333299</v>
      </c>
      <c r="B1138" s="1">
        <f ca="1">IFERROR(__xludf.DUMMYFUNCTION("""COMPUTED_VALUE"""),1396.5)</f>
        <v>1396.5</v>
      </c>
      <c r="C1138" s="3">
        <f t="shared" ca="1" si="34"/>
        <v>-8.4493041749503627E-3</v>
      </c>
      <c r="D1138">
        <f t="shared" ca="1" si="33"/>
        <v>1375.5551020408163</v>
      </c>
    </row>
    <row r="1139" spans="1:4" x14ac:dyDescent="0.25">
      <c r="A1139" s="2">
        <f ca="1">IFERROR(__xludf.DUMMYFUNCTION("""COMPUTED_VALUE"""),46059.6458333333)</f>
        <v>46059.645833333299</v>
      </c>
      <c r="B1139" s="1">
        <f ca="1">IFERROR(__xludf.DUMMYFUNCTION("""COMPUTED_VALUE"""),1406.1)</f>
        <v>1406.1</v>
      </c>
      <c r="C1139" s="3">
        <f t="shared" ca="1" si="34"/>
        <v>6.8743286788398921E-3</v>
      </c>
      <c r="D1139">
        <f t="shared" ca="1" si="33"/>
        <v>1376.3448979591838</v>
      </c>
    </row>
    <row r="1140" spans="1:4" x14ac:dyDescent="0.25">
      <c r="A1140" s="2">
        <f ca="1">IFERROR(__xludf.DUMMYFUNCTION("""COMPUTED_VALUE"""),46062.6458333333)</f>
        <v>46062.645833333299</v>
      </c>
      <c r="B1140" s="1">
        <f ca="1">IFERROR(__xludf.DUMMYFUNCTION("""COMPUTED_VALUE"""),1396.3)</f>
        <v>1396.3</v>
      </c>
      <c r="C1140" s="3">
        <f t="shared" ca="1" si="34"/>
        <v>-6.9696323163359331E-3</v>
      </c>
      <c r="D1140">
        <f t="shared" ref="D1140:D1203" ca="1" si="35">AVERAGE(B1091:B1139)</f>
        <v>1376.9795918367349</v>
      </c>
    </row>
    <row r="1141" spans="1:4" x14ac:dyDescent="0.25">
      <c r="A1141" s="2">
        <f ca="1">IFERROR(__xludf.DUMMYFUNCTION("""COMPUTED_VALUE"""),46063.6458333333)</f>
        <v>46063.645833333299</v>
      </c>
      <c r="B1141" s="1">
        <f ca="1">IFERROR(__xludf.DUMMYFUNCTION("""COMPUTED_VALUE"""),1406.5)</f>
        <v>1406.5</v>
      </c>
      <c r="C1141" s="3">
        <f t="shared" ca="1" si="34"/>
        <v>7.3050204110864754E-3</v>
      </c>
      <c r="D1141">
        <f t="shared" ca="1" si="35"/>
        <v>1377.0632653061225</v>
      </c>
    </row>
    <row r="1142" spans="1:4" x14ac:dyDescent="0.25">
      <c r="A1142" s="2">
        <f ca="1">IFERROR(__xludf.DUMMYFUNCTION("""COMPUTED_VALUE"""),46064.6458333333)</f>
        <v>46064.645833333299</v>
      </c>
      <c r="B1142" s="1">
        <f ca="1">IFERROR(__xludf.DUMMYFUNCTION("""COMPUTED_VALUE"""),1406.1)</f>
        <v>1406.1</v>
      </c>
      <c r="C1142" s="3">
        <f t="shared" ca="1" si="34"/>
        <v>-2.8439388553152574E-4</v>
      </c>
      <c r="D1142">
        <f t="shared" ca="1" si="35"/>
        <v>1377.4244897959184</v>
      </c>
    </row>
    <row r="1143" spans="1:4" x14ac:dyDescent="0.25">
      <c r="A1143" s="2">
        <f ca="1">IFERROR(__xludf.DUMMYFUNCTION("""COMPUTED_VALUE"""),46065.6458333333)</f>
        <v>46065.645833333299</v>
      </c>
      <c r="B1143" s="1">
        <f ca="1">IFERROR(__xludf.DUMMYFUNCTION("""COMPUTED_VALUE"""),1430)</f>
        <v>1430</v>
      </c>
      <c r="C1143" s="3">
        <f t="shared" ca="1" si="34"/>
        <v>1.6997368608207164E-2</v>
      </c>
      <c r="D1143">
        <f t="shared" ca="1" si="35"/>
        <v>1377.7510204081636</v>
      </c>
    </row>
    <row r="1144" spans="1:4" x14ac:dyDescent="0.25">
      <c r="A1144" s="2">
        <f ca="1">IFERROR(__xludf.DUMMYFUNCTION("""COMPUTED_VALUE"""),46066.6458333333)</f>
        <v>46066.645833333299</v>
      </c>
      <c r="B1144" s="1">
        <f ca="1">IFERROR(__xludf.DUMMYFUNCTION("""COMPUTED_VALUE"""),1414.6)</f>
        <v>1414.6</v>
      </c>
      <c r="C1144" s="3">
        <f t="shared" ca="1" si="34"/>
        <v>-1.0769230769230833E-2</v>
      </c>
      <c r="D1144">
        <f t="shared" ca="1" si="35"/>
        <v>1378.9142857142861</v>
      </c>
    </row>
    <row r="1145" spans="1:4" x14ac:dyDescent="0.25">
      <c r="A1145" s="2">
        <f ca="1">IFERROR(__xludf.DUMMYFUNCTION("""COMPUTED_VALUE"""),46069.6458333333)</f>
        <v>46069.645833333299</v>
      </c>
      <c r="B1145" s="1">
        <f ca="1">IFERROR(__xludf.DUMMYFUNCTION("""COMPUTED_VALUE"""),1411.6)</f>
        <v>1411.6</v>
      </c>
      <c r="C1145" s="3">
        <f t="shared" ca="1" si="34"/>
        <v>-2.1207408454686841E-3</v>
      </c>
      <c r="D1145">
        <f t="shared" ca="1" si="35"/>
        <v>1379.3857142857148</v>
      </c>
    </row>
    <row r="1146" spans="1:4" x14ac:dyDescent="0.25">
      <c r="A1146" s="2">
        <f ca="1">IFERROR(__xludf.DUMMYFUNCTION("""COMPUTED_VALUE"""),46070.6458333333)</f>
        <v>46070.645833333299</v>
      </c>
      <c r="B1146" s="1">
        <f ca="1">IFERROR(__xludf.DUMMYFUNCTION("""COMPUTED_VALUE"""),1407.5)</f>
        <v>1407.5</v>
      </c>
      <c r="C1146" s="3">
        <f t="shared" ca="1" si="34"/>
        <v>-2.9045055256445942E-3</v>
      </c>
      <c r="D1146">
        <f t="shared" ca="1" si="35"/>
        <v>1379.8938775510208</v>
      </c>
    </row>
    <row r="1147" spans="1:4" x14ac:dyDescent="0.25">
      <c r="A1147" s="2">
        <f ca="1">IFERROR(__xludf.DUMMYFUNCTION("""COMPUTED_VALUE"""),46071.6458333333)</f>
        <v>46071.645833333299</v>
      </c>
      <c r="B1147" s="1">
        <f ca="1">IFERROR(__xludf.DUMMYFUNCTION("""COMPUTED_VALUE"""),1408.2)</f>
        <v>1408.2</v>
      </c>
      <c r="C1147" s="3">
        <f t="shared" ca="1" si="34"/>
        <v>4.9733570159861136E-4</v>
      </c>
      <c r="D1147">
        <f t="shared" ca="1" si="35"/>
        <v>1380.2000000000003</v>
      </c>
    </row>
    <row r="1148" spans="1:4" x14ac:dyDescent="0.25">
      <c r="A1148" s="2">
        <f ca="1">IFERROR(__xludf.DUMMYFUNCTION("""COMPUTED_VALUE"""),46072.6458333333)</f>
        <v>46072.645833333299</v>
      </c>
      <c r="B1148" s="1">
        <f ca="1">IFERROR(__xludf.DUMMYFUNCTION("""COMPUTED_VALUE"""),1388.8)</f>
        <v>1388.8</v>
      </c>
      <c r="C1148" s="3">
        <f t="shared" ca="1" si="34"/>
        <v>-1.3776452208493176E-2</v>
      </c>
      <c r="D1148">
        <f t="shared" ca="1" si="35"/>
        <v>1380.5795918367348</v>
      </c>
    </row>
    <row r="1149" spans="1:4" x14ac:dyDescent="0.25">
      <c r="A1149" s="2">
        <f ca="1">IFERROR(__xludf.DUMMYFUNCTION("""COMPUTED_VALUE"""),46073.6458333333)</f>
        <v>46073.645833333299</v>
      </c>
      <c r="B1149" s="1">
        <f ca="1">IFERROR(__xludf.DUMMYFUNCTION("""COMPUTED_VALUE"""),1394.5)</f>
        <v>1394.5</v>
      </c>
      <c r="C1149" s="3">
        <f t="shared" ca="1" si="34"/>
        <v>4.1042626728110924E-3</v>
      </c>
      <c r="D1149">
        <f t="shared" ca="1" si="35"/>
        <v>1380.8571428571429</v>
      </c>
    </row>
    <row r="1150" spans="1:4" x14ac:dyDescent="0.25">
      <c r="A1150" s="2">
        <f ca="1">IFERROR(__xludf.DUMMYFUNCTION("""COMPUTED_VALUE"""),46076.6458333333)</f>
        <v>46076.645833333299</v>
      </c>
      <c r="B1150" s="1">
        <f ca="1">IFERROR(__xludf.DUMMYFUNCTION("""COMPUTED_VALUE"""),1399.4)</f>
        <v>1399.4</v>
      </c>
      <c r="C1150" s="3">
        <f t="shared" ca="1" si="34"/>
        <v>3.5138042309072002E-3</v>
      </c>
      <c r="D1150">
        <f t="shared" ca="1" si="35"/>
        <v>1381.4877551020406</v>
      </c>
    </row>
    <row r="1151" spans="1:4" x14ac:dyDescent="0.25">
      <c r="A1151" s="2">
        <f ca="1">IFERROR(__xludf.DUMMYFUNCTION("""COMPUTED_VALUE"""),46077.6458333333)</f>
        <v>46077.645833333299</v>
      </c>
      <c r="B1151" s="1">
        <f ca="1">IFERROR(__xludf.DUMMYFUNCTION("""COMPUTED_VALUE"""),1384.8)</f>
        <v>1384.8</v>
      </c>
      <c r="C1151" s="3">
        <f t="shared" ca="1" si="34"/>
        <v>-1.0433042732599783E-2</v>
      </c>
      <c r="D1151">
        <f t="shared" ca="1" si="35"/>
        <v>1382.2918367346936</v>
      </c>
    </row>
    <row r="1152" spans="1:4" x14ac:dyDescent="0.25">
      <c r="A1152" s="2">
        <f ca="1">IFERROR(__xludf.DUMMYFUNCTION("""COMPUTED_VALUE"""),46078.6458333333)</f>
        <v>46078.645833333299</v>
      </c>
      <c r="B1152" s="1">
        <f ca="1">IFERROR(__xludf.DUMMYFUNCTION("""COMPUTED_VALUE"""),1400.5)</f>
        <v>1400.5</v>
      </c>
      <c r="C1152" s="3">
        <f t="shared" ca="1" si="34"/>
        <v>1.1337377238590443E-2</v>
      </c>
      <c r="D1152">
        <f t="shared" ca="1" si="35"/>
        <v>1382.6755102040818</v>
      </c>
    </row>
    <row r="1153" spans="1:4" x14ac:dyDescent="0.25">
      <c r="A1153" s="2">
        <f ca="1">IFERROR(__xludf.DUMMYFUNCTION("""COMPUTED_VALUE"""),46079.6458333333)</f>
        <v>46079.645833333299</v>
      </c>
      <c r="B1153" s="1">
        <f ca="1">IFERROR(__xludf.DUMMYFUNCTION("""COMPUTED_VALUE"""),1404.9)</f>
        <v>1404.9</v>
      </c>
      <c r="C1153" s="3">
        <f t="shared" ca="1" si="34"/>
        <v>3.1417350946091331E-3</v>
      </c>
      <c r="D1153">
        <f t="shared" ca="1" si="35"/>
        <v>1383.3959183673469</v>
      </c>
    </row>
    <row r="1154" spans="1:4" x14ac:dyDescent="0.25">
      <c r="A1154" s="2">
        <f ca="1">IFERROR(__xludf.DUMMYFUNCTION("""COMPUTED_VALUE"""),46080.6458333333)</f>
        <v>46080.645833333299</v>
      </c>
      <c r="B1154" s="1">
        <f ca="1">IFERROR(__xludf.DUMMYFUNCTION("""COMPUTED_VALUE"""),1378.9)</f>
        <v>1378.9</v>
      </c>
      <c r="C1154" s="3">
        <f t="shared" ca="1" si="34"/>
        <v>-1.8506655277955725E-2</v>
      </c>
      <c r="D1154">
        <f t="shared" ca="1" si="35"/>
        <v>1384.1897959183671</v>
      </c>
    </row>
    <row r="1155" spans="1:4" x14ac:dyDescent="0.25">
      <c r="A1155" s="2">
        <f ca="1">IFERROR(__xludf.DUMMYFUNCTION("""COMPUTED_VALUE"""),46083.6458333333)</f>
        <v>46083.645833333299</v>
      </c>
      <c r="B1155" s="1">
        <f ca="1">IFERROR(__xludf.DUMMYFUNCTION("""COMPUTED_VALUE"""),1374)</f>
        <v>1374</v>
      </c>
      <c r="C1155" s="3">
        <f t="shared" ca="1" si="34"/>
        <v>-3.5535571832620862E-3</v>
      </c>
      <c r="D1155">
        <f t="shared" ca="1" si="35"/>
        <v>1384.7306122448977</v>
      </c>
    </row>
    <row r="1156" spans="1:4" x14ac:dyDescent="0.25">
      <c r="A1156" s="2">
        <f ca="1">IFERROR(__xludf.DUMMYFUNCTION("""COMPUTED_VALUE"""),46085.6458333333)</f>
        <v>46085.645833333299</v>
      </c>
      <c r="B1156" s="1">
        <f ca="1">IFERROR(__xludf.DUMMYFUNCTION("""COMPUTED_VALUE"""),1368.5)</f>
        <v>1368.5</v>
      </c>
      <c r="C1156" s="3">
        <f t="shared" ref="C1156:C1219" ca="1" si="36">(B1156-B1155)/B1155</f>
        <v>-4.0029112081513829E-3</v>
      </c>
      <c r="D1156">
        <f t="shared" ca="1" si="35"/>
        <v>1385.0816326530612</v>
      </c>
    </row>
    <row r="1157" spans="1:4" x14ac:dyDescent="0.25">
      <c r="A1157" s="2">
        <f ca="1">IFERROR(__xludf.DUMMYFUNCTION("""COMPUTED_VALUE"""),46086.6458333333)</f>
        <v>46086.645833333299</v>
      </c>
      <c r="B1157" s="1">
        <f ca="1">IFERROR(__xludf.DUMMYFUNCTION("""COMPUTED_VALUE"""),1357.6)</f>
        <v>1357.6</v>
      </c>
      <c r="C1157" s="3">
        <f t="shared" ca="1" si="36"/>
        <v>-7.9649251004750392E-3</v>
      </c>
      <c r="D1157">
        <f t="shared" ca="1" si="35"/>
        <v>1385.3755102040816</v>
      </c>
    </row>
    <row r="1158" spans="1:4" x14ac:dyDescent="0.25">
      <c r="A1158" s="2">
        <f ca="1">IFERROR(__xludf.DUMMYFUNCTION("""COMPUTED_VALUE"""),46087.6458333333)</f>
        <v>46087.645833333299</v>
      </c>
      <c r="B1158" s="1">
        <f ca="1">IFERROR(__xludf.DUMMYFUNCTION("""COMPUTED_VALUE"""),1313.4)</f>
        <v>1313.4</v>
      </c>
      <c r="C1158" s="3">
        <f t="shared" ca="1" si="36"/>
        <v>-3.2557454331172526E-2</v>
      </c>
      <c r="D1158">
        <f t="shared" ca="1" si="35"/>
        <v>1385.1530612244899</v>
      </c>
    </row>
    <row r="1159" spans="1:4" x14ac:dyDescent="0.25">
      <c r="A1159" s="2">
        <f ca="1">IFERROR(__xludf.DUMMYFUNCTION("""COMPUTED_VALUE"""),46090.6458333333)</f>
        <v>46090.645833333299</v>
      </c>
      <c r="B1159" s="1">
        <f ca="1">IFERROR(__xludf.DUMMYFUNCTION("""COMPUTED_VALUE"""),1278.4)</f>
        <v>1278.4000000000001</v>
      </c>
      <c r="C1159" s="3">
        <f t="shared" ca="1" si="36"/>
        <v>-2.6648393482564335E-2</v>
      </c>
      <c r="D1159">
        <f t="shared" ca="1" si="35"/>
        <v>1384.1408163265307</v>
      </c>
    </row>
    <row r="1160" spans="1:4" x14ac:dyDescent="0.25">
      <c r="A1160" s="2">
        <f ca="1">IFERROR(__xludf.DUMMYFUNCTION("""COMPUTED_VALUE"""),46091.6458333333)</f>
        <v>46091.645833333299</v>
      </c>
      <c r="B1160" s="1">
        <f ca="1">IFERROR(__xludf.DUMMYFUNCTION("""COMPUTED_VALUE"""),1311.9)</f>
        <v>1311.9</v>
      </c>
      <c r="C1160" s="3">
        <f t="shared" ca="1" si="36"/>
        <v>2.6204630788485606E-2</v>
      </c>
      <c r="D1160">
        <f t="shared" ca="1" si="35"/>
        <v>1382.4795918367347</v>
      </c>
    </row>
    <row r="1161" spans="1:4" x14ac:dyDescent="0.25">
      <c r="A1161" s="2">
        <f ca="1">IFERROR(__xludf.DUMMYFUNCTION("""COMPUTED_VALUE"""),46092.6458333333)</f>
        <v>46092.645833333299</v>
      </c>
      <c r="B1161" s="1">
        <f ca="1">IFERROR(__xludf.DUMMYFUNCTION("""COMPUTED_VALUE"""),1294.6)</f>
        <v>1294.5999999999999</v>
      </c>
      <c r="C1161" s="3">
        <f t="shared" ca="1" si="36"/>
        <v>-1.3186980714993659E-2</v>
      </c>
      <c r="D1161">
        <f t="shared" ca="1" si="35"/>
        <v>1381.6938775510205</v>
      </c>
    </row>
    <row r="1162" spans="1:4" x14ac:dyDescent="0.25">
      <c r="A1162" s="2">
        <f ca="1">IFERROR(__xludf.DUMMYFUNCTION("""COMPUTED_VALUE"""),46093.6458333333)</f>
        <v>46093.645833333299</v>
      </c>
      <c r="B1162" s="1">
        <f ca="1">IFERROR(__xludf.DUMMYFUNCTION("""COMPUTED_VALUE"""),1266.5)</f>
        <v>1266.5</v>
      </c>
      <c r="C1162" s="3">
        <f t="shared" ca="1" si="36"/>
        <v>-2.1705546114629933E-2</v>
      </c>
      <c r="D1162">
        <f t="shared" ca="1" si="35"/>
        <v>1380.7</v>
      </c>
    </row>
    <row r="1163" spans="1:4" x14ac:dyDescent="0.25">
      <c r="A1163" s="2">
        <f ca="1">IFERROR(__xludf.DUMMYFUNCTION("""COMPUTED_VALUE"""),46094.6458333333)</f>
        <v>46094.645833333299</v>
      </c>
      <c r="B1163" s="1">
        <f ca="1">IFERROR(__xludf.DUMMYFUNCTION("""COMPUTED_VALUE"""),1254.8)</f>
        <v>1254.8</v>
      </c>
      <c r="C1163" s="3">
        <f t="shared" ca="1" si="36"/>
        <v>-9.2380576391630845E-3</v>
      </c>
      <c r="D1163">
        <f t="shared" ca="1" si="35"/>
        <v>1379.1489795918369</v>
      </c>
    </row>
    <row r="1164" spans="1:4" x14ac:dyDescent="0.25">
      <c r="A1164" s="2">
        <f ca="1">IFERROR(__xludf.DUMMYFUNCTION("""COMPUTED_VALUE"""),46097.6458333333)</f>
        <v>46097.645833333299</v>
      </c>
      <c r="B1164" s="1">
        <f ca="1">IFERROR(__xludf.DUMMYFUNCTION("""COMPUTED_VALUE"""),1272.9)</f>
        <v>1272.9000000000001</v>
      </c>
      <c r="C1164" s="3">
        <f t="shared" ca="1" si="36"/>
        <v>1.4424609499521946E-2</v>
      </c>
      <c r="D1164">
        <f t="shared" ca="1" si="35"/>
        <v>1377.3510204081635</v>
      </c>
    </row>
    <row r="1165" spans="1:4" x14ac:dyDescent="0.25">
      <c r="A1165" s="2">
        <f ca="1">IFERROR(__xludf.DUMMYFUNCTION("""COMPUTED_VALUE"""),46098.6458333333)</f>
        <v>46098.645833333299</v>
      </c>
      <c r="B1165" s="1">
        <f ca="1">IFERROR(__xludf.DUMMYFUNCTION("""COMPUTED_VALUE"""),1288.7)</f>
        <v>1288.7</v>
      </c>
      <c r="C1165" s="3">
        <f t="shared" ca="1" si="36"/>
        <v>1.2412601146987157E-2</v>
      </c>
      <c r="D1165">
        <f t="shared" ca="1" si="35"/>
        <v>1376.0224489795919</v>
      </c>
    </row>
    <row r="1166" spans="1:4" x14ac:dyDescent="0.25">
      <c r="A1166" s="2">
        <f ca="1">IFERROR(__xludf.DUMMYFUNCTION("""COMPUTED_VALUE"""),46099.6458333333)</f>
        <v>46099.645833333299</v>
      </c>
      <c r="B1166" s="1">
        <f ca="1">IFERROR(__xludf.DUMMYFUNCTION("""COMPUTED_VALUE"""),1289.3)</f>
        <v>1289.3</v>
      </c>
      <c r="C1166" s="3">
        <f t="shared" ca="1" si="36"/>
        <v>4.6558547373314892E-4</v>
      </c>
      <c r="D1166">
        <f t="shared" ca="1" si="35"/>
        <v>1374.661224489796</v>
      </c>
    </row>
    <row r="1167" spans="1:4" x14ac:dyDescent="0.25">
      <c r="A1167" s="2">
        <f ca="1">IFERROR(__xludf.DUMMYFUNCTION("""COMPUTED_VALUE"""),46100.6458333333)</f>
        <v>46100.645833333299</v>
      </c>
      <c r="B1167" s="1">
        <f ca="1">IFERROR(__xludf.DUMMYFUNCTION("""COMPUTED_VALUE"""),1250.1)</f>
        <v>1250.0999999999999</v>
      </c>
      <c r="C1167" s="3">
        <f t="shared" ca="1" si="36"/>
        <v>-3.0404095245482082E-2</v>
      </c>
      <c r="D1167">
        <f t="shared" ca="1" si="35"/>
        <v>1372.9836734693879</v>
      </c>
    </row>
    <row r="1168" spans="1:4" x14ac:dyDescent="0.25">
      <c r="A1168" s="2">
        <f ca="1">IFERROR(__xludf.DUMMYFUNCTION("""COMPUTED_VALUE"""),46101.6458333333)</f>
        <v>46101.645833333299</v>
      </c>
      <c r="B1168" s="1">
        <f ca="1">IFERROR(__xludf.DUMMYFUNCTION("""COMPUTED_VALUE"""),1245.4)</f>
        <v>1245.4000000000001</v>
      </c>
      <c r="C1168" s="3">
        <f t="shared" ca="1" si="36"/>
        <v>-3.7596992240619296E-3</v>
      </c>
      <c r="D1168">
        <f t="shared" ca="1" si="35"/>
        <v>1369.6959183673471</v>
      </c>
    </row>
    <row r="1169" spans="1:4" x14ac:dyDescent="0.25">
      <c r="A1169" s="2">
        <f ca="1">IFERROR(__xludf.DUMMYFUNCTION("""COMPUTED_VALUE"""),46104.6458333333)</f>
        <v>46104.645833333299</v>
      </c>
      <c r="B1169" s="1">
        <f ca="1">IFERROR(__xludf.DUMMYFUNCTION("""COMPUTED_VALUE"""),1222.7)</f>
        <v>1222.7</v>
      </c>
      <c r="C1169" s="3">
        <f t="shared" ca="1" si="36"/>
        <v>-1.8227075638349161E-2</v>
      </c>
      <c r="D1169">
        <f t="shared" ca="1" si="35"/>
        <v>1365.9755102040817</v>
      </c>
    </row>
    <row r="1170" spans="1:4" x14ac:dyDescent="0.25">
      <c r="A1170" s="2">
        <f ca="1">IFERROR(__xludf.DUMMYFUNCTION("""COMPUTED_VALUE"""),46105.6458333333)</f>
        <v>46105.645833333299</v>
      </c>
      <c r="B1170" s="1">
        <f ca="1">IFERROR(__xludf.DUMMYFUNCTION("""COMPUTED_VALUE"""),1251.2)</f>
        <v>1251.2</v>
      </c>
      <c r="C1170" s="3">
        <f t="shared" ca="1" si="36"/>
        <v>2.3309070090782692E-2</v>
      </c>
      <c r="D1170">
        <f t="shared" ca="1" si="35"/>
        <v>1361.6428571428571</v>
      </c>
    </row>
    <row r="1171" spans="1:4" x14ac:dyDescent="0.25">
      <c r="A1171" s="2">
        <f ca="1">IFERROR(__xludf.DUMMYFUNCTION("""COMPUTED_VALUE"""),46106.6458333333)</f>
        <v>46106.645833333299</v>
      </c>
      <c r="B1171" s="1">
        <f ca="1">IFERROR(__xludf.DUMMYFUNCTION("""COMPUTED_VALUE"""),1259.7)</f>
        <v>1259.7</v>
      </c>
      <c r="C1171" s="3">
        <f t="shared" ca="1" si="36"/>
        <v>6.793478260869565E-3</v>
      </c>
      <c r="D1171">
        <f t="shared" ca="1" si="35"/>
        <v>1358.5183673469389</v>
      </c>
    </row>
    <row r="1172" spans="1:4" x14ac:dyDescent="0.25">
      <c r="A1172" s="2">
        <f ca="1">IFERROR(__xludf.DUMMYFUNCTION("""COMPUTED_VALUE"""),46108.6458333333)</f>
        <v>46108.645833333299</v>
      </c>
      <c r="B1172" s="1">
        <f ca="1">IFERROR(__xludf.DUMMYFUNCTION("""COMPUTED_VALUE"""),1233.8)</f>
        <v>1233.8</v>
      </c>
      <c r="C1172" s="3">
        <f t="shared" ca="1" si="36"/>
        <v>-2.0560450901008248E-2</v>
      </c>
      <c r="D1172">
        <f t="shared" ca="1" si="35"/>
        <v>1355.3877551020407</v>
      </c>
    </row>
    <row r="1173" spans="1:4" x14ac:dyDescent="0.25">
      <c r="A1173" s="2">
        <f ca="1">IFERROR(__xludf.DUMMYFUNCTION("""COMPUTED_VALUE"""),46111.6458333333)</f>
        <v>46111.645833333299</v>
      </c>
      <c r="B1173" s="1">
        <f ca="1">IFERROR(__xludf.DUMMYFUNCTION("""COMPUTED_VALUE"""),1205.9)</f>
        <v>1205.9000000000001</v>
      </c>
      <c r="C1173" s="3">
        <f t="shared" ca="1" si="36"/>
        <v>-2.2613065326633056E-2</v>
      </c>
      <c r="D1173">
        <f t="shared" ca="1" si="35"/>
        <v>1351.2408163265306</v>
      </c>
    </row>
    <row r="1174" spans="1:4" x14ac:dyDescent="0.25">
      <c r="A1174" s="2">
        <f ca="1">IFERROR(__xludf.DUMMYFUNCTION("""COMPUTED_VALUE"""),46113.6458333333)</f>
        <v>46113.645833333299</v>
      </c>
      <c r="B1174" s="1">
        <f ca="1">IFERROR(__xludf.DUMMYFUNCTION("""COMPUTED_VALUE"""),1212.7)</f>
        <v>1212.7</v>
      </c>
      <c r="C1174" s="3">
        <f t="shared" ca="1" si="36"/>
        <v>5.6389418691433404E-3</v>
      </c>
      <c r="D1174">
        <f t="shared" ca="1" si="35"/>
        <v>1346.9040816326531</v>
      </c>
    </row>
    <row r="1175" spans="1:4" x14ac:dyDescent="0.25">
      <c r="A1175" s="2">
        <f ca="1">IFERROR(__xludf.DUMMYFUNCTION("""COMPUTED_VALUE"""),46114.6458333333)</f>
        <v>46114.645833333299</v>
      </c>
      <c r="B1175" s="1">
        <f ca="1">IFERROR(__xludf.DUMMYFUNCTION("""COMPUTED_VALUE"""),1215.8)</f>
        <v>1215.8</v>
      </c>
      <c r="C1175" s="3">
        <f t="shared" ca="1" si="36"/>
        <v>2.5562793765975993E-3</v>
      </c>
      <c r="D1175">
        <f t="shared" ca="1" si="35"/>
        <v>1342.8612244897959</v>
      </c>
    </row>
    <row r="1176" spans="1:4" x14ac:dyDescent="0.25">
      <c r="A1176" s="2">
        <f ca="1">IFERROR(__xludf.DUMMYFUNCTION("""COMPUTED_VALUE"""),46118.6458333333)</f>
        <v>46118.645833333299</v>
      </c>
      <c r="B1176" s="1">
        <f ca="1">IFERROR(__xludf.DUMMYFUNCTION("""COMPUTED_VALUE"""),1231.4)</f>
        <v>1231.4000000000001</v>
      </c>
      <c r="C1176" s="3">
        <f t="shared" ca="1" si="36"/>
        <v>1.2831057739759942E-2</v>
      </c>
      <c r="D1176">
        <f t="shared" ca="1" si="35"/>
        <v>1339.4979591836734</v>
      </c>
    </row>
    <row r="1177" spans="1:4" x14ac:dyDescent="0.25">
      <c r="A1177" s="2">
        <f ca="1">IFERROR(__xludf.DUMMYFUNCTION("""COMPUTED_VALUE"""),46119.6458333333)</f>
        <v>46119.645833333299</v>
      </c>
      <c r="B1177" s="1">
        <f ca="1">IFERROR(__xludf.DUMMYFUNCTION("""COMPUTED_VALUE"""),1245.5)</f>
        <v>1245.5</v>
      </c>
      <c r="C1177" s="3">
        <f t="shared" ca="1" si="36"/>
        <v>1.1450381679389238E-2</v>
      </c>
      <c r="D1177">
        <f t="shared" ca="1" si="35"/>
        <v>1336.5510204081634</v>
      </c>
    </row>
    <row r="1178" spans="1:4" x14ac:dyDescent="0.25">
      <c r="A1178" s="2">
        <f ca="1">IFERROR(__xludf.DUMMYFUNCTION("""COMPUTED_VALUE"""),46120.6458333333)</f>
        <v>46120.645833333299</v>
      </c>
      <c r="B1178" s="1">
        <f ca="1">IFERROR(__xludf.DUMMYFUNCTION("""COMPUTED_VALUE"""),1309.2)</f>
        <v>1309.2</v>
      </c>
      <c r="C1178" s="3">
        <f t="shared" ca="1" si="36"/>
        <v>5.1144118827780041E-2</v>
      </c>
      <c r="D1178">
        <f t="shared" ca="1" si="35"/>
        <v>1334.4387755102041</v>
      </c>
    </row>
    <row r="1179" spans="1:4" x14ac:dyDescent="0.25">
      <c r="A1179" s="2">
        <f ca="1">IFERROR(__xludf.DUMMYFUNCTION("""COMPUTED_VALUE"""),46121.6458333333)</f>
        <v>46121.645833333299</v>
      </c>
      <c r="B1179" s="1">
        <f ca="1">IFERROR(__xludf.DUMMYFUNCTION("""COMPUTED_VALUE"""),1281.3)</f>
        <v>1281.3</v>
      </c>
      <c r="C1179" s="3">
        <f t="shared" ca="1" si="36"/>
        <v>-2.1310724106324543E-2</v>
      </c>
      <c r="D1179">
        <f t="shared" ca="1" si="35"/>
        <v>1333.6979591836734</v>
      </c>
    </row>
    <row r="1180" spans="1:4" x14ac:dyDescent="0.25">
      <c r="A1180" s="2">
        <f ca="1">IFERROR(__xludf.DUMMYFUNCTION("""COMPUTED_VALUE"""),46122.6458333333)</f>
        <v>46122.645833333299</v>
      </c>
      <c r="B1180" s="1">
        <f ca="1">IFERROR(__xludf.DUMMYFUNCTION("""COMPUTED_VALUE"""),1321.9)</f>
        <v>1321.9</v>
      </c>
      <c r="C1180" s="3">
        <f t="shared" ca="1" si="36"/>
        <v>3.1686568329040925E-2</v>
      </c>
      <c r="D1180">
        <f t="shared" ca="1" si="35"/>
        <v>1332.4306122448979</v>
      </c>
    </row>
    <row r="1181" spans="1:4" x14ac:dyDescent="0.25">
      <c r="A1181" s="2">
        <f ca="1">IFERROR(__xludf.DUMMYFUNCTION("""COMPUTED_VALUE"""),46125.6458333333)</f>
        <v>46125.645833333299</v>
      </c>
      <c r="B1181" s="1">
        <f ca="1">IFERROR(__xludf.DUMMYFUNCTION("""COMPUTED_VALUE"""),1351.1)</f>
        <v>1351.1</v>
      </c>
      <c r="C1181" s="3">
        <f t="shared" ca="1" si="36"/>
        <v>2.2089416748619271E-2</v>
      </c>
      <c r="D1181">
        <f t="shared" ca="1" si="35"/>
        <v>1331.6244897959184</v>
      </c>
    </row>
    <row r="1182" spans="1:4" x14ac:dyDescent="0.25">
      <c r="A1182" s="2">
        <f ca="1">IFERROR(__xludf.DUMMYFUNCTION("""COMPUTED_VALUE"""),46127.6458333333)</f>
        <v>46127.645833333299</v>
      </c>
      <c r="B1182" s="1">
        <f ca="1">IFERROR(__xludf.DUMMYFUNCTION("""COMPUTED_VALUE"""),1348.1)</f>
        <v>1348.1</v>
      </c>
      <c r="C1182" s="3">
        <f t="shared" ca="1" si="36"/>
        <v>-2.2204129968174083E-3</v>
      </c>
      <c r="D1182">
        <f t="shared" ca="1" si="35"/>
        <v>1331.2857142857142</v>
      </c>
    </row>
    <row r="1183" spans="1:4" x14ac:dyDescent="0.25">
      <c r="A1183" s="2">
        <f ca="1">IFERROR(__xludf.DUMMYFUNCTION("""COMPUTED_VALUE"""),46128.6458333333)</f>
        <v>46128.645833333299</v>
      </c>
      <c r="B1183" s="1">
        <f ca="1">IFERROR(__xludf.DUMMYFUNCTION("""COMPUTED_VALUE"""),1345.5)</f>
        <v>1345.5</v>
      </c>
      <c r="C1183" s="3">
        <f t="shared" ca="1" si="36"/>
        <v>-1.928640308582382E-3</v>
      </c>
      <c r="D1183">
        <f t="shared" ca="1" si="35"/>
        <v>1330.5612244897961</v>
      </c>
    </row>
    <row r="1184" spans="1:4" x14ac:dyDescent="0.25">
      <c r="A1184" s="2">
        <f ca="1">IFERROR(__xludf.DUMMYFUNCTION("""COMPUTED_VALUE"""),46129.6458333333)</f>
        <v>46129.645833333299</v>
      </c>
      <c r="B1184" s="1">
        <f ca="1">IFERROR(__xludf.DUMMYFUNCTION("""COMPUTED_VALUE"""),1346.8)</f>
        <v>1346.8</v>
      </c>
      <c r="C1184" s="3">
        <f t="shared" ca="1" si="36"/>
        <v>9.661835748791932E-4</v>
      </c>
      <c r="D1184">
        <f t="shared" ca="1" si="35"/>
        <v>1330.3673469387754</v>
      </c>
    </row>
    <row r="1185" spans="1:4" x14ac:dyDescent="0.25">
      <c r="A1185" s="2">
        <f ca="1">IFERROR(__xludf.DUMMYFUNCTION("""COMPUTED_VALUE"""),46132.6458333333)</f>
        <v>46132.645833333299</v>
      </c>
      <c r="B1185" s="1">
        <f ca="1">IFERROR(__xludf.DUMMYFUNCTION("""COMPUTED_VALUE"""),1356.2)</f>
        <v>1356.2</v>
      </c>
      <c r="C1185" s="3">
        <f t="shared" ca="1" si="36"/>
        <v>6.9795069795070474E-3</v>
      </c>
      <c r="D1185">
        <f t="shared" ca="1" si="35"/>
        <v>1330.2448979591838</v>
      </c>
    </row>
    <row r="1186" spans="1:4" x14ac:dyDescent="0.25">
      <c r="A1186" s="2">
        <f ca="1">IFERROR(__xludf.DUMMYFUNCTION("""COMPUTED_VALUE"""),46133.6458333333)</f>
        <v>46133.645833333299</v>
      </c>
      <c r="B1186" s="1">
        <f ca="1">IFERROR(__xludf.DUMMYFUNCTION("""COMPUTED_VALUE"""),1388.4)</f>
        <v>1388.4</v>
      </c>
      <c r="C1186" s="3">
        <f t="shared" ca="1" si="36"/>
        <v>2.3742810794868046E-2</v>
      </c>
      <c r="D1186">
        <f t="shared" ca="1" si="35"/>
        <v>1329.5612244897961</v>
      </c>
    </row>
    <row r="1187" spans="1:4" x14ac:dyDescent="0.25">
      <c r="A1187" s="2">
        <f ca="1">IFERROR(__xludf.DUMMYFUNCTION("""COMPUTED_VALUE"""),46134.6458333333)</f>
        <v>46134.645833333299</v>
      </c>
      <c r="B1187" s="1">
        <f ca="1">IFERROR(__xludf.DUMMYFUNCTION("""COMPUTED_VALUE"""),1367.6)</f>
        <v>1367.6</v>
      </c>
      <c r="C1187" s="3">
        <f t="shared" ca="1" si="36"/>
        <v>-1.4981273408239831E-2</v>
      </c>
      <c r="D1187">
        <f t="shared" ca="1" si="35"/>
        <v>1329.1530612244899</v>
      </c>
    </row>
    <row r="1188" spans="1:4" x14ac:dyDescent="0.25">
      <c r="A1188" s="2">
        <f ca="1">IFERROR(__xludf.DUMMYFUNCTION("""COMPUTED_VALUE"""),46135.6458333333)</f>
        <v>46135.645833333299</v>
      </c>
      <c r="B1188" s="1">
        <f ca="1">IFERROR(__xludf.DUMMYFUNCTION("""COMPUTED_VALUE"""),1348)</f>
        <v>1348</v>
      </c>
      <c r="C1188" s="3">
        <f t="shared" ca="1" si="36"/>
        <v>-1.4331675928634038E-2</v>
      </c>
      <c r="D1188">
        <f t="shared" ca="1" si="35"/>
        <v>1328.5632653061225</v>
      </c>
    </row>
    <row r="1189" spans="1:4" x14ac:dyDescent="0.25">
      <c r="A1189" s="2">
        <f ca="1">IFERROR(__xludf.DUMMYFUNCTION("""COMPUTED_VALUE"""),46136.6458333333)</f>
        <v>46136.645833333299</v>
      </c>
      <c r="B1189" s="1">
        <f ca="1">IFERROR(__xludf.DUMMYFUNCTION("""COMPUTED_VALUE"""),1326.2)</f>
        <v>1326.2</v>
      </c>
      <c r="C1189" s="3">
        <f t="shared" ca="1" si="36"/>
        <v>-1.6172106824925783E-2</v>
      </c>
      <c r="D1189">
        <f t="shared" ca="1" si="35"/>
        <v>1327.3775510204082</v>
      </c>
    </row>
    <row r="1190" spans="1:4" x14ac:dyDescent="0.25">
      <c r="A1190" s="2">
        <f ca="1">IFERROR(__xludf.DUMMYFUNCTION("""COMPUTED_VALUE"""),46139.6458333333)</f>
        <v>46139.645833333299</v>
      </c>
      <c r="B1190" s="1">
        <f ca="1">IFERROR(__xludf.DUMMYFUNCTION("""COMPUTED_VALUE"""),1314.1)</f>
        <v>1314.1</v>
      </c>
      <c r="C1190" s="3">
        <f t="shared" ca="1" si="36"/>
        <v>-9.123812396320416E-3</v>
      </c>
      <c r="D1190">
        <f t="shared" ca="1" si="35"/>
        <v>1325.9469387755103</v>
      </c>
    </row>
    <row r="1191" spans="1:4" x14ac:dyDescent="0.25">
      <c r="A1191" s="2">
        <f ca="1">IFERROR(__xludf.DUMMYFUNCTION("""COMPUTED_VALUE"""),46140.6458333333)</f>
        <v>46140.645833333299</v>
      </c>
      <c r="B1191" s="1">
        <f ca="1">IFERROR(__xludf.DUMMYFUNCTION("""COMPUTED_VALUE"""),1292)</f>
        <v>1292</v>
      </c>
      <c r="C1191" s="3">
        <f t="shared" ca="1" si="36"/>
        <v>-1.6817593790426841E-2</v>
      </c>
      <c r="D1191">
        <f t="shared" ca="1" si="35"/>
        <v>1324.0612244897957</v>
      </c>
    </row>
    <row r="1192" spans="1:4" x14ac:dyDescent="0.25">
      <c r="A1192" s="2">
        <f ca="1">IFERROR(__xludf.DUMMYFUNCTION("""COMPUTED_VALUE"""),46141.6458333333)</f>
        <v>46141.645833333299</v>
      </c>
      <c r="B1192" s="1">
        <f ca="1">IFERROR(__xludf.DUMMYFUNCTION("""COMPUTED_VALUE"""),1281)</f>
        <v>1281</v>
      </c>
      <c r="C1192" s="3">
        <f t="shared" ca="1" si="36"/>
        <v>-8.5139318885448911E-3</v>
      </c>
      <c r="D1192">
        <f t="shared" ca="1" si="35"/>
        <v>1321.7326530612245</v>
      </c>
    </row>
    <row r="1193" spans="1:4" x14ac:dyDescent="0.25">
      <c r="A1193" s="2">
        <f ca="1">IFERROR(__xludf.DUMMYFUNCTION("""COMPUTED_VALUE"""),46142.6458333333)</f>
        <v>46142.645833333299</v>
      </c>
      <c r="B1193" s="1">
        <f ca="1">IFERROR(__xludf.DUMMYFUNCTION("""COMPUTED_VALUE"""),1263.4)</f>
        <v>1263.4000000000001</v>
      </c>
      <c r="C1193" s="3">
        <f t="shared" ca="1" si="36"/>
        <v>-1.3739266198282521E-2</v>
      </c>
      <c r="D1193">
        <f t="shared" ca="1" si="35"/>
        <v>1318.6918367346937</v>
      </c>
    </row>
    <row r="1194" spans="1:4" x14ac:dyDescent="0.25">
      <c r="A1194" s="2">
        <f ca="1">IFERROR(__xludf.DUMMYFUNCTION("""COMPUTED_VALUE"""),46146.6458333333)</f>
        <v>46146.645833333299</v>
      </c>
      <c r="B1194" s="1">
        <f ca="1">IFERROR(__xludf.DUMMYFUNCTION("""COMPUTED_VALUE"""),1270.8)</f>
        <v>1270.8</v>
      </c>
      <c r="C1194" s="3">
        <f t="shared" ca="1" si="36"/>
        <v>5.8572107012821459E-3</v>
      </c>
      <c r="D1194">
        <f t="shared" ca="1" si="35"/>
        <v>1315.6061224489795</v>
      </c>
    </row>
    <row r="1195" spans="1:4" x14ac:dyDescent="0.25">
      <c r="A1195" s="2">
        <f ca="1">IFERROR(__xludf.DUMMYFUNCTION("""COMPUTED_VALUE"""),46147.6458333333)</f>
        <v>46147.645833333299</v>
      </c>
      <c r="B1195" s="1">
        <f ca="1">IFERROR(__xludf.DUMMYFUNCTION("""COMPUTED_VALUE"""),1251.3)</f>
        <v>1251.3</v>
      </c>
      <c r="C1195" s="3">
        <f t="shared" ca="1" si="36"/>
        <v>-1.5344664778092541E-2</v>
      </c>
      <c r="D1195">
        <f t="shared" ca="1" si="35"/>
        <v>1312.7326530612245</v>
      </c>
    </row>
    <row r="1196" spans="1:4" x14ac:dyDescent="0.25">
      <c r="A1196" s="2">
        <f ca="1">IFERROR(__xludf.DUMMYFUNCTION("""COMPUTED_VALUE"""),46148.6458333333)</f>
        <v>46148.645833333299</v>
      </c>
      <c r="B1196" s="1">
        <f ca="1">IFERROR(__xludf.DUMMYFUNCTION("""COMPUTED_VALUE"""),1279.5)</f>
        <v>1279.5</v>
      </c>
      <c r="C1196" s="3">
        <f t="shared" ca="1" si="36"/>
        <v>2.2536561975545471E-2</v>
      </c>
      <c r="D1196">
        <f t="shared" ca="1" si="35"/>
        <v>1309.5448979591838</v>
      </c>
    </row>
    <row r="1197" spans="1:4" x14ac:dyDescent="0.25">
      <c r="A1197" s="2">
        <f ca="1">IFERROR(__xludf.DUMMYFUNCTION("""COMPUTED_VALUE"""),46149.6458333333)</f>
        <v>46149.645833333299</v>
      </c>
      <c r="B1197" s="1">
        <f ca="1">IFERROR(__xludf.DUMMYFUNCTION("""COMPUTED_VALUE"""),1279)</f>
        <v>1279</v>
      </c>
      <c r="C1197" s="3">
        <f t="shared" ca="1" si="36"/>
        <v>-3.9077764751856197E-4</v>
      </c>
      <c r="D1197">
        <f t="shared" ca="1" si="35"/>
        <v>1306.918367346939</v>
      </c>
    </row>
    <row r="1198" spans="1:4" x14ac:dyDescent="0.25">
      <c r="A1198" s="2">
        <f ca="1">IFERROR(__xludf.DUMMYFUNCTION("""COMPUTED_VALUE"""),46150.6458333333)</f>
        <v>46150.645833333299</v>
      </c>
      <c r="B1198" s="1">
        <f ca="1">IFERROR(__xludf.DUMMYFUNCTION("""COMPUTED_VALUE"""),1264.8)</f>
        <v>1264.8</v>
      </c>
      <c r="C1198" s="3">
        <f t="shared" ca="1" si="36"/>
        <v>-1.1102423768569231E-2</v>
      </c>
      <c r="D1198">
        <f t="shared" ca="1" si="35"/>
        <v>1304.6775510204081</v>
      </c>
    </row>
    <row r="1199" spans="1:4" x14ac:dyDescent="0.25">
      <c r="A1199" s="2">
        <f ca="1">IFERROR(__xludf.DUMMYFUNCTION("""COMPUTED_VALUE"""),46153.6458333333)</f>
        <v>46153.645833333299</v>
      </c>
      <c r="B1199" s="1">
        <f ca="1">IFERROR(__xludf.DUMMYFUNCTION("""COMPUTED_VALUE"""),1266.4)</f>
        <v>1266.4000000000001</v>
      </c>
      <c r="C1199" s="3">
        <f t="shared" ca="1" si="36"/>
        <v>1.265022137887521E-3</v>
      </c>
      <c r="D1199">
        <f t="shared" ca="1" si="35"/>
        <v>1302.0306122448983</v>
      </c>
    </row>
    <row r="1200" spans="1:4" x14ac:dyDescent="0.25">
      <c r="A1200" s="2">
        <f ca="1">IFERROR(__xludf.DUMMYFUNCTION("""COMPUTED_VALUE"""),46154.6458333333)</f>
        <v>46154.645833333299</v>
      </c>
      <c r="B1200" s="1">
        <f ca="1">IFERROR(__xludf.DUMMYFUNCTION("""COMPUTED_VALUE"""),1240.3)</f>
        <v>1240.3</v>
      </c>
      <c r="C1200" s="3">
        <f t="shared" ca="1" si="36"/>
        <v>-2.0609602021478313E-2</v>
      </c>
      <c r="D1200">
        <f t="shared" ca="1" si="35"/>
        <v>1299.3163265306123</v>
      </c>
    </row>
    <row r="1201" spans="1:4" x14ac:dyDescent="0.25">
      <c r="A1201" s="2">
        <f ca="1">IFERROR(__xludf.DUMMYFUNCTION("""COMPUTED_VALUE"""),46155.6458333333)</f>
        <v>46155.645833333299</v>
      </c>
      <c r="B1201" s="1">
        <f ca="1">IFERROR(__xludf.DUMMYFUNCTION("""COMPUTED_VALUE"""),1235.6)</f>
        <v>1235.5999999999999</v>
      </c>
      <c r="C1201" s="3">
        <f t="shared" ca="1" si="36"/>
        <v>-3.7894057889220718E-3</v>
      </c>
      <c r="D1201">
        <f t="shared" ca="1" si="35"/>
        <v>1296.3673469387759</v>
      </c>
    </row>
    <row r="1202" spans="1:4" x14ac:dyDescent="0.25">
      <c r="A1202" s="2">
        <f ca="1">IFERROR(__xludf.DUMMYFUNCTION("""COMPUTED_VALUE"""),46156.6458333333)</f>
        <v>46156.645833333299</v>
      </c>
      <c r="B1202" s="1">
        <f ca="1">IFERROR(__xludf.DUMMYFUNCTION("""COMPUTED_VALUE"""),1246)</f>
        <v>1246</v>
      </c>
      <c r="C1202" s="3">
        <f t="shared" ca="1" si="36"/>
        <v>8.416963418582139E-3</v>
      </c>
      <c r="D1202">
        <f t="shared" ca="1" si="35"/>
        <v>1293.0020408163268</v>
      </c>
    </row>
    <row r="1203" spans="1:4" x14ac:dyDescent="0.25">
      <c r="A1203" s="2">
        <f ca="1">IFERROR(__xludf.DUMMYFUNCTION("""COMPUTED_VALUE"""),46157.6458333333)</f>
        <v>46157.645833333299</v>
      </c>
      <c r="B1203" s="1">
        <f ca="1">IFERROR(__xludf.DUMMYFUNCTION("""COMPUTED_VALUE"""),1244.5)</f>
        <v>1244.5</v>
      </c>
      <c r="C1203" s="3">
        <f t="shared" ca="1" si="36"/>
        <v>-1.203852327447833E-3</v>
      </c>
      <c r="D1203">
        <f t="shared" ca="1" si="35"/>
        <v>1289.7591836734696</v>
      </c>
    </row>
    <row r="1204" spans="1:4" x14ac:dyDescent="0.25">
      <c r="A1204" s="2">
        <f ca="1">IFERROR(__xludf.DUMMYFUNCTION("""COMPUTED_VALUE"""),46160.6458333333)</f>
        <v>46160.645833333299</v>
      </c>
      <c r="B1204" s="1">
        <f ca="1">IFERROR(__xludf.DUMMYFUNCTION("""COMPUTED_VALUE"""),1251.1)</f>
        <v>1251.0999999999999</v>
      </c>
      <c r="C1204" s="3">
        <f t="shared" ca="1" si="36"/>
        <v>5.3033346725591879E-3</v>
      </c>
      <c r="D1204">
        <f t="shared" ref="D1204:D1229" ca="1" si="37">AVERAGE(B1155:B1203)</f>
        <v>1287.0163265306126</v>
      </c>
    </row>
    <row r="1205" spans="1:4" x14ac:dyDescent="0.25">
      <c r="A1205" s="2">
        <f ca="1">IFERROR(__xludf.DUMMYFUNCTION("""COMPUTED_VALUE"""),46161.6458333333)</f>
        <v>46161.645833333299</v>
      </c>
      <c r="B1205" s="1">
        <f ca="1">IFERROR(__xludf.DUMMYFUNCTION("""COMPUTED_VALUE"""),1240.8)</f>
        <v>1240.8</v>
      </c>
      <c r="C1205" s="3">
        <f t="shared" ca="1" si="36"/>
        <v>-8.2327551754455726E-3</v>
      </c>
      <c r="D1205">
        <f t="shared" ca="1" si="37"/>
        <v>1284.5081632653064</v>
      </c>
    </row>
    <row r="1206" spans="1:4" x14ac:dyDescent="0.25">
      <c r="A1206" s="2">
        <f ca="1">IFERROR(__xludf.DUMMYFUNCTION("""COMPUTED_VALUE"""),46162.6458333333)</f>
        <v>46162.645833333299</v>
      </c>
      <c r="B1206" s="1">
        <f ca="1">IFERROR(__xludf.DUMMYFUNCTION("""COMPUTED_VALUE"""),1237.3)</f>
        <v>1237.3</v>
      </c>
      <c r="C1206" s="3">
        <f t="shared" ca="1" si="36"/>
        <v>-2.8207607994842039E-3</v>
      </c>
      <c r="D1206">
        <f t="shared" ca="1" si="37"/>
        <v>1281.9020408163267</v>
      </c>
    </row>
    <row r="1207" spans="1:4" x14ac:dyDescent="0.25">
      <c r="A1207" s="2">
        <f ca="1">IFERROR(__xludf.DUMMYFUNCTION("""COMPUTED_VALUE"""),46163.6458333333)</f>
        <v>46163.645833333299</v>
      </c>
      <c r="B1207" s="1">
        <f ca="1">IFERROR(__xludf.DUMMYFUNCTION("""COMPUTED_VALUE"""),1242.8)</f>
        <v>1242.8</v>
      </c>
      <c r="C1207" s="3">
        <f t="shared" ca="1" si="36"/>
        <v>4.4451628546027643E-3</v>
      </c>
      <c r="D1207">
        <f t="shared" ca="1" si="37"/>
        <v>1279.4469387755105</v>
      </c>
    </row>
    <row r="1208" spans="1:4" x14ac:dyDescent="0.25">
      <c r="A1208" s="2">
        <f ca="1">IFERROR(__xludf.DUMMYFUNCTION("""COMPUTED_VALUE"""),46164.6458333333)</f>
        <v>46164.645833333299</v>
      </c>
      <c r="B1208" s="1">
        <f ca="1">IFERROR(__xludf.DUMMYFUNCTION("""COMPUTED_VALUE"""),1264.3)</f>
        <v>1264.3</v>
      </c>
      <c r="C1208" s="3">
        <f t="shared" ca="1" si="36"/>
        <v>1.7299645960733828E-2</v>
      </c>
      <c r="D1208">
        <f t="shared" ca="1" si="37"/>
        <v>1278.00612244898</v>
      </c>
    </row>
    <row r="1209" spans="1:4" x14ac:dyDescent="0.25">
      <c r="A1209" s="2">
        <f ca="1">IFERROR(__xludf.DUMMYFUNCTION("""COMPUTED_VALUE"""),46167.6458333333)</f>
        <v>46167.645833333299</v>
      </c>
      <c r="B1209" s="1">
        <f ca="1">IFERROR(__xludf.DUMMYFUNCTION("""COMPUTED_VALUE"""),1291.8)</f>
        <v>1291.8</v>
      </c>
      <c r="C1209" s="3">
        <f t="shared" ca="1" si="36"/>
        <v>2.1751166653484141E-2</v>
      </c>
      <c r="D1209">
        <f t="shared" ca="1" si="37"/>
        <v>1277.7183673469392</v>
      </c>
    </row>
    <row r="1210" spans="1:4" x14ac:dyDescent="0.25">
      <c r="A1210" s="2">
        <f ca="1">IFERROR(__xludf.DUMMYFUNCTION("""COMPUTED_VALUE"""),46168.6458333333)</f>
        <v>46168.645833333299</v>
      </c>
      <c r="B1210" s="1">
        <f ca="1">IFERROR(__xludf.DUMMYFUNCTION("""COMPUTED_VALUE"""),1279.1)</f>
        <v>1279.0999999999999</v>
      </c>
      <c r="C1210" s="3">
        <f t="shared" ca="1" si="36"/>
        <v>-9.8312432265056874E-3</v>
      </c>
      <c r="D1210">
        <f t="shared" ca="1" si="37"/>
        <v>1277.3081632653066</v>
      </c>
    </row>
    <row r="1211" spans="1:4" x14ac:dyDescent="0.25">
      <c r="A1211" s="2">
        <f ca="1">IFERROR(__xludf.DUMMYFUNCTION("""COMPUTED_VALUE"""),46169.6458333333)</f>
        <v>46169.645833333299</v>
      </c>
      <c r="B1211" s="1">
        <f ca="1">IFERROR(__xludf.DUMMYFUNCTION("""COMPUTED_VALUE"""),1272.7)</f>
        <v>1272.7</v>
      </c>
      <c r="C1211" s="3">
        <f t="shared" ca="1" si="36"/>
        <v>-5.0035180986630163E-3</v>
      </c>
      <c r="D1211">
        <f t="shared" ca="1" si="37"/>
        <v>1276.9918367346945</v>
      </c>
    </row>
    <row r="1212" spans="1:4" x14ac:dyDescent="0.25">
      <c r="A1212" s="2">
        <f ca="1">IFERROR(__xludf.DUMMYFUNCTION("""COMPUTED_VALUE"""),46171.6458333333)</f>
        <v>46171.645833333299</v>
      </c>
      <c r="B1212" s="1">
        <f ca="1">IFERROR(__xludf.DUMMYFUNCTION("""COMPUTED_VALUE"""),1256.4)</f>
        <v>1256.4000000000001</v>
      </c>
      <c r="C1212" s="3">
        <f t="shared" ca="1" si="36"/>
        <v>-1.2807417301799288E-2</v>
      </c>
      <c r="D1212">
        <f t="shared" ca="1" si="37"/>
        <v>1277.1183673469391</v>
      </c>
    </row>
    <row r="1213" spans="1:4" x14ac:dyDescent="0.25">
      <c r="A1213" s="2">
        <f ca="1">IFERROR(__xludf.DUMMYFUNCTION("""COMPUTED_VALUE"""),46174.6458333333)</f>
        <v>46174.645833333299</v>
      </c>
      <c r="B1213" s="1">
        <f ca="1">IFERROR(__xludf.DUMMYFUNCTION("""COMPUTED_VALUE"""),1239.7)</f>
        <v>1239.7</v>
      </c>
      <c r="C1213" s="3">
        <f t="shared" ca="1" si="36"/>
        <v>-1.3291945240369344E-2</v>
      </c>
      <c r="D1213">
        <f t="shared" ca="1" si="37"/>
        <v>1277.1510204081635</v>
      </c>
    </row>
    <row r="1214" spans="1:4" x14ac:dyDescent="0.25">
      <c r="A1214" s="2">
        <f ca="1">IFERROR(__xludf.DUMMYFUNCTION("""COMPUTED_VALUE"""),46175.6458333333)</f>
        <v>46175.645833333299</v>
      </c>
      <c r="B1214" s="1">
        <f ca="1">IFERROR(__xludf.DUMMYFUNCTION("""COMPUTED_VALUE"""),1226.6)</f>
        <v>1226.5999999999999</v>
      </c>
      <c r="C1214" s="3">
        <f t="shared" ca="1" si="36"/>
        <v>-1.056707267887403E-2</v>
      </c>
      <c r="D1214">
        <f t="shared" ca="1" si="37"/>
        <v>1276.4734693877556</v>
      </c>
    </row>
    <row r="1215" spans="1:4" x14ac:dyDescent="0.25">
      <c r="A1215" s="2">
        <f ca="1">IFERROR(__xludf.DUMMYFUNCTION("""COMPUTED_VALUE"""),46176.6458333333)</f>
        <v>46176.645833333299</v>
      </c>
      <c r="B1215" s="1">
        <f ca="1">IFERROR(__xludf.DUMMYFUNCTION("""COMPUTED_VALUE"""),1242)</f>
        <v>1242</v>
      </c>
      <c r="C1215" s="3">
        <f t="shared" ca="1" si="36"/>
        <v>1.2555030164682937E-2</v>
      </c>
      <c r="D1215">
        <f t="shared" ca="1" si="37"/>
        <v>1275.2061224489798</v>
      </c>
    </row>
    <row r="1216" spans="1:4" x14ac:dyDescent="0.25">
      <c r="A1216" s="2">
        <f ca="1">IFERROR(__xludf.DUMMYFUNCTION("""COMPUTED_VALUE"""),46177.6458333333)</f>
        <v>46177.645833333299</v>
      </c>
      <c r="B1216" s="1">
        <f ca="1">IFERROR(__xludf.DUMMYFUNCTION("""COMPUTED_VALUE"""),1251.7)</f>
        <v>1251.7</v>
      </c>
      <c r="C1216" s="3">
        <f t="shared" ca="1" si="36"/>
        <v>7.8099838969404554E-3</v>
      </c>
      <c r="D1216">
        <f t="shared" ca="1" si="37"/>
        <v>1274.2408163265309</v>
      </c>
    </row>
    <row r="1217" spans="1:4" x14ac:dyDescent="0.25">
      <c r="A1217" s="2">
        <f ca="1">IFERROR(__xludf.DUMMYFUNCTION("""COMPUTED_VALUE"""),46178.6458333333)</f>
        <v>46178.645833333299</v>
      </c>
      <c r="B1217" s="1">
        <f ca="1">IFERROR(__xludf.DUMMYFUNCTION("""COMPUTED_VALUE"""),1262.1)</f>
        <v>1262.0999999999999</v>
      </c>
      <c r="C1217" s="3">
        <f t="shared" ca="1" si="36"/>
        <v>8.3087001677717206E-3</v>
      </c>
      <c r="D1217">
        <f t="shared" ca="1" si="37"/>
        <v>1274.2734693877553</v>
      </c>
    </row>
    <row r="1218" spans="1:4" x14ac:dyDescent="0.25">
      <c r="A1218" s="2">
        <f ca="1">IFERROR(__xludf.DUMMYFUNCTION("""COMPUTED_VALUE"""),46181.6458333333)</f>
        <v>46181.645833333299</v>
      </c>
      <c r="B1218" s="1">
        <f ca="1">IFERROR(__xludf.DUMMYFUNCTION("""COMPUTED_VALUE"""),1250.2)</f>
        <v>1250.2</v>
      </c>
      <c r="C1218" s="3">
        <f t="shared" ca="1" si="36"/>
        <v>-9.4287298946199704E-3</v>
      </c>
      <c r="D1218">
        <f t="shared" ca="1" si="37"/>
        <v>1274.6142857142859</v>
      </c>
    </row>
    <row r="1219" spans="1:4" x14ac:dyDescent="0.25">
      <c r="A1219" s="2">
        <f ca="1">IFERROR(__xludf.DUMMYFUNCTION("""COMPUTED_VALUE"""),46182.6458333333)</f>
        <v>46182.645833333299</v>
      </c>
      <c r="B1219" s="1">
        <f ca="1">IFERROR(__xludf.DUMMYFUNCTION("""COMPUTED_VALUE"""),1275)</f>
        <v>1275</v>
      </c>
      <c r="C1219" s="3">
        <f t="shared" ca="1" si="36"/>
        <v>1.9836826107822711E-2</v>
      </c>
      <c r="D1219">
        <f t="shared" ca="1" si="37"/>
        <v>1275.1755102040818</v>
      </c>
    </row>
    <row r="1220" spans="1:4" x14ac:dyDescent="0.25">
      <c r="A1220" s="2">
        <f ca="1">IFERROR(__xludf.DUMMYFUNCTION("""COMPUTED_VALUE"""),46183.6458333333)</f>
        <v>46183.645833333299</v>
      </c>
      <c r="B1220" s="1">
        <f ca="1">IFERROR(__xludf.DUMMYFUNCTION("""COMPUTED_VALUE"""),1293.3)</f>
        <v>1293.3</v>
      </c>
      <c r="C1220" s="3">
        <f t="shared" ref="C1220:C1230" ca="1" si="38">(B1220-B1219)/B1219</f>
        <v>1.4352941176470553E-2</v>
      </c>
      <c r="D1220">
        <f t="shared" ca="1" si="37"/>
        <v>1275.661224489796</v>
      </c>
    </row>
    <row r="1221" spans="1:4" x14ac:dyDescent="0.25">
      <c r="A1221" s="2">
        <f ca="1">IFERROR(__xludf.DUMMYFUNCTION("""COMPUTED_VALUE"""),46184.6458333333)</f>
        <v>46184.645833333299</v>
      </c>
      <c r="B1221" s="1">
        <f ca="1">IFERROR(__xludf.DUMMYFUNCTION("""COMPUTED_VALUE"""),1317)</f>
        <v>1317</v>
      </c>
      <c r="C1221" s="3">
        <f t="shared" ca="1" si="38"/>
        <v>1.8325214567385794E-2</v>
      </c>
      <c r="D1221">
        <f t="shared" ca="1" si="37"/>
        <v>1276.3469387755104</v>
      </c>
    </row>
    <row r="1222" spans="1:4" x14ac:dyDescent="0.25">
      <c r="A1222" s="2">
        <f ca="1">IFERROR(__xludf.DUMMYFUNCTION("""COMPUTED_VALUE"""),46185.6458333333)</f>
        <v>46185.645833333299</v>
      </c>
      <c r="B1222" s="1">
        <f ca="1">IFERROR(__xludf.DUMMYFUNCTION("""COMPUTED_VALUE"""),1340.8)</f>
        <v>1340.8</v>
      </c>
      <c r="C1222" s="3">
        <f t="shared" ca="1" si="38"/>
        <v>1.8071374335611203E-2</v>
      </c>
      <c r="D1222">
        <f t="shared" ca="1" si="37"/>
        <v>1278.0448979591838</v>
      </c>
    </row>
    <row r="1223" spans="1:4" x14ac:dyDescent="0.25">
      <c r="A1223" s="2">
        <f ca="1">IFERROR(__xludf.DUMMYFUNCTION("""COMPUTED_VALUE"""),46188.6458333333)</f>
        <v>46188.645833333299</v>
      </c>
      <c r="B1223" s="1">
        <f ca="1">IFERROR(__xludf.DUMMYFUNCTION("""COMPUTED_VALUE"""),1327.6)</f>
        <v>1327.6</v>
      </c>
      <c r="C1223" s="3">
        <f t="shared" ca="1" si="38"/>
        <v>-9.8448687350835666E-3</v>
      </c>
      <c r="D1223">
        <f t="shared" ca="1" si="37"/>
        <v>1280.7979591836736</v>
      </c>
    </row>
    <row r="1224" spans="1:4" x14ac:dyDescent="0.25">
      <c r="A1224" s="2">
        <f ca="1">IFERROR(__xludf.DUMMYFUNCTION("""COMPUTED_VALUE"""),46189.6458333333)</f>
        <v>46189.645833333299</v>
      </c>
      <c r="B1224" s="1">
        <f ca="1">IFERROR(__xludf.DUMMYFUNCTION("""COMPUTED_VALUE"""),1334.3)</f>
        <v>1334.3</v>
      </c>
      <c r="C1224" s="3">
        <f t="shared" ca="1" si="38"/>
        <v>5.0467008134980765E-3</v>
      </c>
      <c r="D1224">
        <f t="shared" ca="1" si="37"/>
        <v>1283.1428571428571</v>
      </c>
    </row>
    <row r="1225" spans="1:4" x14ac:dyDescent="0.25">
      <c r="A1225" s="2">
        <f ca="1">IFERROR(__xludf.DUMMYFUNCTION("""COMPUTED_VALUE"""),46190.6458333333)</f>
        <v>46190.645833333299</v>
      </c>
      <c r="B1225" s="1">
        <f ca="1">IFERROR(__xludf.DUMMYFUNCTION("""COMPUTED_VALUE"""),1336.8)</f>
        <v>1336.8</v>
      </c>
      <c r="C1225" s="3">
        <f t="shared" ca="1" si="38"/>
        <v>1.8736416098328712E-3</v>
      </c>
      <c r="D1225">
        <f t="shared" ca="1" si="37"/>
        <v>1285.5612244897961</v>
      </c>
    </row>
    <row r="1226" spans="1:4" x14ac:dyDescent="0.25">
      <c r="A1226" s="2">
        <f ca="1">IFERROR(__xludf.DUMMYFUNCTION("""COMPUTED_VALUE"""),46191.6458333333)</f>
        <v>46191.645833333299</v>
      </c>
      <c r="B1226" s="1">
        <f ca="1">IFERROR(__xludf.DUMMYFUNCTION("""COMPUTED_VALUE"""),1342.3)</f>
        <v>1342.3</v>
      </c>
      <c r="C1226" s="3">
        <f t="shared" ca="1" si="38"/>
        <v>4.1143028126870143E-3</v>
      </c>
      <c r="D1226">
        <f t="shared" ca="1" si="37"/>
        <v>1287.7122448979594</v>
      </c>
    </row>
    <row r="1227" spans="1:4" x14ac:dyDescent="0.25">
      <c r="A1227" s="2">
        <f ca="1">IFERROR(__xludf.DUMMYFUNCTION("""COMPUTED_VALUE"""),46192.6458333333)</f>
        <v>46192.645833333299</v>
      </c>
      <c r="B1227" s="1">
        <f ca="1">IFERROR(__xludf.DUMMYFUNCTION("""COMPUTED_VALUE"""),1346.5)</f>
        <v>1346.5</v>
      </c>
      <c r="C1227" s="3">
        <f t="shared" ca="1" si="38"/>
        <v>3.1289577590702866E-3</v>
      </c>
      <c r="D1227">
        <f t="shared" ca="1" si="37"/>
        <v>1289.6877551020411</v>
      </c>
    </row>
    <row r="1228" spans="1:4" x14ac:dyDescent="0.25">
      <c r="A1228" s="2">
        <f ca="1">IFERROR(__xludf.DUMMYFUNCTION("""COMPUTED_VALUE"""),46195.6458333333)</f>
        <v>46195.645833333299</v>
      </c>
      <c r="B1228" s="1">
        <f ca="1">IFERROR(__xludf.DUMMYFUNCTION("""COMPUTED_VALUE"""),1352.4)</f>
        <v>1352.4</v>
      </c>
      <c r="C1228" s="3">
        <f t="shared" ca="1" si="38"/>
        <v>4.3817304121797924E-3</v>
      </c>
      <c r="D1228">
        <f t="shared" ca="1" si="37"/>
        <v>1290.4489795918371</v>
      </c>
    </row>
    <row r="1229" spans="1:4" x14ac:dyDescent="0.25">
      <c r="A1229" s="2">
        <f ca="1">IFERROR(__xludf.DUMMYFUNCTION("""COMPUTED_VALUE"""),46196.6458333333)</f>
        <v>46196.645833333299</v>
      </c>
      <c r="B1229" s="1">
        <f ca="1">IFERROR(__xludf.DUMMYFUNCTION("""COMPUTED_VALUE"""),1338.3)</f>
        <v>1338.3</v>
      </c>
      <c r="C1229" s="3">
        <f t="shared" ca="1" si="38"/>
        <v>-1.0425909494232576E-2</v>
      </c>
      <c r="D1229">
        <f t="shared" ca="1" si="37"/>
        <v>1291.9000000000003</v>
      </c>
    </row>
    <row r="1230" spans="1:4" x14ac:dyDescent="0.25">
      <c r="A1230" s="2">
        <f ca="1">IFERROR(__xludf.DUMMYFUNCTION("""COMPUTED_VALUE"""),46197.6458333333)</f>
        <v>46197.645833333299</v>
      </c>
      <c r="B1230" s="1">
        <f ca="1">IFERROR(__xludf.DUMMYFUNCTION("""COMPUTED_VALUE"""),1373.6)</f>
        <v>1373.6</v>
      </c>
      <c r="C1230" s="3">
        <f t="shared" ca="1" si="38"/>
        <v>2.637674661884477E-2</v>
      </c>
      <c r="D1230">
        <f ca="1">AVERAGE(B1181:B1229)</f>
        <v>1292.2346938775511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TCS</vt:lpstr>
      <vt:lpstr>INFOSYS</vt:lpstr>
      <vt:lpstr>HDFC</vt:lpstr>
      <vt:lpstr>ICICI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Dhruba</cp:lastModifiedBy>
  <dcterms:modified xsi:type="dcterms:W3CDTF">2026-06-26T05:00:48Z</dcterms:modified>
</cp:coreProperties>
</file>